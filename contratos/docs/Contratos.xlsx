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E" sheetId="1" r:id="rId5"/>
    <sheet state="visible" name="CONTRATOS" sheetId="2" r:id="rId6"/>
    <sheet state="visible" name="EVENTO" sheetId="3" r:id="rId7"/>
    <sheet state="visible" name="INFORMAÇÕES" sheetId="4" r:id="rId8"/>
    <sheet state="visible" name="ITENS" sheetId="5" r:id="rId9"/>
    <sheet state="visible" name="SERVICOS" sheetId="6" r:id="rId10"/>
    <sheet state="hidden" name="FILTRO_ITENS" sheetId="7" r:id="rId11"/>
  </sheets>
  <definedNames>
    <definedName hidden="1" localSheetId="1" name="Z_EB776536_651E_4F9B_ABBD_F1C41402D620_.wvu.FilterData">CONTRATOS!$B$1:$B$997</definedName>
  </definedNames>
  <calcPr/>
  <customWorkbookViews>
    <customWorkbookView activeSheetId="0" maximized="1" windowHeight="0" windowWidth="0" guid="{EB776536-651E-4F9B-ABBD-F1C41402D620}"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Preencher apenas quando for cadastro de sub rogação de contrato</t>
      </text>
    </comment>
  </commentList>
</comments>
</file>

<file path=xl/sharedStrings.xml><?xml version="1.0" encoding="utf-8"?>
<sst xmlns="http://schemas.openxmlformats.org/spreadsheetml/2006/main" count="11066" uniqueCount="2198">
  <si>
    <t>NOME_FANTASIA</t>
  </si>
  <si>
    <t>RAZÃO_SOCIAL</t>
  </si>
  <si>
    <t>CPF_CNPJ</t>
  </si>
  <si>
    <t>ESTADO</t>
  </si>
  <si>
    <t>TELEFONE</t>
  </si>
  <si>
    <t>E-MAIL</t>
  </si>
  <si>
    <t xml:space="preserve">ASSEMBLEIA LEGISLATIVA DO ESTADO DO CEARÁ </t>
  </si>
  <si>
    <t>06.750.525/0001-20</t>
  </si>
  <si>
    <t>CEARÁ</t>
  </si>
  <si>
    <t>(85) 99659-5679</t>
  </si>
  <si>
    <t xml:space="preserve">jessika.sato@al.ce.gov.br                           infracoti@al.ce.gov.br
</t>
  </si>
  <si>
    <t>COMANDO DA 10a REGIAO MILITAR</t>
  </si>
  <si>
    <t>09.560.963/0001-14</t>
  </si>
  <si>
    <t>(85) 3255-1648</t>
  </si>
  <si>
    <r>
      <rPr>
        <color rgb="FF1155CC"/>
        <u/>
      </rPr>
      <t>cpl10rm@gmail.com</t>
    </r>
  </si>
  <si>
    <t xml:space="preserve">COLEGIO MILITAR DE FORTALEZA </t>
  </si>
  <si>
    <t xml:space="preserve">CMFOR </t>
  </si>
  <si>
    <t>10.216.602/0001-34</t>
  </si>
  <si>
    <t>(85) 8535-3737</t>
  </si>
  <si>
    <t>informatica@cmf.eb.mil.br</t>
  </si>
  <si>
    <t xml:space="preserve">ESCOLA DE APRENDIZEM  DE MARINHEIROS DO CEARÁ </t>
  </si>
  <si>
    <t>00.394.502/0116-93</t>
  </si>
  <si>
    <t xml:space="preserve">(85)3288-4734 </t>
  </si>
  <si>
    <t>eloy.lima@marinha.mil.br
gleidson@marinha.mil.br</t>
  </si>
  <si>
    <t>UNIVERSIDADE FEDERAL DO CEARÁ</t>
  </si>
  <si>
    <t>07.272.636/0001-31</t>
  </si>
  <si>
    <t>(85) 3366-7377 / 7378</t>
  </si>
  <si>
    <t xml:space="preserve">dgcac@proplad.ufc.br
marcosb@ufc.br
</t>
  </si>
  <si>
    <t>INSTITUTO FEDERAL DE EDUCAÇÃO E TECNOLOGIA - IFCE CAMOCIM</t>
  </si>
  <si>
    <t>10.744.098/0024-31</t>
  </si>
  <si>
    <t>(88) 9623-2025</t>
  </si>
  <si>
    <t>yara.cristina@ifce.edu.br
celestina@ifce.edu.br</t>
  </si>
  <si>
    <t>INSTITUTO FEDERAL DE EDUCAÇÃO E TECNOLOGIA - IFCE CAUCAIA</t>
  </si>
  <si>
    <t>10.744.098/0023-50</t>
  </si>
  <si>
    <t>(85) 9106-5665</t>
  </si>
  <si>
    <t>contratos.caucaia@ifce.edu.br</t>
  </si>
  <si>
    <t>INSTITUTO FEDERAL DE EDUCAÇÃO E TECNOLOGIA - IFCE ITAPIPOCA</t>
  </si>
  <si>
    <t>10.744.098/0028-65</t>
  </si>
  <si>
    <t>(85) 9423-4521</t>
  </si>
  <si>
    <t>assdap@ifce.edu.br,
Nathalia.sousa@ifce.edu.br</t>
  </si>
  <si>
    <t>INSTITUTO FEDERAL DE EDUCAÇÃO E TECNOLOGIA - IFCE PARACURU</t>
  </si>
  <si>
    <t>10.744.098/0029-46</t>
  </si>
  <si>
    <t>(85) 3401-2442 ou (85) 98193-2171</t>
  </si>
  <si>
    <t>sac@paracuru.ifce.edu.br,
marcelo.silva@ifce.edu.br</t>
  </si>
  <si>
    <t>INSTITUTO FEDERAL DE EDUCAÇÃO E TECNOLOGIA - IFCE JUAZEIRO DO NORTE</t>
  </si>
  <si>
    <t>10.744.098/0005-79</t>
  </si>
  <si>
    <t>(88) 2101-5305</t>
  </si>
  <si>
    <t>cti.juazeiro@ifce.edu.br, isaacbrigido@ifce.edu.br, dap.jua@ifce.edu.br</t>
  </si>
  <si>
    <t>MINISTÉRIO DA AGRICULTURA E PECUÁRIA/SUPERINTENDÊNCIA FEDERAL DE AGRICULTURA E PECUÁRIA NO PARANÁ (SFA-PR/MAPA)</t>
  </si>
  <si>
    <t>01.628.251/0001-88</t>
  </si>
  <si>
    <t>PARANÁ</t>
  </si>
  <si>
    <t>(48) 98410-7584 ou (41) 9272-1569</t>
  </si>
  <si>
    <t>alex.borges@agro.gov.br, 
jair.matos@agro.gov.br</t>
  </si>
  <si>
    <t>CAPITANIA DOS PORTOS DE SERGIPE</t>
  </si>
  <si>
    <t>00.394.502/0030-89</t>
  </si>
  <si>
    <t>SERGIPE</t>
  </si>
  <si>
    <t>(79) 3711 1646 - RAMAL 1607 / RETELMA 8210-2098</t>
  </si>
  <si>
    <t>marcos.rodrigo@marinha.mil.b,
medeiros.santos@marinha.mil.br,
ailler.fontes@marinha.mil.br,
anthony.batista@marinha.mil.br,
marcosrodrigovieiralima@gmail.com</t>
  </si>
  <si>
    <t>INSTITUTO FEDERAL DE EDUCAÇÃO, CIÊNCIA E TECNOLOGIA DO RIO GRANDE DO NORTE/CAMPUS CEARÁ-MIRIM</t>
  </si>
  <si>
    <t>10.877.412/0019-97</t>
  </si>
  <si>
    <t xml:space="preserve">RIO GRANDE DO NORTE </t>
  </si>
  <si>
    <t>(85) 9 9103-8619 | (85) 3262-3191</t>
  </si>
  <si>
    <t>grafica.cm@ifrn.edu.br</t>
  </si>
  <si>
    <t>INSTITUTO FEDERAL DE EDUCAÇÃO, CIÊNCIA E TECNOLOGIA DO RIO GRANDE DO NORTE/CAMPUS ZONA NORTE</t>
  </si>
  <si>
    <t>10.877.412/0009-15</t>
  </si>
  <si>
    <t>(84) 4006-9529</t>
  </si>
  <si>
    <t>manoel.couto@ifrn.edu.br,
diad.zn@ifrn.edu.br,
cti.zn@ifrn.edu.br</t>
  </si>
  <si>
    <t>TRIBUNAL REGIONAL ELEITORAL O RIO DE JANEIRO</t>
  </si>
  <si>
    <t>06.170.517/0001-05</t>
  </si>
  <si>
    <t xml:space="preserve">RIO DE JANEIRO </t>
  </si>
  <si>
    <t>(21) 3513-8149</t>
  </si>
  <si>
    <t>leonardo.roseira@tre-rj.jus.br,
Sespeq@tre-rj.jus.br</t>
  </si>
  <si>
    <t>DELEGACIA DA CAPITANIA DE SÃO FRANCISCO DO SUL</t>
  </si>
  <si>
    <t xml:space="preserve">DELEGACIA DA CAPITANIA DE SÃO FRANCISCO DO SUL </t>
  </si>
  <si>
    <t>00.394.502/0187-87</t>
  </si>
  <si>
    <t>SANTA CATARINA</t>
  </si>
  <si>
    <t>(47) 3444-2204/3444-2205</t>
  </si>
  <si>
    <t>fernandes.douglas@marinha.mil.br,
wesnou.santos@marinha.mil.br,
katiuscia.renner@marinha.mil.br,
florency@marinha.mil.br</t>
  </si>
  <si>
    <t xml:space="preserve">DELEGACIA DA CAPITANIA DOS PORTOS EM ITAJAÍ </t>
  </si>
  <si>
    <t>00.394.502/0467-21</t>
  </si>
  <si>
    <t xml:space="preserve"> (47) 99790-0271</t>
  </si>
  <si>
    <t>delitajai.secom@marinha.mil.br,
andson@marinha.mil.br,
gerhardt@marinha.mil.br&gt;</t>
  </si>
  <si>
    <t>SUPERINTENDÊNCIA FEDERAL DE AGRICULTURA E PECUARIA NO ESTADO DE SANTA CATARINA - SFA-SC</t>
  </si>
  <si>
    <t>00.396.895/0030-60</t>
  </si>
  <si>
    <t xml:space="preserve"> (48) 3261-9984</t>
  </si>
  <si>
    <t>dial-sc@agro.gov.br,
walnice.cardoso@agro.gov.br</t>
  </si>
  <si>
    <t>UNIVERSIDADE FEDERAL DE SANTA CATARINA</t>
  </si>
  <si>
    <t>83.899.526/0001-82</t>
  </si>
  <si>
    <t>(48) 3721-6333</t>
  </si>
  <si>
    <t>css.setic@contato.ufsc.br</t>
  </si>
  <si>
    <t>BASE ADMINISTRATIVA DO QUARTEL-GENERAL DO EXÉRCITO</t>
  </si>
  <si>
    <t>21.744.847/0001-50</t>
  </si>
  <si>
    <t>DISTRITO FEDERAL</t>
  </si>
  <si>
    <t>(21) 98387-5646, (21) 98253-5754</t>
  </si>
  <si>
    <t>dti.gestao@badmqgex.eb.mil.br</t>
  </si>
  <si>
    <t>MINISTÉRIO DAS CIDADES</t>
  </si>
  <si>
    <t>05.465.986/0001-99</t>
  </si>
  <si>
    <t>(61) 3142-0633</t>
  </si>
  <si>
    <t>cgti@cidades.gov.br,
lucas.mendes@cidades.gov.br,
emerson.morais@cidades.gov.br&gt;</t>
  </si>
  <si>
    <t xml:space="preserve">COMANDO DE OPERAÇÕES TERRESTRES </t>
  </si>
  <si>
    <t>00.394.452/0091-51</t>
  </si>
  <si>
    <t>(61) 9192-9292</t>
  </si>
  <si>
    <t>Henrique@coter.eb.mil.br,
licitacao@coter.eb.mil.br</t>
  </si>
  <si>
    <t>CONSELHO FEDERAL DE FARMÁCIA</t>
  </si>
  <si>
    <t>60.984.473/0001-00</t>
  </si>
  <si>
    <t>(61) 3878-8705</t>
  </si>
  <si>
    <t>eugenia@cff.org.br, Ti@cff.org.br,rejanio@cff.org.br</t>
  </si>
  <si>
    <t xml:space="preserve">MINISTÉRIO DA CIÊNCIA, TECNOLOGIA E INOVAÇÃO </t>
  </si>
  <si>
    <t>03.132.745/0001-00</t>
  </si>
  <si>
    <t>(61) 8137-5159</t>
  </si>
  <si>
    <t>coser@mcti.gov.br, alcir@mcti.gov.br,</t>
  </si>
  <si>
    <t xml:space="preserve">MINISTÉRIO DO TRABALHO E EMPREGO </t>
  </si>
  <si>
    <t>00.489.828/0080-59</t>
  </si>
  <si>
    <t>(61) 8207-9926</t>
  </si>
  <si>
    <t>layanne.matos@trabalho.gov.br,
wander.souza@trabalho.gov.br,
caroline.mello@trabalho.gov.br,
marcelo.calazans@trabalho.gov.br,
luciano.villarino@trabalho.gov.br</t>
  </si>
  <si>
    <t>MINISTÉRIO DOS TRANSPORTES</t>
  </si>
  <si>
    <t>37.115.342/0001-67</t>
  </si>
  <si>
    <t>(61) 2029-7906</t>
  </si>
  <si>
    <t>COINT@transportes.gov.br</t>
  </si>
  <si>
    <t xml:space="preserve">MINISTÉRIO DA DEFESA - COMANDO DA AERONÁUTICA - GRUPAMENTO DE APOIO DE BRASÍLIA </t>
  </si>
  <si>
    <t>00.394.429/0059-27</t>
  </si>
  <si>
    <t>(61) 8135-2949</t>
  </si>
  <si>
    <t>aurelianofab.eaof2021@gmail.com, contrato05gapbr2024@gmail.com</t>
  </si>
  <si>
    <t>COMANDO DA 8º REGIÃO MILITAR</t>
  </si>
  <si>
    <t>09.635.270/0001-43</t>
  </si>
  <si>
    <t>PARÁ</t>
  </si>
  <si>
    <t>(61) 8291-0130</t>
  </si>
  <si>
    <t>paulohenrique.ferreira@eb.mil.br, 	bandeira.rocha@eb.mil.br</t>
  </si>
  <si>
    <t>HOSPITAL UNIVERSITARIO JULIO BANDEIRA</t>
  </si>
  <si>
    <t>15.126.437/0033-20</t>
  </si>
  <si>
    <t>PARAIBA</t>
  </si>
  <si>
    <t>(83) 3532-4764, (88) 99816-2409</t>
  </si>
  <si>
    <t>david.lopes@ebserh.gov.br, rui.amaro@ebserh.gov.br</t>
  </si>
  <si>
    <t>HOSPITAL UNIVERSITARIO ALCIDES CARNEIRO</t>
  </si>
  <si>
    <t>15.126.437/0032-40</t>
  </si>
  <si>
    <t>(83) 2101-5500, ramal 5617</t>
  </si>
  <si>
    <t>setisd.huac-ufcg@ebserh.gov.br, pekcos.oliveira@ebserh.gov.br, ruan.oliveira@ebserh.gov.br, anderson.fonseca@ebserh.gov.br</t>
  </si>
  <si>
    <t>HOSPITAL UNIVERSITARIO LAURO WANDERLEY</t>
  </si>
  <si>
    <t>15.126.437/0017-00</t>
  </si>
  <si>
    <t>(83) 3206-0600</t>
  </si>
  <si>
    <t>milton.neto@ebserh.gov.br, andre.torquato@ebserh.gov.br</t>
  </si>
  <si>
    <t>COMANDO DO 1º GRUPAMENTO DE ENGENHARIA</t>
  </si>
  <si>
    <t>07.541.172/0001-11</t>
  </si>
  <si>
    <t>(83) 2106-1550</t>
  </si>
  <si>
    <t>elizeurodriguesferreira157@gmail.com,
sti@1gec.eb.mil.br,
diego.ventura@eb.mil.br</t>
  </si>
  <si>
    <t>COLEGIO MILITAR DE SÃO PAULO</t>
  </si>
  <si>
    <t>10.437.535/0001-88</t>
  </si>
  <si>
    <t>SÃO PAULO</t>
  </si>
  <si>
    <t>(11) 3273-2809</t>
  </si>
  <si>
    <t>eduardo.luchetti10@gmail.com,
eduardo.luchetti@bol.com.br</t>
  </si>
  <si>
    <t xml:space="preserve"> INSTITUTO NACIONAL DE COLONIZAÇÃO E REFORMA AGRÁRIA NO ESTADO DO MARANHÃO</t>
  </si>
  <si>
    <t>INSTITUTO NACIONAL DE COLONIZAÇÃO E REFORMA AGRÁRIA NO ESTADO DO MARANHÃO</t>
  </si>
  <si>
    <t>00.375.972/0015-66</t>
  </si>
  <si>
    <t xml:space="preserve">MARANHÃO </t>
  </si>
  <si>
    <t>(98) 3210-7451 / 7452</t>
  </si>
  <si>
    <t>divisao.administracao.sls@incra.gov.br</t>
  </si>
  <si>
    <t xml:space="preserve">SECRETARIA MUNICIPAL DA GESTÃO REGIONAL - SEGER </t>
  </si>
  <si>
    <t>60.419.461/0001-25</t>
  </si>
  <si>
    <t>(85) 3512-6773</t>
  </si>
  <si>
    <t>democrito.crisostomo@cegor.fortaleza.ce.gov.br</t>
  </si>
  <si>
    <t>COORDENADORIA ESPECIAL DE APOIO À GOVERNANÇA DAS REGIONAIS – CEGOR</t>
  </si>
  <si>
    <t>DETRAN</t>
  </si>
  <si>
    <t>DEPARTAMENTO ESTADUAL DE TRANSITO</t>
  </si>
  <si>
    <t>06.293.120/0001-00</t>
  </si>
  <si>
    <t>(98) 3089-1514</t>
  </si>
  <si>
    <t>postoshoppingdailha@detran.ma.gov.br</t>
  </si>
  <si>
    <t>IPAM</t>
  </si>
  <si>
    <t>INSTITUTO DE PREVIDÊNCIA E ASSISTÊNCIA DO MUNICÍPIO</t>
  </si>
  <si>
    <t>06.040.398/0001-76</t>
  </si>
  <si>
    <t>(98) 99107-6314</t>
  </si>
  <si>
    <t>ipam@saoluis.ma.gov.br</t>
  </si>
  <si>
    <t>POLICIA CIVIL DO DISTRITO FEDERAL</t>
  </si>
  <si>
    <t>37.115.482/0001-35</t>
  </si>
  <si>
    <t>(61) 3207 5076</t>
  </si>
  <si>
    <t>ditec-sst@pcdf.df.gov.br, leila.martins@pcdf.df.gov.br, osterno.barros@pcdf.df.gov.br, jeferson.santos@pcdf.df.gov.br, filipe.oliveira@pcdf.df.gov.br</t>
  </si>
  <si>
    <t>SECRETARIA DE ESTADO DA SAÚDE - HEMOCENTRO</t>
  </si>
  <si>
    <t>08.778.268/0001-60</t>
  </si>
  <si>
    <t>(83) 3133-3456</t>
  </si>
  <si>
    <t>informatica.hemoiba@gmail.com,
hccompras01@gmail.com, rene.campos@ses.pb.gov.br</t>
  </si>
  <si>
    <t>ASSEMBLEIA LEGISLATIVA DO ESTADO DO MARANHÃO</t>
  </si>
  <si>
    <t>05.294.848/0001-94</t>
  </si>
  <si>
    <t>(98) 3269-3200</t>
  </si>
  <si>
    <t>dti@al.ma.leg.br, William Neto &lt;william.neto@al.ma.leg.br&gt;</t>
  </si>
  <si>
    <t>SECRETARIA DE ESTADO DA ADMINISTRAÇÃO PENITENCIÁRIA – SEAP-PB</t>
  </si>
  <si>
    <t>08.778.284/0001-53</t>
  </si>
  <si>
    <t>PARAÍBA</t>
  </si>
  <si>
    <t>(83) 98745-5382</t>
  </si>
  <si>
    <t>geati@seap.pb.gov.br, kleber.dantas@seap.pb.gov.br, subgeti@seap.pb.gov.br</t>
  </si>
  <si>
    <t xml:space="preserve">POLICIA CIVIL DA PARAIBA </t>
  </si>
  <si>
    <t>22.404.257/0001-41</t>
  </si>
  <si>
    <t>(83) 9622-3615</t>
  </si>
  <si>
    <t>gestcont.pcpb@gmail.com, financeiropcpb@gmail.com</t>
  </si>
  <si>
    <t>SETUR</t>
  </si>
  <si>
    <t>SECRETARIA DE ESTADO DO TURISMO</t>
  </si>
  <si>
    <t>08.750.791/0001-89</t>
  </si>
  <si>
    <t>ESPÍRITO SANTO</t>
  </si>
  <si>
    <t>(27) 3636-8026</t>
  </si>
  <si>
    <t>lorena.silveira@turismo.es.gov.br</t>
  </si>
  <si>
    <t>FUNDACAO CITINOVA</t>
  </si>
  <si>
    <t>FUNDAÇÃO DE CIÊNCIA, TECNOLOGIA E INOVAÇÃO DE FORTALEZA – CITINOVA</t>
  </si>
  <si>
    <t>21.736.708/0001-85</t>
  </si>
  <si>
    <t>(85) 3224-5971</t>
  </si>
  <si>
    <t>Lariza Hellen Martins Aguiar &lt;lariza.aguiar@citinova.fortaleza.ce.gov.br&gt;, manuella.maia@citinova.fortaleza.ce.gov.br, alexandre neto &lt;alexandre.neto@citinova.fortaleza.ce.gov.br&gt;</t>
  </si>
  <si>
    <t xml:space="preserve">CAMARA MUNICIPAL DE HORTOLÂNDIA </t>
  </si>
  <si>
    <t>68.008.895/0001-44</t>
  </si>
  <si>
    <t>(19) 99637-4945</t>
  </si>
  <si>
    <t>administrativo@hortolandia.sp.leg.br</t>
  </si>
  <si>
    <t>RESENDE - SECRETARIA MUNICIPAL DE ADMINISTRAÇÃO / SMA</t>
  </si>
  <si>
    <t>29.178.233/0001 – 60</t>
  </si>
  <si>
    <t>(24) 3354 – 4625</t>
  </si>
  <si>
    <t>adm.sumti@resende.rj.gov.br,
damiana.vital@resende.rj.gov.br,
ti@resende.rj.gov.br</t>
  </si>
  <si>
    <t>SEMUSC</t>
  </si>
  <si>
    <t>SECRETARIA MUNICIPAL DE SEGURANÇA COM CIDADANIA</t>
  </si>
  <si>
    <t>15.659.708/0001-26</t>
  </si>
  <si>
    <t>(98) 3212-8474</t>
  </si>
  <si>
    <t>gabinete.semusc@gmail.com</t>
  </si>
  <si>
    <t>FMS</t>
  </si>
  <si>
    <t>FUNDO MUNICIPAL DE SAÚDE</t>
  </si>
  <si>
    <t>08.715.618/0001-40</t>
  </si>
  <si>
    <t>(83) 32147970</t>
  </si>
  <si>
    <t>ouvidoria@joaopessoa.pb.gov.br</t>
  </si>
  <si>
    <t>SEMCAS</t>
  </si>
  <si>
    <t>SECRETARIA MUNICIPAL DA CRIANÇA E ASSISTÊNCIA SOCIAL</t>
  </si>
  <si>
    <t>06.307.102/0001-30</t>
  </si>
  <si>
    <t xml:space="preserve"> (98) 99158-0854</t>
  </si>
  <si>
    <t>semcas@saoluis.ma.gov.br</t>
  </si>
  <si>
    <t>PREFEITURA MUNICIPAL DE ARACATI - CASA CIVIL</t>
  </si>
  <si>
    <t>PREFEITURA MUNICIPAL DE ARACATI  - CASA CIVIL</t>
  </si>
  <si>
    <t>07.684.756/0001-46</t>
  </si>
  <si>
    <t xml:space="preserve">CEARÁ </t>
  </si>
  <si>
    <t>julio-juca@hotmail.com,
TITTO.SOL@aracati.ce.gov.br&gt;</t>
  </si>
  <si>
    <t>PREF. MUNICIPAL DE CANINDE - AGRICULTURA</t>
  </si>
  <si>
    <t>PREFEITURA MUNICIPAL DE CANINDE</t>
  </si>
  <si>
    <t>07.963.259/0001-87</t>
  </si>
  <si>
    <t xml:space="preserve"> (85) 8542-1298</t>
  </si>
  <si>
    <t>Agricultura.Canindece@gmail.com</t>
  </si>
  <si>
    <t>PREFEITURA MUNICIPAL DE ARACATI - SEGURANÇA CIDADÃ</t>
  </si>
  <si>
    <t>TITTO.SOL@aracati.ce.gov.br,
ARACATISEGURANCA@gmail.com</t>
  </si>
  <si>
    <t>MARANGUAPE - PREFEITURA MUNICIPAL DE MARANGUAPE</t>
  </si>
  <si>
    <t>PREFEITURA MUNICIPAL DE MARANGUAPE - GABINETE</t>
  </si>
  <si>
    <t>07.963.051/0001-68</t>
  </si>
  <si>
    <t>(85) 3369-9101</t>
  </si>
  <si>
    <t>gabfinan.mpe@gmail.com</t>
  </si>
  <si>
    <t xml:space="preserve">PREFEITURA MUNICIPAL DE MOCOCA </t>
  </si>
  <si>
    <t>44.763.928/0001-01</t>
  </si>
  <si>
    <t>(19) 3656-9800</t>
  </si>
  <si>
    <t>financeiro@mococa.sp.gov.br</t>
  </si>
  <si>
    <t>PREFEITURA MUNICIPAL DE TIANGUA - SAUDE</t>
  </si>
  <si>
    <t>07.735.178/0001-20</t>
  </si>
  <si>
    <t>(85) 3671-2288 / (85) 3671-2888</t>
  </si>
  <si>
    <t>licitacao@tiangua.ce.gov.br</t>
  </si>
  <si>
    <t xml:space="preserve">PREF. MUNICIPAL DE ARACATI - DESENVOLVIMENTO SOCIAL </t>
  </si>
  <si>
    <t>assistenciasocialfinanceiro4@gmail.com
assistenciasocialfinanceiro@gmail.com,
TITTO.SOL@aracati.ce.gov.br</t>
  </si>
  <si>
    <t>PREFEITURA MUNICIPAL DE MARANGUAPE - SAUDE</t>
  </si>
  <si>
    <t>ADMSAUDEPMM@gmail.com</t>
  </si>
  <si>
    <t>PREFEITURA MUNICIPAL DE MARANGUAPE - SAFIN</t>
  </si>
  <si>
    <t>maranguapesafinfin@gmail.com</t>
  </si>
  <si>
    <t>PREF. MUNICIPAL DE ARACATI - CONTROLADORIA</t>
  </si>
  <si>
    <t>controladoria@aracati.ce.gov.br&gt;,
TITTO.SOL@aracati.ce.gov.br</t>
  </si>
  <si>
    <t>PREFEITURA MUNICIPAL DE ITAREMA - SAUDE</t>
  </si>
  <si>
    <t>07.663.941/0001-54</t>
  </si>
  <si>
    <t>(88) 3667-1133 / 3667-1340</t>
  </si>
  <si>
    <t>compras@itarema.ce.gov.br,
setordecomprasitarema@gmail.com,
comprasitarema@gmail.com.br,
comprasitarema@gmail.com.gov.br</t>
  </si>
  <si>
    <t>PREFEITURA MUNICIPAL DE ACOPIARA - PROCURADORIA</t>
  </si>
  <si>
    <t>07.847.379/0001-19</t>
  </si>
  <si>
    <t>(88) 3565-1999</t>
  </si>
  <si>
    <t>prefeitura@acopiara.ce.gov.br,
pedroaarolim@hotmail.com,
procuradoria@acopiara.ce.gov.br</t>
  </si>
  <si>
    <t>PREFEITURA MUNICIPAL DE MARANGUAPE - SEJUV</t>
  </si>
  <si>
    <t xml:space="preserve">	Sejuv.pmm@hotmail.com</t>
  </si>
  <si>
    <t>PREFEITURA MUNICIPAL DE MARANGUAPE - TRAB ASSIST SOCIAL</t>
  </si>
  <si>
    <t>financeiro.stds@gmail.com</t>
  </si>
  <si>
    <t>PREFEITURA MUNICIPAL DE ACOPIARA - SAÚDE</t>
  </si>
  <si>
    <t>prefeitura@acopiara.ce.gov.br,
pedroaarolim@hotmail.com,
saude@acopiara.ce.gov.br</t>
  </si>
  <si>
    <t>PREFEITURA MUNICIPAL DE ACOPIARA - TRANSPORTE E LOGISTICA</t>
  </si>
  <si>
    <t>prefeitura@acopiara.ce.gov.br,
pedroaarolim@hotmail.com,
sttrans@acopiara.ce.gov.br</t>
  </si>
  <si>
    <t>PREFEITURA MUNICIPAL DE ACOPIARA - TRABALHO E DESENVOLVIMENTO SOCIAL</t>
  </si>
  <si>
    <t>prefeitura@acopiara.ce.gov.br,
pedroaarolim@hotmail.com,
stds@acopiara.ce.gov.br</t>
  </si>
  <si>
    <t>PREFEITURA MUNICIPAL DE ACOPIARA - TRABALHO E DESENVOLVIMENTO SOCIAL - PROGRAMAS</t>
  </si>
  <si>
    <t>SECRETARIA DO TRABALHO DO ESTADO DO CEARÁ - SET</t>
  </si>
  <si>
    <t>49.921.771/0001-00</t>
  </si>
  <si>
    <t>(85) 3376-1100</t>
  </si>
  <si>
    <t>simone.teles@trabalho.ce.gov.br
jidlafe.rodrigues@trabalho.ce.gov.br,
carlos.cesar@trabalho.ce.gov.br</t>
  </si>
  <si>
    <t>PREFEITURA MUNICIPAL DE PALMACIA - FUNDO MUNICIPAL DE ASSISTENCIA SOCIAL</t>
  </si>
  <si>
    <t>07.711.666/0001-05</t>
  </si>
  <si>
    <t>(85) 3924-6903</t>
  </si>
  <si>
    <t>assistencia@palmacia.ce.gov.br,
controladoria@palmacia.ce.gov.br,
matheusgomeschagas@gmail.com</t>
  </si>
  <si>
    <t>PREFEITURA MUNICIPAL DE PALMACIA - EDUCAÇÃO</t>
  </si>
  <si>
    <t>(85) 3924-6901 / (85) 3924-6901</t>
  </si>
  <si>
    <t>sme@palmacia.ce.gov.br,
controladoria@palmacia.ce.gov.br,
matheusgomeschagas@gmail.com</t>
  </si>
  <si>
    <t>PREFEITURA MUNICIPAL DE PALMACIA - FUNDO MUNICIPAL DE PREVIDÊNCIA</t>
  </si>
  <si>
    <t>10.297.390/0001-67</t>
  </si>
  <si>
    <t>(85) 9.9229-3057</t>
  </si>
  <si>
    <t>controladoria@palmacia.ce.gov.br,
matheusgomeschagas@gmail.com, 
previdencia@palmacia.ce.gov.br</t>
  </si>
  <si>
    <t>PREFEITURA MUNICIPAL DE PALMACIA - ADMINISTRAÇÃO</t>
  </si>
  <si>
    <t>(85) 3924-6907 / (85) 3924-6907</t>
  </si>
  <si>
    <t>controladoria@palmacia.ce.gov.br, 
matheusgomeschagas@gmail.com,
administracao@palmacia.ce.gov.br</t>
  </si>
  <si>
    <t>PREFEITURA MUNICIPAL DE PALMACIA - AGRICULTURA E ABASTECIMENTO</t>
  </si>
  <si>
    <t>agricultura@palmacia.ce.gov.br,
controladoria@palmacia.ce.gov.br,
matheusgomeschagas@gmail.com</t>
  </si>
  <si>
    <t>PREFEITURA MUNICIPAL DE PALMACIA - CULTURA</t>
  </si>
  <si>
    <t>controladoria@palmacia.ce.gov.br,
matheusgomeschagas@gmail.com, 
cultura@palmacia.ce.gov.br</t>
  </si>
  <si>
    <t>PREFEITURA MUNICIPAL DE PALMACIA - FINANÇAS</t>
  </si>
  <si>
    <t>matheusgomeschagas@gmail.com,
controladoria@palmacia.ce.gov.br, 
smefinanca@palmacia.ce.gov.br</t>
  </si>
  <si>
    <t xml:space="preserve">PREFEITURA MUNICIPAL DE ARACATI - DESENVOLVIMENTO AGRÁRIO </t>
  </si>
  <si>
    <t>PREFEITURA MUNICIPAL DE PALMACIA - OBRAS E MEIO AMBIENTE</t>
  </si>
  <si>
    <t>(85) 3924-6907/ (85) 3924-6907</t>
  </si>
  <si>
    <t>obras@palmacia.ce.gov.br,
controladoria@palmacia.ce.gov.br,
matheusgomeschagas@gmail.com</t>
  </si>
  <si>
    <t>PREFEITURA MUNICIPAL DE PALMACIA - SAÚDE</t>
  </si>
  <si>
    <t>(85) 9.9110-5699 / (85) 3924-6909</t>
  </si>
  <si>
    <t>saude@palmacia.ce.gov.br,
controladoria@palmacia.ce.gov.br,
matheusgomeschagas@gmail.com</t>
  </si>
  <si>
    <t>HOSPITAL MUNICIPAL DR. AUGEU BRAGA HERBSTER</t>
  </si>
  <si>
    <t>hmabhbraga2021@gmail.com</t>
  </si>
  <si>
    <t>PREFEITURA MUNICIPAL DE MARANGUAPE - AGRICULTURA, PESCA E RECURSOS HÍDRICOS</t>
  </si>
  <si>
    <t>seagri.maranguape@yahoo.com</t>
  </si>
  <si>
    <t>PREFEITURA MUNICIPAL DE MARANGUAPE - EDUCAÇÃO</t>
  </si>
  <si>
    <t>coord.financ.educacao@gmail.com</t>
  </si>
  <si>
    <t xml:space="preserve">CÂMARA MUNICIPAL DE CAUCAIA </t>
  </si>
  <si>
    <t>72.324.635/0001-55</t>
  </si>
  <si>
    <t>(85) 3342-1021</t>
  </si>
  <si>
    <t>celutaf@yahoo.com.br,
ronaldo_bandahesed@yahoo.com.br</t>
  </si>
  <si>
    <t>PREFEITURA MUNICIPAL DE ARACATI - DESENV ECON, TRAB E RENDA</t>
  </si>
  <si>
    <t>deyvid.qroz@gmail.com</t>
  </si>
  <si>
    <t>PREFEITURA MUNICIPAL DE CAUCAIA - TURISMO E CULTURA</t>
  </si>
  <si>
    <t>07.616.162/0001-06</t>
  </si>
  <si>
    <t>financeiro@setur.caucaia.ce.gov.br</t>
  </si>
  <si>
    <t>PREFEITURA MUNICIPAL DE CAUCAIA - ADMINISTRAÇÃO E RECURSOS HUMANOS</t>
  </si>
  <si>
    <t>(85) 9.9762-0722</t>
  </si>
  <si>
    <t>pgm@caucaia.ce.gov.br,
secretaria.segov@caucaia.ce.gov.br,
financeiro@sgg.caucaia.ce.gov.br,
gilmaria@sead.caucaia.ce.gov.br,
financeiro@pgm.caucaia.ce.gov.br</t>
  </si>
  <si>
    <t>PREFEITURA MUNICIPAL DE ARACATI - EDUCAÇÃO</t>
  </si>
  <si>
    <t>atendimentoseplad@aracati.ce.gov.br,
educacao@aracati.ce.gov.br,
TITTO.SOL@aracati.ce.gov.br,
pedro.henrique@aracati.ce.gov.br</t>
  </si>
  <si>
    <t>PREFEITURA MUNICIPAL DE CAUCAIA - AUTARQUIA MUNICIPAL DE TRÂNSITO</t>
  </si>
  <si>
    <t>05.577.643/0001-16</t>
  </si>
  <si>
    <t>(85) 9.9762-0103</t>
  </si>
  <si>
    <t>apoiofinanceiro@amt.caucaia.ce.gov.br</t>
  </si>
  <si>
    <t>PREFEITURA MUNICIPAL DE CANINDE - SECRETARIA DE ASSISTÊNCIA SOCIAL</t>
  </si>
  <si>
    <t>acaosocialcaninde@yahoo.com.br</t>
  </si>
  <si>
    <t>PREFEITURA MUNICIPAL DE ARACATI - ESPORTE E LAZER</t>
  </si>
  <si>
    <t>beatriz.rocha@aracati.ce.gov.br,
TITTO.SOL@aracati.ce.gov.br&gt;,
esporte@aracati.ce.gov.br</t>
  </si>
  <si>
    <t>PREFEITURA MUNICIPAL DE ARACATI - FINANÇAS</t>
  </si>
  <si>
    <t>karine.barbosa@aracati.ce.gov.br,
TITTO.SOL@aracati.ce.gov.br,
conasp.aracati@gmail.com</t>
  </si>
  <si>
    <t>PREFEITURA MUNICIPAL DE ARACATI - SEGURIDADE SOCIAL</t>
  </si>
  <si>
    <t>gleiciene.costa@aracati.ce.gov.br,
TITTO.SOL@aracati.ce.gov.br&gt;,
fmssaracati@aracati.ce.gov.br,
gessika.costa@aracati.ce.gov.br</t>
  </si>
  <si>
    <t>PREFEITURA MUNICIPAL DE ARACATI - GABINETE DO PREFEITO</t>
  </si>
  <si>
    <t>TITTO.SOL@aracati.ce.gov.br,
chefiadegabinete@aracati.ce.gov.br,
karla.firmeza@aracati.ce.gov.br</t>
  </si>
  <si>
    <t xml:space="preserve">SEMIT </t>
  </si>
  <si>
    <t>SECRETARIA MUNICIPAL DE INFORMAÇÃO E TECNOLOGIA - SEMIT</t>
  </si>
  <si>
    <t>MARANHÃO</t>
  </si>
  <si>
    <t>(98) 99175 4895</t>
  </si>
  <si>
    <t>gabinete@semit.saoluis.ma.gov.br</t>
  </si>
  <si>
    <t>PREFEITURA MUNICIPAL DE CAMOCIM - CONSERVAÇÃO E SERVIÇOS PUBLICOS</t>
  </si>
  <si>
    <t>07.660.350/0001-23</t>
  </si>
  <si>
    <t xml:space="preserve">
(88) 3621-2123 / 3621-0024</t>
  </si>
  <si>
    <t>semconsp@camocim.ce.gov.br</t>
  </si>
  <si>
    <t>PREFEITURA MUNICIPAL DE CAMOCIM - CULTURA</t>
  </si>
  <si>
    <t xml:space="preserve">
ouvidoria@camocim.ce.gov.br
comunicacao@camocim.ce.gov.br</t>
  </si>
  <si>
    <t>PREFEITURA MUNICIPAL DE CAMOCIM -  DESENVOLVIMENTO SOCIAL E CIDADANIA</t>
  </si>
  <si>
    <t>(88) 3621-2123 / 3621-0024</t>
  </si>
  <si>
    <t xml:space="preserve">PREFEITURA MUNICIPAL DE CAMOCIM - EDUCAÇÃO </t>
  </si>
  <si>
    <t>PREFEITURA MUNICIPAL DE CAMOCIM - ESPORTE E JUVENTUDE</t>
  </si>
  <si>
    <t>PREFEITURA MUNICIPAL DE CAMOCIM - GABINETE DA PREFEITA</t>
  </si>
  <si>
    <t>PREFEITURA MUNICIPAL DE CAMOCIM - GESTÃO ADMINISTRATIVA</t>
  </si>
  <si>
    <t>PREFEITURA MUNICIPAL DE CAMOCIM - INFRAESTRUTURA</t>
  </si>
  <si>
    <t>PREFEITURA MUNICIPAL DE CAMOCIM - PESCA, AGRICULTURA, RECURSOS HÍDRICOS E MEIO AMBIENTE</t>
  </si>
  <si>
    <t>PREFEITURA MUNICIPAL DE CAMOCIM - PROCURADORIA GERAL DO MUNICÍPIO</t>
  </si>
  <si>
    <t>PREFEITURA MUNICIPAL DE CAMOCIM - SAÚDE</t>
  </si>
  <si>
    <t>PREFEITURA MUNICIPAL DE CAMOCIM - SEGURANÇA, TRÂNSITO E DEFESA CIVIL</t>
  </si>
  <si>
    <t>PREFEITURA MUNICIPAL DE CAMOCIM - TURISMO E DESENVOLVIMENTO ECONÔMICO</t>
  </si>
  <si>
    <t>PREFEITURA  MUNICIPAL DE CAUCAIA - CONTROLADORIA</t>
  </si>
  <si>
    <t>(85) 3342-8064</t>
  </si>
  <si>
    <t>daf@cgm.caucaia.ce.gov.br,
danilo.gurgel@cgm.caucaia.ce.gov.br, 
cgm@caucaia.ce.gov.br</t>
  </si>
  <si>
    <t>PREFEITURA  MUNICIPAL DE CAUCAIA - DESENVOLVMENTO RURAL</t>
  </si>
  <si>
    <t>financeiro@sda.caucaia.ce.gov.br,
financeiro@sdr.caucaia.ce.gov.br</t>
  </si>
  <si>
    <t>PREFEITURA  MUNICIPAL DE CAUCAIA - DESENVOLVMENTO SOCIAL</t>
  </si>
  <si>
    <t>sas@caucaia.ce.gov.br</t>
  </si>
  <si>
    <t>PREFEITURA MUNICIPAL DE ARACATI - IQUAMA</t>
  </si>
  <si>
    <t>(88) 3421-3428</t>
  </si>
  <si>
    <t>ruanito.santos@aracati.ce.gov.br,
TITTO.SOL@aracati.ce.gov.br&gt;</t>
  </si>
  <si>
    <t>PREFEITURA MUNICIPAL DE ARACATI - MEIO AMBIENTE</t>
  </si>
  <si>
    <t>PREFEITURA MUNICIPAL DE ARACATI - PLANEJAMENTO E ADMINISTRAÇÃO</t>
  </si>
  <si>
    <t>TITTO.SOL@aracati.ce.gov.br&gt;,
atendimentoseplad@aracati.ce.gov.br,
leia.convenios.aracati@gmail.com</t>
  </si>
  <si>
    <t>PREFEITURA MUNICIPAL DE ARACATI - PROCURADORIA</t>
  </si>
  <si>
    <t>pgmaracati@aracati.ce.gov.br,
georgia.moura@aracati.ce.gov.br&gt;,
TITTO.SOL@aracati.ce.gov.br&gt;</t>
  </si>
  <si>
    <t>PREFEITURA MUNICIPAL DE CANINDE - CHEFIA DE GABINETE</t>
  </si>
  <si>
    <t>chefiadegabinetecaninde@gmail.com</t>
  </si>
  <si>
    <t>PREFEITURA MUNICIPAL DE CANINDE - CONTROLADORIA GERAL DO MUNICÍPIO</t>
  </si>
  <si>
    <t>controladoriainternacaninde@gmail.com</t>
  </si>
  <si>
    <t>PREFEITURA MUNICIPAL DE CANINDE - SECRETARIA DE DESENVOLVIMENTO ECONÔMICO E TURISMO</t>
  </si>
  <si>
    <t>setuc.caninde@gmail.com</t>
  </si>
  <si>
    <t>PREFEITURA MUNICIPAL DE CANINDE - SECRETARIA MUNICIPAL DE DESENVOLVIMENTO URBANO, INFRAESTRUTURA E SERVIÇOS PÚBLICOS</t>
  </si>
  <si>
    <t>seinfra.canindece@gmail.com</t>
  </si>
  <si>
    <t>PREFEITURA MUNICIPAL DE CANINDE - FUNDAÇÃO DE ESPORTE, CULTURA E PATRIMÔNIO</t>
  </si>
  <si>
    <t>contatofuntec@gmail.com</t>
  </si>
  <si>
    <t>PREFEITURA MUNICIPAL DE CANINDE - SECRETARIA DE PLANEJAMENTO, ADMINISTRAÇÃO E 
FINANÇAS</t>
  </si>
  <si>
    <t>PREFEITURA MUNICIPAL DE CANINDE - SECRETARIA DE PLANEJAMENTO, ADMINISTRAÇÃO E 
FINANÇAS</t>
  </si>
  <si>
    <t>secfinancascaninde@gmail.com</t>
  </si>
  <si>
    <t>PREFEITURA MUNICIPAL DE CANINDE - PROCURADORIA GERAL DO MUNICÍPIO</t>
  </si>
  <si>
    <t>procuradoria@caninde.ce.gov.br</t>
  </si>
  <si>
    <t>PREFEITURA MUNICIPAL DE CANINDE - SECRETARIA DE SAÚDE</t>
  </si>
  <si>
    <t>secretariadasaude2017@gmail.com</t>
  </si>
  <si>
    <t>PREFEITURA MUNICIPAL DE CANINDE - SECRETARIA DE SEGURANÇA PÚBLICA E TRÂNSITO</t>
  </si>
  <si>
    <t>smtscaninde@gmail.com</t>
  </si>
  <si>
    <t>PREFEITURA MUNICIPAL DE ARACATI - SAÚDE</t>
  </si>
  <si>
    <t>TITTO.SOL@aracati.ce.gov.br,
RAQUEL.SILVA@aracati.ce.gov.br,
fsaudearacati@aracati.ce.gov.br,
acemira.ribeiro@aracati.ce.gov.br</t>
  </si>
  <si>
    <t>PREFEITURA MUNICIPAL DE ARACATI - SEINFRA</t>
  </si>
  <si>
    <t>FERNANDA.SOUZA@aracati.ce.gov.br,
TITTO.SOL@aracati.ce.gov.br&gt;,
mayara.torquato@aracati.ce.gov.br</t>
  </si>
  <si>
    <t>PREFEITURA MUNICIPAL DE ARACATI - TURISMO E CULTURA</t>
  </si>
  <si>
    <t>TITTO.SOL@aracati.ce.gov.br&gt;,
ithalo.gondim@aracati.ce.gov.br,
ruth.alexandre@aracati.ce.gov.br</t>
  </si>
  <si>
    <t>PREFEITURA MUNICIPAL DE ARACATI - DESENVOLVIMENTO SOCIAL</t>
  </si>
  <si>
    <t>PREFEITURA  MUNICIPAL DE ARACATI - DESENVOLVIMENTO SOCIAL</t>
  </si>
  <si>
    <t>assistenciasocialfinanceiro4@gmail.com,
assistenciasocialfinanceiro@gmail.com,
TITTO.SOL@aracati.ce.gov.br,
daniela.caretta@aracati.ce.gov.br</t>
  </si>
  <si>
    <t>PREFEITURA MUNICIPAL DE CAUCAIA -  SECRETARIA DE GESTÃO E GOVERNO</t>
  </si>
  <si>
    <t>(85) 3342-4410</t>
  </si>
  <si>
    <t xml:space="preserve"> ascom@caucaia.ce.gov.br</t>
  </si>
  <si>
    <t xml:space="preserve">ISGH </t>
  </si>
  <si>
    <t>INSTITUTO DE SAÚDE E GESTÃO HOSPITALAR</t>
  </si>
  <si>
    <t>05.268.526/0001-70</t>
  </si>
  <si>
    <t>(85) 3195-2722</t>
  </si>
  <si>
    <t>erick.epr@isgh.org.br,
contratos@isgh.org.br,
luidgi.lmr@isgh.org.br</t>
  </si>
  <si>
    <t xml:space="preserve">PREFEITURA MUNICIPAL DE CAUCAIA -  SECRETARIA MUNICIPAL DE PLANEJAMENTO URBANO E AMBIENTAL </t>
  </si>
  <si>
    <t>administrativo.seplam@caucaia.ce.gov.br</t>
  </si>
  <si>
    <t>PREFEITURA MUNICIPAL DE CAUCAIA - SECRETARIA MUNICIPAL DE INFRAESTRUTURA</t>
  </si>
  <si>
    <t>administracao@seinfra.caucaia.ce.gov.br&gt;,
seinfra@caucaia.ce.gov.br,
eng.robson.caucaia@gmail.com</t>
  </si>
  <si>
    <t>PREFEITURA MUNICIPAL DE CAUCAIA - PROCURADORIA-GERAL DO MUNICÍPIO</t>
  </si>
  <si>
    <t>pgm@caucaia.ce.gov.br,
secretaria.segov@caucaia.ce.gov.br,
financeiro@sgg.caucaia.ce.gov.br,
gilmaria@sead.caucaia.ce.gov.br,
FINANCEIRO@pgm.caucaia.ce.gov.br</t>
  </si>
  <si>
    <t>PREFEITURA MUNICIPAL DE CAUCAIA - SECRETARIA MUNICIPAL DE PATRIMÔNIO E TRANSPORTE</t>
  </si>
  <si>
    <t>financeiro@spsp.caucaia.ce.gov.br</t>
  </si>
  <si>
    <t>PREFEITURA MUNICIPAL DE CAUCAIA - INSTITUTO DE PREVIDÊNCIA DO MUNICÍPIO</t>
  </si>
  <si>
    <t>financeiro@ipm.caucaia.ce.gov.br</t>
  </si>
  <si>
    <t>PREFEITURA MUNICIPAL DE CAUCAIA - INSTITUTO DO MEIO AMBIENTE DO MUNICÍPIO</t>
  </si>
  <si>
    <t>financeiro@imac.caucaia.ce.gov.br</t>
  </si>
  <si>
    <t>PREFEITURA MUNICIPAL DE CAUCAIA - GABINETE DO VICE PREFEITO</t>
  </si>
  <si>
    <t>gabinete.vice@caucaia.ce.gov.br&gt;,
beatriz.gabvice@caucaia.ce.gov.br&gt;</t>
  </si>
  <si>
    <t>PREFEITURA MUNICIPAL DE CAUCAIA - GABINETE DO PREFEITO</t>
  </si>
  <si>
    <t>chefedegabinete@gabinete.caucaia.ce.gov.br,
financeiro@gabinete.caucaia.ce.gov.br&gt;</t>
  </si>
  <si>
    <t>PREFEITURA MUNICIPAL DE CAUCAIA - SECRETARIA MUNICIPAL DE FINANÇAS, PLANEJAMENTO E ORÇAMENTO</t>
  </si>
  <si>
    <t>coafi@sefin.caucaia.ce.gov.br,
angela.amancio@sefin.caucaia.ce.gov.br</t>
  </si>
  <si>
    <t>PREFEITURA MUNICIPAL DE CAUCAIA - SECRETARIA MUNICIPAL DE ESPORTE E JUVENTUDE</t>
  </si>
  <si>
    <t>sejuv@caucaia.ce.gov.br,
gaf@sejuv.caucaia.ce.gov.br</t>
  </si>
  <si>
    <t>PREFEITURA MUNICIPAL DE CAUCAIA - SECRETARIA MUNICIPAL DE EDUCAÇÃO, CIÊNCIA E TECNOLOGIA</t>
  </si>
  <si>
    <t>diretoriafinanceira@sme.caucaia.ce.gov.br,
financeiro@sme.caucaia.ce.gov.br,
sme@caucaia.ce.gov.br&gt;</t>
  </si>
  <si>
    <t>TOP TRANSPORTES</t>
  </si>
  <si>
    <t>TOP COMÉRCIO E TRANSPORTES LTDA</t>
  </si>
  <si>
    <t>04.157.626/0002-48</t>
  </si>
  <si>
    <t>top.transporte@gmail.com</t>
  </si>
  <si>
    <t>ANA KALINCA</t>
  </si>
  <si>
    <t>46.907.724/001-14</t>
  </si>
  <si>
    <t>ISRAELGESTARQ@gmail.com</t>
  </si>
  <si>
    <t>PREFEITURA MUNICIPAL DE CAUCAIA - SECRETARIA DE SEGURANÇA PÚBLICA DE CAUCAIA</t>
  </si>
  <si>
    <t>financeiro.ssp@caucaia.ce.gov.br</t>
  </si>
  <si>
    <t xml:space="preserve">ESCOLA PREPARATÓRIA DE CADETES DO EXÉRCITO </t>
  </si>
  <si>
    <t>09.559.822/0001-81</t>
  </si>
  <si>
    <t>(19) 3744-2000</t>
  </si>
  <si>
    <t>adj-ssaa@espcex.eb.mil.br,
aux-ssaa@espcex.eb.mil.br</t>
  </si>
  <si>
    <t>FUNASA</t>
  </si>
  <si>
    <t>FUNDAÇÃO NACIONAL DE SAÚDE</t>
  </si>
  <si>
    <t>26.989.350/0526-98</t>
  </si>
  <si>
    <t>MATO GROSSO DO SUL</t>
  </si>
  <si>
    <t>(67) 3309-6300.</t>
  </si>
  <si>
    <t>gilberto.aranda@funasa.gov.br</t>
  </si>
  <si>
    <t>20º RCB</t>
  </si>
  <si>
    <t>20 REGIMENTO DE CAVALARIA BLINDADO</t>
  </si>
  <si>
    <t>09.549.396/0001-03</t>
  </si>
  <si>
    <t>(67) 3368-4729</t>
  </si>
  <si>
    <t>pd20rcb@20rcb.eb.mil.br, isccontr03@20rcb.eb.mil.br</t>
  </si>
  <si>
    <t>COREN DF</t>
  </si>
  <si>
    <t>CONSELHO REGIONAL DE ENFERMAGEM DO DISTRITO FEDERAL</t>
  </si>
  <si>
    <t>03.875.295/0001-38</t>
  </si>
  <si>
    <t>BRASILIA</t>
  </si>
  <si>
    <t>(61) 2102-3754</t>
  </si>
  <si>
    <t>carlos.matsumoto@coren-df.gov.br,
joao.oliveira@coren-df.gov.br,
sergio.lima@coren-df.gov.bR.</t>
  </si>
  <si>
    <t>CINDACTA I</t>
  </si>
  <si>
    <t>PRIMEIRO CENTRO INTEGRADO DE DEFESA AÉREA E CONTROLE DE TRÁFEGO AÉREO</t>
  </si>
  <si>
    <t>00.394.429/0040-17</t>
  </si>
  <si>
    <t>(61)3364-8000 / (61)3365 1134</t>
  </si>
  <si>
    <t>lealall@fab.mil.br, giselmagmsd@fab.mil.br</t>
  </si>
  <si>
    <t>CRN1</t>
  </si>
  <si>
    <t>CONSELHO REGIONAL DE NUTRIÇÃO 1º REGIÃO</t>
  </si>
  <si>
    <t>00.581.009.0001/33</t>
  </si>
  <si>
    <t>(61) 3328-3078</t>
  </si>
  <si>
    <t>financeiro@crn1.org.br</t>
  </si>
  <si>
    <t xml:space="preserve">CLA </t>
  </si>
  <si>
    <t>CENTRO DE LANÇAMENTO DE ALCÂNTARA</t>
  </si>
  <si>
    <t>00.394.429/0124-60</t>
  </si>
  <si>
    <t>(98) 3311-9000</t>
  </si>
  <si>
    <t>levinorfsl@fab.mil.br</t>
  </si>
  <si>
    <t>CISNORDESTE SC</t>
  </si>
  <si>
    <t>CONSÓRCIO INTERFEDERATIVO DE SAÚDE DO NORDESTE DE SANTA CATARINA</t>
  </si>
  <si>
    <t>03.222.337/0001-31</t>
  </si>
  <si>
    <t>patricia@cisnordeste.sc.gov.br</t>
  </si>
  <si>
    <t>CREF</t>
  </si>
  <si>
    <t>CONSELHO REGIONAL DE EDUCAÇÃO FÍSICA</t>
  </si>
  <si>
    <t>03.678.523/0001-80</t>
  </si>
  <si>
    <t>PREFEITURA MUNICIPAL DE TAUÁ - SECRETARIA DE DIREITOS HUMANOS, CIDADANIA E DIVERSIDADE</t>
  </si>
  <si>
    <t>07.849.523/0001-47</t>
  </si>
  <si>
    <t>(85) 99767-3235</t>
  </si>
  <si>
    <t>financas@taua.ce.gov.br,
angelas2gon@gmail.com</t>
  </si>
  <si>
    <t>SECRETARIA EXTRAORDINÁRIA DE REPRESENTAÇÃO DO GOVERNO DO ESTADO DO AMAPÁ EM BRASÍLIA – SEAB</t>
  </si>
  <si>
    <t>00.394.577.0002-06</t>
  </si>
  <si>
    <t>AMAPÁ</t>
  </si>
  <si>
    <t>(61) 3550.4005</t>
  </si>
  <si>
    <t>administracao@seab.ap.gov.br</t>
  </si>
  <si>
    <t>SECRETARIA DO DESENVOLVIMENTO ECONÔMICO - SDE</t>
  </si>
  <si>
    <t>22.064.583/0001-57</t>
  </si>
  <si>
    <t>(85) 3108-1052 / 3108-1003</t>
  </si>
  <si>
    <t>kleber.azevedo@sde.ce.gov.br</t>
  </si>
  <si>
    <t>SUPERINTENDÊNCIA ESTADUAL DO MINISTÉRIO DA SAÚDE NO CEARÁ - SEMS/CE</t>
  </si>
  <si>
    <t>00.394.544/0180-41</t>
  </si>
  <si>
    <t>(85) 3209-3410</t>
  </si>
  <si>
    <t>seloa.semsce@saude.gov.br
jose.martins@saude.gov.br</t>
  </si>
  <si>
    <t>MARANHÃO PARCEIRIAS - MAPA</t>
  </si>
  <si>
    <t>06.281.794/0001-95</t>
  </si>
  <si>
    <t>(98) 3210 3408</t>
  </si>
  <si>
    <t>diego.bordalo@mapa.ma.gov.br</t>
  </si>
  <si>
    <t xml:space="preserve">REPRESENTAÇÃO DO MUNICÍPIO DE PALMAS - SECRETARIA MUNICIPAL DO GABINETE DO PREFEITO EM BRASILIA </t>
  </si>
  <si>
    <t>24.851.511/0001-85</t>
  </si>
  <si>
    <t>(63) 3218-5005</t>
  </si>
  <si>
    <t>gabineteprefeito@palmas.to.gov.br</t>
  </si>
  <si>
    <t>VICE-PREFEITURA DE SÃO LUIS - GAVIC</t>
  </si>
  <si>
    <t>(98) 99137-0319</t>
  </si>
  <si>
    <t>assejur.gavic@gmail.com</t>
  </si>
  <si>
    <t>SECRETARIA MUNICIPAL DE INOVAÇÃO, SUSTENTABILIDADE E PROJETOS ESPECIAIS – SEMISPE</t>
  </si>
  <si>
    <t>yaf.semispe@gmail.com, 
adm.semispe@gmail.com</t>
  </si>
  <si>
    <t xml:space="preserve">CÂMARA MUNICIPAL DE CASCAVEL </t>
  </si>
  <si>
    <t>CÂMARA MUNICIPAL DE CASCAVEL</t>
  </si>
  <si>
    <t>04.047.906/0001-25</t>
  </si>
  <si>
    <t>(85) 2180-8085</t>
  </si>
  <si>
    <t>cmc.cascavel@hotmail.com</t>
  </si>
  <si>
    <t>SECRETARIA MUNICIPAL DE SEGURANÇA COM CIDADANIA−SEMUSC</t>
  </si>
  <si>
    <t>gabinete.semusc@gmail.com,
rh.semusc@gmail.com&gt;</t>
  </si>
  <si>
    <t>PREFEITURA MUNICIPAL DE TAUÁ - SECRETARIA DE SEGURANÇA CIDADÃ</t>
  </si>
  <si>
    <t>07.849.532/0001-47</t>
  </si>
  <si>
    <t>sec.segurancataua@gmail.com</t>
  </si>
  <si>
    <t xml:space="preserve">GOVERNO MUNICIPAL DE CANINDÉ - SECRETARIA DO MEIO AMBIENTE </t>
  </si>
  <si>
    <t>financeiro.semacaninde@gmail.com</t>
  </si>
  <si>
    <t xml:space="preserve">MUNICIPIO DE GRANJA - CÂMARA MUNICIPAL DE GRANJA </t>
  </si>
  <si>
    <t>01.910.740/0001-72</t>
  </si>
  <si>
    <t xml:space="preserve"> camara@camaragranja.ce.gov.</t>
  </si>
  <si>
    <t>MUNICÍPIO DE CRATO - SECRETARIA DE EDUCAÇÃO</t>
  </si>
  <si>
    <t>07.587.975/0001-07</t>
  </si>
  <si>
    <t>financeiro.smpg@crato.ce.gov.br,
cratocompras@gmail.com,
klcarlinhom@gmail.com,
italolennon@gmail.com</t>
  </si>
  <si>
    <t>MUNICIPIO DE CANINDÉ - CÂMARA MUNICIPAL DE CANINDÉ</t>
  </si>
  <si>
    <t>07.385.404/0001-90</t>
  </si>
  <si>
    <t>legislativocanindecontabil@gmail.com</t>
  </si>
  <si>
    <t xml:space="preserve">CELERE TECNOLOGIA E ASSESSORIA EM SAUDE PUBLICA E PRIVADA LTDA - UNIDADE EUSEBIO </t>
  </si>
  <si>
    <t>31.810.764/0001-76</t>
  </si>
  <si>
    <t>(85) 99206-4076</t>
  </si>
  <si>
    <t>comercial@celeretecnologia.com.br</t>
  </si>
  <si>
    <t>CELERE TECNOLOGIA E ASSESSORIA EM SAUDE PUBLICA E PRIVADA LTDA - UNIDADE ITAPECERICA DA SERRA</t>
  </si>
  <si>
    <t xml:space="preserve">SÃO PAULO </t>
  </si>
  <si>
    <t>CELERE TECNOLOGIA E ASSESSORIA EM SAUDE PUBLICA E PRIVADA LTDA - UNIDADE MAIRINQUE</t>
  </si>
  <si>
    <t>CELERE TECNOLOGIA E ASSESSORIA EM SAUDE PUBLICA E PRIVADA LTDA - UNIDADE SERRA DO MEL</t>
  </si>
  <si>
    <t>INOVA TABULEIRO SA</t>
  </si>
  <si>
    <t>44.666.478/0001-20</t>
  </si>
  <si>
    <t>(88) 9 81515749 
(85) 9 9204217</t>
  </si>
  <si>
    <t>inovatabuleirosetorcompras@gmail.com</t>
  </si>
  <si>
    <t>ASSOCIACAO DE APOIO AO PROTAGONISMO JUVENIL</t>
  </si>
  <si>
    <t>11.827.838/0001-70</t>
  </si>
  <si>
    <t>(88)  9 8850.9351</t>
  </si>
  <si>
    <t>ngdiasf@yahoo.com.br</t>
  </si>
  <si>
    <t>CARTÓRIO DO 2º OFÍCIO DE TAUÁ</t>
  </si>
  <si>
    <t>48.561.750/0001-69</t>
  </si>
  <si>
    <t>(12) 99654-0075</t>
  </si>
  <si>
    <t>arianecro@hotmail.com</t>
  </si>
  <si>
    <t>ASSOCIAÇÃO ECOS DE ESPERANÇA DO CARIRI</t>
  </si>
  <si>
    <t>30.012.367/0001-96</t>
  </si>
  <si>
    <t>(88) 9.9921-636</t>
  </si>
  <si>
    <t>adalberto.maia@hotmail.com 
ecoscariri@hotmail.com</t>
  </si>
  <si>
    <t>SANTANA &amp; PAIVA SERVICOS ADMINISTRATIVOS LTDA</t>
  </si>
  <si>
    <t xml:space="preserve"> 18.324.951/0001-81</t>
  </si>
  <si>
    <t xml:space="preserve"> (88) 99804-7026 , (88) 999281981</t>
  </si>
  <si>
    <t>j.paiva.santana@bol.com.br</t>
  </si>
  <si>
    <t>COMPANHIA DE INTELIGÊNCIA URBANA E SERVIÇOS S/A</t>
  </si>
  <si>
    <t>40.211.550/0001-74</t>
  </si>
  <si>
    <t>rodrigo.lucena@urbantech.com.br,
Financeiro@urbantech.com.br,
compras@urbantech.com.br</t>
  </si>
  <si>
    <t>ROZANA DUARTE DA SILVA-ME</t>
  </si>
  <si>
    <t>23.585.953/0001-64</t>
  </si>
  <si>
    <t>rozanaduarte@hotmail.com</t>
  </si>
  <si>
    <t>H F DA ROCHA COMERCIO SERVIÇOS</t>
  </si>
  <si>
    <t>29.771.327/0001-49</t>
  </si>
  <si>
    <t>(85) 9.8926.9000</t>
  </si>
  <si>
    <t>helton1683@gmail.com</t>
  </si>
  <si>
    <t xml:space="preserve">OTICA EVANGELISTA </t>
  </si>
  <si>
    <t>OTICA EVANGELISTA COMERCIO DE ARTIGOS OPTICOS LTDA</t>
  </si>
  <si>
    <t>04.234.693/0001-38</t>
  </si>
  <si>
    <t>(85) 3254.6054</t>
  </si>
  <si>
    <t>lelosi@hotmail.com</t>
  </si>
  <si>
    <t>IDT</t>
  </si>
  <si>
    <t>INSTITUTO DE DESENVOLVIMENTO DO TRABALHO</t>
  </si>
  <si>
    <t>02.533.538/0001-97</t>
  </si>
  <si>
    <t>(85) 2180-6210</t>
  </si>
  <si>
    <t xml:space="preserve">FAMA SOLUCOES </t>
  </si>
  <si>
    <t>FAMA SOLUCOES EM RECUPERACAO DE CREDITO LTDA,</t>
  </si>
  <si>
    <t>14.362.630/0001-10,</t>
  </si>
  <si>
    <t>(85) 3045-7474,</t>
  </si>
  <si>
    <t>financeiro@solucoesfama.com.br ,</t>
  </si>
  <si>
    <t>G&amp;T CONTROLLER LTDA ME</t>
  </si>
  <si>
    <t>10.548.533/0001-66</t>
  </si>
  <si>
    <t>(85) 3232.8828</t>
  </si>
  <si>
    <t>administrativo@gtcontroller.com.br</t>
  </si>
  <si>
    <t>ÂMBITO PÚBLICO ASSESSORIA EM LICITACOES E GESTAO PUBLICA LTDA</t>
  </si>
  <si>
    <t>26.957.388/0001-07</t>
  </si>
  <si>
    <t>(85) 9823-0389</t>
  </si>
  <si>
    <t>ambitopublicoassessoria@gmail.com</t>
  </si>
  <si>
    <t>CONEXAO CONSTRUTORA</t>
  </si>
  <si>
    <t>CONEXAO CONSTRUTORA EMPREENDIMENTOS E SOLUCOES LTDA</t>
  </si>
  <si>
    <t>20.014.757/0001-41,</t>
  </si>
  <si>
    <t>(88) 99653-1767,</t>
  </si>
  <si>
    <t>conexao.construtorasolucoes@gmail.com</t>
  </si>
  <si>
    <t>QUEIROZ EDUCACIONAL LTDA</t>
  </si>
  <si>
    <t>51.359.498/0001-14</t>
  </si>
  <si>
    <t>(84)994027240</t>
  </si>
  <si>
    <t>italo.queiroz@parceiro-kroton.com.br ,</t>
  </si>
  <si>
    <t>S Z SERVICOS COMERCIO E DISTRIBUICAO LTDA,</t>
  </si>
  <si>
    <t>06.910.834/0001-10,</t>
  </si>
  <si>
    <t>(85) 92001-1174</t>
  </si>
  <si>
    <t>CORPORATIVO@SZINDUSTRIAEDISTRIBUICAO.IND.BR,</t>
  </si>
  <si>
    <t>CASA TELES COMERCIO DE MOVEIS LTDA</t>
  </si>
  <si>
    <t>32.021.395/0001-03,</t>
  </si>
  <si>
    <t>(85) 981737292,</t>
  </si>
  <si>
    <t>Financeiro@casatelesce.com,</t>
  </si>
  <si>
    <t>Fundação Edson Queiroz - UNIFOR</t>
  </si>
  <si>
    <t>Fundação Edson Queiroz</t>
  </si>
  <si>
    <t>07.373.434/0001-86</t>
  </si>
  <si>
    <t>(85)85-3477-3005</t>
  </si>
  <si>
    <t>servicos@unifor.br,</t>
  </si>
  <si>
    <t>TORRES ASSESSORIA EM LICITAÇÕES E GESTÃO PUBLICA LTDA,</t>
  </si>
  <si>
    <t>079.674.213-88,</t>
  </si>
  <si>
    <t>(88) 9.9968.7296,</t>
  </si>
  <si>
    <t>licitacoestorres@gmail.com,</t>
  </si>
  <si>
    <t>COMERCIAL DE MEDICAMENTOS CAVALCANTE LTDA - FARMÁCIA PREMIUM</t>
  </si>
  <si>
    <t>COMERCIAL DE MEDICAMENTOS CAVALCANTE LTDA</t>
  </si>
  <si>
    <t>(85) 98217-9970,</t>
  </si>
  <si>
    <t>financeiro@farmaciaspremium.com.br ,</t>
  </si>
  <si>
    <t>PREFEITURA MUNICIPAL DE TAUÁ - SECRETARIA DE GOVERNO</t>
  </si>
  <si>
    <t>(88) 98141-4670</t>
  </si>
  <si>
    <t>elsongomesst@gmail.com</t>
  </si>
  <si>
    <t>SOCIEDADE PAULISTA DE MEDICINA</t>
  </si>
  <si>
    <t>SOCIEDADE PAULISTA DE MEDICINA VETERINÁRIA</t>
  </si>
  <si>
    <t>47.676.085/0014-00</t>
  </si>
  <si>
    <t>(11) 98489-9070</t>
  </si>
  <si>
    <t>marisa.calfa@smpv.org.br</t>
  </si>
  <si>
    <t>FACULDADE CENTRO SUL LTDA</t>
  </si>
  <si>
    <t>28.720.127/0001-02</t>
  </si>
  <si>
    <t>(88) 98178-9256</t>
  </si>
  <si>
    <t>dario.felipe@hotmail.com ,</t>
  </si>
  <si>
    <t>INSTITUTO DE SAUDE, EDUCACAO E CULTURA - ISEC</t>
  </si>
  <si>
    <t>46.851.968/0001-22</t>
  </si>
  <si>
    <t>(85) 9679-0621</t>
  </si>
  <si>
    <t>INSTITUTOISECMN@GMAIL.COM</t>
  </si>
  <si>
    <t>CEE - CENTRO DE EDUCACÃO ELIT LTDA</t>
  </si>
  <si>
    <t>09.635.362/0001-23</t>
  </si>
  <si>
    <t>88) 9.9624.2622</t>
  </si>
  <si>
    <t>ciceroflavioc@gmail.com</t>
  </si>
  <si>
    <t>CASPE SERVIÇOS DE CONTABILIDADE PÚBLICA E EMPRESARIAL SS,</t>
  </si>
  <si>
    <t>12.467.321/0001-80,</t>
  </si>
  <si>
    <t>(88) 9. 8683.2838,</t>
  </si>
  <si>
    <t>caspe@caspecontabilidade.com,</t>
  </si>
  <si>
    <t>MN EMPREENDIMENTOS E SOLUÇÕES ADMINISTRATIVAS EIRELI,</t>
  </si>
  <si>
    <t>35.649.638/0001-32,</t>
  </si>
  <si>
    <t>(85) 99420-4798,</t>
  </si>
  <si>
    <t>mnempreendimentos2020@gmail.com,</t>
  </si>
  <si>
    <t>ESCRITÓRIO DE REPRESENTAGAO DO MINISTERIO DAS RELAÇÕS EXTERIORES EM SAO PAULO</t>
  </si>
  <si>
    <t>02.961.536/0001-07</t>
  </si>
  <si>
    <t>(11) 3065-6800</t>
  </si>
  <si>
    <t>ERESP - Administração &lt;administ.eresp@itamaraty.gov.br&gt;, Maria Eduarda Silva Rodrigues &lt;maria.e.rodrigues@itamaraty.gov.br&gt;</t>
  </si>
  <si>
    <t>PREFEITURA MUNICIPAL DE TAUÁ - SECRETARIA DE DESENVOLVIMENTO RURAL E  RECURSOS HIDRICOS</t>
  </si>
  <si>
    <t>(88) 9625-4376</t>
  </si>
  <si>
    <t>pmtsederhiod@gmail.com</t>
  </si>
  <si>
    <t>PREFEITURA MUNICIPAL DE AQUIRAZ - SECRETARIA DE ADMINISTRAÇÃO E PLANEJAMENTO</t>
  </si>
  <si>
    <t>07.911.696/0001-57</t>
  </si>
  <si>
    <t>(85) 99416-7854</t>
  </si>
  <si>
    <t>matheusgomeschagas@gmail.com</t>
  </si>
  <si>
    <t>PREFEITURA MUNICIPAL DE AQUIRAZ - SECRETARIA DE AGRICULTURA, PECUÁRIA, AQUICULTURA, PESCA E RECURSOS HÍDRICOS</t>
  </si>
  <si>
    <t>PREFEITURA MUNICIPAL DE ACARAU - CONTROLADORIA GERAL DO MUNICÍPIO E OUVIDORIA</t>
  </si>
  <si>
    <t>07.547.821/0001-91</t>
  </si>
  <si>
    <t>(88) 9.9610-6664 - (88) 98881-9057</t>
  </si>
  <si>
    <t>controladoria@acarau.ce.gov.br</t>
  </si>
  <si>
    <t>PREFEITURA MUNICIPAL DE AQUIRAZ - SECRETARIA DO TRABALHO E ASSISTÊNCIA SOCIAL</t>
  </si>
  <si>
    <t>CONSÓRCIO PÚBLICO DE SAÚDE DO MACIÇO DE BATURITÉ - CPSMB E</t>
  </si>
  <si>
    <t>11.490.043/0001-19</t>
  </si>
  <si>
    <t>(85) 3347-1044</t>
  </si>
  <si>
    <t>cpsmbaturite@gmail.com</t>
  </si>
  <si>
    <t>PREFEITURA MUNICIPAL DE AQUIRAZ - CONTROLADORIA GERAL DO MUNICIPIO</t>
  </si>
  <si>
    <t>CONSÓRCIO PÚBLICO DE SAÚDE DA MICRORREGIÃO DE CAMOCIM-CPSMCAM</t>
  </si>
  <si>
    <t>12.609.221/0001-40</t>
  </si>
  <si>
    <t>(88) 9.9372-8630</t>
  </si>
  <si>
    <t>contato@cpsmcamocim.ce.gov.br</t>
  </si>
  <si>
    <t>PREFEITURA MUNICIPAL DE AQUIRAZ - SECRETARIA DE CULTURA</t>
  </si>
  <si>
    <t>PREFEITURA MUNICIPAL DE AQUIRAZ - SECRETARIA DE EDUCAÇÃO</t>
  </si>
  <si>
    <t>PREFEITURA MUNICIPAL DE AQUIRAZ - SECRETARIA DE ESPORTE, JUVENTUDE E LAZER</t>
  </si>
  <si>
    <t>CONSÓRCIO PÚBLICO DE SAÚDE DA MICRORREGIÃO DE CRATO – CPSMC</t>
  </si>
  <si>
    <t>11.552.755/0001-15</t>
  </si>
  <si>
    <t>(88) 2018-1891</t>
  </si>
  <si>
    <t>cpsmcadm@gmail.com</t>
  </si>
  <si>
    <t>PREFEITURA MUNICIPAL DE AQUIRAZ - SECRETARIA DE FINANÇAS</t>
  </si>
  <si>
    <t>PREFEITURA MUNICIPAL DE AQUIRAZ - GABINETE DO VICE PREFEITO</t>
  </si>
  <si>
    <t>PREFEITURA MUNICIPAL DE AQUIRAZ - SECRETARIA DO GABINETE DO PREFEITO</t>
  </si>
  <si>
    <t xml:space="preserve">PREFEITURA MUNICIPAL DE ICÓ - SECRETARIA DO TRABALHO E ASSISTÊNCIA SOCIAL </t>
  </si>
  <si>
    <t>14.126.956/0001-49</t>
  </si>
  <si>
    <t>(88) 3561-2607</t>
  </si>
  <si>
    <t>assistencia@ico.ce.gov.br  setasico@gmail.com</t>
  </si>
  <si>
    <t>PREFEITURA MUNICIPAL DE AQUIRAZ - HOSPITAL GERAL MANOEL ASSUNÇÃO PIRES</t>
  </si>
  <si>
    <t>07.911.696/0002-38</t>
  </si>
  <si>
    <t>PREFEITURA MUNICIPAL DE AQUIRAZ - SECRETARIA DE MEIO AMBIENTE E DESENVOLVIMENTO URBANO</t>
  </si>
  <si>
    <t>PREFEITURA MUNICIPAL DE ICÓ - SECRETARIA DE EDUCAÇÃO</t>
  </si>
  <si>
    <t>07.669.682/0002-50</t>
  </si>
  <si>
    <t>(88) 3561-1508</t>
  </si>
  <si>
    <t>educacao@ico.ce.gov.br</t>
  </si>
  <si>
    <t>PREFEITURA MUNICIPAL DE AQUIRAZ - PROCURADORIA GERAL DO MUNICIPIO</t>
  </si>
  <si>
    <t xml:space="preserve">PREFEITURA MUNICIPAL DE ICÓ - SECRETARIA DE ADMINISTRAÇÃO E FINANÇAS </t>
  </si>
  <si>
    <t>07.669.682/0001-79</t>
  </si>
  <si>
    <t>admefinancas@ico.ce.gov.br - edsonfaco@yahoo.com.br</t>
  </si>
  <si>
    <t>PREFEITURA MUNICIPAL DE ICÓ - SERVIÇO AUTÔNOMO DE ÁGUA E ESGOTO – SAAE</t>
  </si>
  <si>
    <t>(88) 3561-1597 - (88) 98186-7608</t>
  </si>
  <si>
    <t>saae@ico.ce.gov.br - contato@saaeico.com.br</t>
  </si>
  <si>
    <t>PREFEITURA MUNICIPAL DE ICÓ - SECRETARIA DE SAUDE</t>
  </si>
  <si>
    <t>11.896.777/0001-00</t>
  </si>
  <si>
    <t>(88) 3561-5362</t>
  </si>
  <si>
    <t>saude@ico.ce.gov.br</t>
  </si>
  <si>
    <t>PREFEITURA MUNICIPAL DE ITATIRA - SECRETARIA DE ADMINISTRACAO E FINANCAS</t>
  </si>
  <si>
    <t>07.963.739/0001-48</t>
  </si>
  <si>
    <t>(88) 3436-1044 - (88) 98120-4848</t>
  </si>
  <si>
    <t>financas@itatira.ce.gov.br</t>
  </si>
  <si>
    <t>PREFEITURA MUNICIPAL DE AQUIRAZ - SECRETARIA DE SAÚDE</t>
  </si>
  <si>
    <t>11.426.115/0001-69</t>
  </si>
  <si>
    <t>PREFEITURA MUNICIPAL DE ITATIRA - FUNDO MUNICIPAL DE EDUCAÇÃO</t>
  </si>
  <si>
    <t>(88) 9.8188-2384 - (88) 98115-6567</t>
  </si>
  <si>
    <t>educ.educ@itatira.ce.gov.br</t>
  </si>
  <si>
    <t>PREFEITURA MUNICIPAL DE AQUIRAZ - SECRETARIA DE SEGURANÇA PÚBLICA E DEFESA CIVIL (GUARDA CIVIL)</t>
  </si>
  <si>
    <t>FAMA SOLUCOES EM RECUPERACAO DE CREDITO LTDA  - 006/2025</t>
  </si>
  <si>
    <t>FAMA SOLUCOES EM RECUPERACAO DE CREDITO LTDA</t>
  </si>
  <si>
    <t>14.362.630/0001-10</t>
  </si>
  <si>
    <t>(85) 9.9853.8362</t>
  </si>
  <si>
    <t>inacio@solucoesfama.com.br</t>
  </si>
  <si>
    <t>PREFEITURA MUNICIPAL DE ITATIRA -  FUNDO MUNICIPAL DE SAUDE</t>
  </si>
  <si>
    <t>63.320.667/0001-91</t>
  </si>
  <si>
    <t>(88) 3436-1050</t>
  </si>
  <si>
    <t>saude@itatira.ce.gov.br</t>
  </si>
  <si>
    <t>PREFEITURA MUNICIPAL DE AQUIRAZ - SECRETARIA DE SERVIÇOS PÚBLICOS</t>
  </si>
  <si>
    <t>PREFEITURA MUNICIPAL DE AQUIRAZ - SECRETARIA MUNICIPAL DE TRÂNSITO E TRANSPORTE URBANO — SMTT</t>
  </si>
  <si>
    <t>PREFEITURA. MUNICIPAL DE AQUIRAZ - SECRETARIA DE TURISMO</t>
  </si>
  <si>
    <t>CLAREAR COMÉRCIO E SERVIÇOS DE MÃO DE OBRA LTDA,</t>
  </si>
  <si>
    <t>02.567.270/0001-04,</t>
  </si>
  <si>
    <t>(84) 99161.0603,</t>
  </si>
  <si>
    <t>clarear.operacionalcrato@gmail.com,</t>
  </si>
  <si>
    <t>JOANA D ARC CLAUDIO BRASIL DODO,</t>
  </si>
  <si>
    <t>15.034.527/0001-04,</t>
  </si>
  <si>
    <t>(85) 99284 7147,</t>
  </si>
  <si>
    <t>rennancd@hotmail.com,</t>
  </si>
  <si>
    <t>CÉLEBRE CONTABILIDADE E ASSESSORIA S/S LTDA,</t>
  </si>
  <si>
    <t>07.090.965/0001-61,</t>
  </si>
  <si>
    <t>99600-0426,</t>
  </si>
  <si>
    <t>celebrecontabilidade2013@hotmail.com,</t>
  </si>
  <si>
    <t>R 2 LOGISTICA E TRANSPORTES LTDA,</t>
  </si>
  <si>
    <t>18.519.324/0001-04,</t>
  </si>
  <si>
    <t>(85) 2180-5062,</t>
  </si>
  <si>
    <t>financeiro@r2logistica.com</t>
  </si>
  <si>
    <t>COMPANHIA DE INFRAESTRUTURA, TECNOLOGIA E INOVACAO(CITI),</t>
  </si>
  <si>
    <t>31.838.695/0001-09,</t>
  </si>
  <si>
    <t>(85) 98708-6558</t>
  </si>
  <si>
    <t>citi.fiscal@gmail.com</t>
  </si>
  <si>
    <t>ACG CONSTRUÇÕES E CONSERVAÇÃO AMBIENTAL LTDA,</t>
  </si>
  <si>
    <t>11.059.254/0001-00,</t>
  </si>
  <si>
    <t>RIO GRANDE NORTE</t>
  </si>
  <si>
    <t>(84) 9.9949.4405,</t>
  </si>
  <si>
    <t>adm@brasilcentralgrupo.com.br,</t>
  </si>
  <si>
    <t>ESCRITORIO DE REPRESENTAÇÃO DO MINISTÉRIO DAS RELAÇÕES EXTERIORES</t>
  </si>
  <si>
    <t xml:space="preserve">SAO PAULO </t>
  </si>
  <si>
    <r>
      <rPr>
        <color rgb="FF1155CC"/>
        <u/>
      </rPr>
      <t>administ.eresp@itamaraty.gov.</t>
    </r>
    <r>
      <rPr/>
      <t>br</t>
    </r>
  </si>
  <si>
    <t>GOVERNO MUNICIPAL DE URUOCA - FUNDEB- FUNDO DES.DA EDUCACAO BASICA E VAL MAGIST</t>
  </si>
  <si>
    <t>07.667.926/0001-84</t>
  </si>
  <si>
    <t>notassme@hotmail.com</t>
  </si>
  <si>
    <t>GOVERNO MUNICIPAL DE URUOCA - FUNDO MUNICIPAL DE ASSISTENCIA SOCIAL E CIDADANIA</t>
  </si>
  <si>
    <t>15.078.313/0001-30</t>
  </si>
  <si>
    <t>sedest@uruoca.ce.gov.br</t>
  </si>
  <si>
    <t xml:space="preserve"> PREFEITURA MUNICIPAL DE URUOCA - GESTÃO DE CONTRATO </t>
  </si>
  <si>
    <t xml:space="preserve">GOVERNO MUNICIPAL DE URUOCA - FUNDO MUNICIPAL DE SAÚDE </t>
  </si>
  <si>
    <t>11.423.060/0001-33</t>
  </si>
  <si>
    <t xml:space="preserve">GOVERNO MUNICIPAL DE URUOCA - FUNDO MUNICIPAL DE EDUCAÇÃO </t>
  </si>
  <si>
    <t>GOVER DO ESTADO DO CEARÁ - SECRETARIA DA PROTEÇÃO ANIMAL – SEPA</t>
  </si>
  <si>
    <t>52.041.556/0001-20</t>
  </si>
  <si>
    <t>ASSOCIACAO DE PROTECAO E ASSISTENCIA A MAT E INFANCIA - ISV - Contrato 1</t>
  </si>
  <si>
    <t>07.609.365/0001-67,</t>
  </si>
  <si>
    <t>(88) 98133-3637</t>
  </si>
  <si>
    <t>institutosaovicente@gmail.com</t>
  </si>
  <si>
    <r>
      <rPr>
        <rFont val="Arial"/>
        <color theme="1"/>
      </rPr>
      <t>ASSOCIACAO DE PROTECAO E ASSISTENCIA A MAT E INFANCIA - ISV -</t>
    </r>
    <r>
      <rPr>
        <rFont val="Arial"/>
        <b/>
        <color theme="1"/>
      </rPr>
      <t xml:space="preserve"> (Contrato 2 substituiu o Contrato 1)</t>
    </r>
  </si>
  <si>
    <r>
      <rPr>
        <rFont val="Arial"/>
        <color theme="1"/>
      </rPr>
      <t>ASSOCIACAO DE PROTECAO E ASSISTENCIA A MAT E INFANCIA - ISV -</t>
    </r>
    <r>
      <rPr>
        <rFont val="Arial"/>
        <b/>
        <color theme="1"/>
      </rPr>
      <t xml:space="preserve"> (Contrato 2 substituiu o Contrato 1)</t>
    </r>
  </si>
  <si>
    <t>CONSELHO REGIONAL DE CONTABILIDADE DO CEARÁ,</t>
  </si>
  <si>
    <t>07.093.503/0001-06,</t>
  </si>
  <si>
    <t>(85)  99747-7448</t>
  </si>
  <si>
    <t>conselho@crc-ce.org.br</t>
  </si>
  <si>
    <t xml:space="preserve">PREFEITURA MUNICIPAL DE FORTALEZA - SECRETARIA MUNICIPAL DO ESPORTE E LAZER </t>
  </si>
  <si>
    <t>10.556.593/0001-20</t>
  </si>
  <si>
    <t>MULTINTEGRADA LTDA</t>
  </si>
  <si>
    <t>25.189.803/0001-67</t>
  </si>
  <si>
    <t>(85) 99149-1657</t>
  </si>
  <si>
    <t>financeiro@multintegrada.com.br</t>
  </si>
  <si>
    <t>SUPERINTENDÊNCIA DE OBRAS DO PLANO DE DESENVOLVIMENTO DO ESTADO - SUPLAN</t>
  </si>
  <si>
    <t>09.125.444/0001-28</t>
  </si>
  <si>
    <t>gsc@suplan.pb.gov.br,  josenaldo@suplan.pb.gov.br</t>
  </si>
  <si>
    <t>ID</t>
  </si>
  <si>
    <t>APELIDO_CONTRATO</t>
  </si>
  <si>
    <t>NUMERO_CONTRATO</t>
  </si>
  <si>
    <t>ANTIGO_CONTRATO</t>
  </si>
  <si>
    <t>TIPO_CONTRATO</t>
  </si>
  <si>
    <t>STATUS_CONTRATO</t>
  </si>
  <si>
    <t>CONTRATADO</t>
  </si>
  <si>
    <t>CONTRATANTE</t>
  </si>
  <si>
    <t>OBJETO_DO_CONTRATO</t>
  </si>
  <si>
    <t>ALECE</t>
  </si>
  <si>
    <t>97-2025</t>
  </si>
  <si>
    <t>LICITAÇÃO</t>
  </si>
  <si>
    <t>EM ANDAMENTO</t>
  </si>
  <si>
    <t>ALUCOM</t>
  </si>
  <si>
    <t xml:space="preserve"> O objeto do presente instrumento é LOCAGOES DE MAQUINARIOS DE INFORMATICA COM INSTALAGAO, MANUTENGAOQ, SUPORTE E GESTAO DO AMBIENTE DE TI, E EXECUGAO , CONTINUADA DE ATIVIDADES REFERENTES A INCIDENTES E SOLICITAGOES DE SERVIGOS, COM SUPORTE, ASSISTENCIA TECNICA E DISPONIBILIZACAO DE CENTRAL DE SERVICOS, nas condições estabelecidas neste contrato e no Termo de Referéncia do edital e na proposta do CONTRATADO. </t>
  </si>
  <si>
    <t>10a REGIAO MILITAR</t>
  </si>
  <si>
    <t>002/2024</t>
  </si>
  <si>
    <t>.O objeto do presente instrumento é a Contrataçao de soluçao de tecnologia da informaçao e comunicaçao de serviço de Outsourcing de impressao, por Sistema de Registro de Preços (SRP), com fornecimento de suprimentos, peças de reposiçao e manutençao, para equipamentos alocados nos diversos setores, do Comando da 10a Regiao Militar, CS/10 e SRO/10, que serao prestados nas condiçoes estabelecidas no Termo de Referencia, anexo do Edital</t>
  </si>
  <si>
    <t>006/2023-SALC/CMF</t>
  </si>
  <si>
    <t xml:space="preserve">O objeto do presente instrumento é a escolha da proposta mais vantajosa para a contratação de solução de tecnologia da informação e comunicação, de serviços comuns e continuados sem dedicação exclusiva de mão-de-obra, de impressão corporativa - outsourcing de impressão - modalidade franquia mensal de páginas mais excedente, sem fornecimento de papel; com fornecimento e disponibilidade, nas dependências da CONTRATANTE, de equipamentos de 
impressão corporativa em regime de comodato, para atender ao Colégio Militar de Fortaleza; conforme condições, quantidades e exigências estabelecidas neste instrumento e seus anexos. </t>
  </si>
  <si>
    <t xml:space="preserve"> 83601/2024-007/00</t>
  </si>
  <si>
    <t xml:space="preserve">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nos diversos setores da Escola de Aprendizes-Marinheiros do Ceará (EAMCE), que serão </t>
  </si>
  <si>
    <t>UFC</t>
  </si>
  <si>
    <t>08-2024</t>
  </si>
  <si>
    <t>O objeto do presente instrumento é a contratação de solução de tecnologia da informação e comunicação de de serviço de Outsourcing de impressão, por Sistema de Registro de Preços (SRP), com fornecimento de suprimentos, peças de reposição e manutenção, para equipamentos alocados nos diversos setores, nos Campi de Fortaleza e do interior do estado do Ceará, que serão prestados nas condições estabelecidas no Termo de Referência, anexo do Edital.</t>
  </si>
  <si>
    <t>IFCE CAMOCIM</t>
  </si>
  <si>
    <t>04/2024</t>
  </si>
  <si>
    <t>O objeto do presente instrumento é a contratação de solução de tecnologia da informação e comunicação de serviço de outsourcing de impressão, com fornecimento de suprimentos, peças de reposição e manutenção, para equipamentos alocados no Instituto Federal de Educação, Ciência e Tecnologia do Ceará - campus Camocim, que serão prestados nas condições estabelecidas no Termo de Referência, anexo do Edital.</t>
  </si>
  <si>
    <t>IFCE CAUCAIA</t>
  </si>
  <si>
    <t>03-2024</t>
  </si>
  <si>
    <t>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 IFCE Campus Caucaia, que serão prestados nas condições estabelecidas no Termo de Referência, anexo do Edital.</t>
  </si>
  <si>
    <t>IFCE ITAPIPOCA</t>
  </si>
  <si>
    <t xml:space="preserve"> 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 Instituto Federal de Educação, Ciência e Tecnologia do Ceará - IFCE/Campus Itapipoca, que serão prestados nas condições estabelecidas no Termo de Referência anexo ao Edital do PregãoEletrônico Nº 52/2023.</t>
  </si>
  <si>
    <t xml:space="preserve">IFCE PARACURU </t>
  </si>
  <si>
    <t>02/2024</t>
  </si>
  <si>
    <t>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nos diversos setores, no campus Paracuru</t>
  </si>
  <si>
    <t>IFCE JUAZEIRO DO NORTE</t>
  </si>
  <si>
    <t>05/2024</t>
  </si>
  <si>
    <t>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 Instituto Federal de Educação, Ciência e Tecnologia do Ceará (IFCE) - campus Juazeiro do Norte, que serão prestados nas condições estabelecidas no Termo de Referência anexo ao Edital do Pregão Eletrônico nº 52/2023.</t>
  </si>
  <si>
    <t>10/2024</t>
  </si>
  <si>
    <t>O objeto do presente instrumento é a Contratação de solução de tecnologia da informação e comunicação de outsourcing de impressão e digitalizaçãona modalidade franquia de página mais excedente, com fornecimento de equipamentos, soware de gerenciamento de impressão efe vamente realizadas,manutenção preven va e corre va dos equipamentos com subs tuição de peças, componentes e materiais u lizados na manutenção e fornecimento de insumosoriginais, exceto papel, para atender as necessidades de impressão e digitalização da Superintendência Federal de Agricultura e Pecuária no Paraná - SFA-PR, nascondições estabelecidas no Termo de Referência.</t>
  </si>
  <si>
    <t>82320/202461/00</t>
  </si>
  <si>
    <t xml:space="preserve"> O objeto do presente instrumento é a contratação de empresa especializada na prestaçãode serviço de Outsourcing de impressão, por Sistema de Registro de Preços (SRP), comfornecimento de suprimentos, peças de reposição e manutenção, para equipamentos queserão alocados na Capitania dos Portos de Sergipe</t>
  </si>
  <si>
    <t>IFRN CAMPUS CEARÁ-MIRIM</t>
  </si>
  <si>
    <t>101/2024 -PROAD/IFRN</t>
  </si>
  <si>
    <t>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nos diversos setores, no Campus Ceará-Mirim do FRN, que serão prestados nas condições estabelecidas no Termo de Referência, anexo do Edital.</t>
  </si>
  <si>
    <t>IFRN CAMPUS NATAL</t>
  </si>
  <si>
    <t>287/2024 - PROAD/IFRN</t>
  </si>
  <si>
    <t>O objeto do presente instrumento é a contratação de solução de tecnologia da informação e comunicação de serviço de Outsourcing de impressão, por Sistema de Registro de Preços (SRP), com fornecimento de suprimentos, peças de reposição e manutenção, para equipamentos alocados nos diversos setores, no Campus Natal do IFRN, que serão prestados nas condições estabelecidas no Termo de Referência, anexo do Edital.</t>
  </si>
  <si>
    <t>TRE RJ</t>
  </si>
  <si>
    <t>07-2024</t>
  </si>
  <si>
    <t>Prestação de serviços de impressão (outsourcing), pelo período de 24 meses, com fornecimento de equipamentos; sistema de gerenciamento de impressões efetivamente realizadas; manutenção preventiva e corretiva dos equipamentos com substituição de peças; componentes e materiais utilizados na manutenção; e fornecimento de insumos originais, exceto papel, para atendimento das necessidades de digitalização e impressão policromática e monocromática em frente e verso das unidades da Sede e por impressão térmica de cartões com fornecimento de cartões</t>
  </si>
  <si>
    <t>63187.000016/2025-68</t>
  </si>
  <si>
    <t>O objeto do presente instrumento é a contratação de solução de tecnologia da informação e comunicação de outsourcing de impressão e digitalização na modalidade franquia de página mais excedente, com fornecimento de equipamentos, software de gerenciamento de impressões efetivamente realizadas, manutenção preventiva e corretiva dos equipamentos, com substituição de peças, componentes e materiais utilizados na manutenção e fornecimento de insumos originais, exceto papel, para atender as necessidades de impressão e digitalização da Delegacia da Capitania dos Portos em São Francisco do Sul-SC, conforme condições estabelecidas no Termo de Referência, anexo do Edital.</t>
  </si>
  <si>
    <t>63467.006334/2024-13</t>
  </si>
  <si>
    <t>O objeto do presente instrumento é a contratação de solução de tecnologia da informação e comunicação de outsourcing de impressão e digitalização na modalidade franquia de página mais excedente, com fornecimento de equipamentos, software de gerenciamento de impressões efetivamente realizadas, manutenção preventiva e corretiva dos equipamentos, com substituição de peças, componentes e materiais utilizados na manutenção e fornecimento de insumos originais, exceto papel, para atender as necessidades de impressão e digitalização da Delegacia da Capitania dos Portos em Itajai-SC, conforme condições estabelecidas no Termo de Referência, anexo do Edital.</t>
  </si>
  <si>
    <t>O objeto do presente instrumento é a contratação de solução de tecnologia da informação e comunicação de outsourcing de impressão e digitalização na modalidade franquia de página mais excedente, com fornecimento de equipamentos, soware de gerenciamento de impressões efe vamente realizadas, manutenção preven va e corre va dos equipamentos com subs tuição de peças, componentes e materiais u lizados na manutenção e fornecimento de insumos originais, exceto papel, para atender as necessidades de impressão e digitalização da Superintendente Federal de Agricultura e Pecuária no Estado de Santa Catarina e das unidades descentralizadas, conforme condições estabelecidas no Termo de Referência.</t>
  </si>
  <si>
    <t>UFSC</t>
  </si>
  <si>
    <t>45/2024</t>
  </si>
  <si>
    <t>O objeto do presente instrumento é a contratação de solução de tecnologia da informação e comunicação de outsourcing de impressão e digitalização na modalidade franquia de página maisexcedente, com fornecimento de equipamentos, software de gerenciamento de impressões efetivamenterealizadas, manutenção preventiva e corretiva dos equipamentos com substituição de peças,componentes e materiais utilizados na manutenção e fornecimento de insumos originais, exceto papel, para atender as necessidades de impressão e digitalização da Universidade Federal de Santa Catarina,conforme condições estabelecidas no Termo de Referência, anexo do Edital.</t>
  </si>
  <si>
    <t>04-2025</t>
  </si>
  <si>
    <t>A contratação de serviço de impressão corporativa, também denominado de outsourcing de impressão, na modalidade franquia e excedente, com fornecimento de equipamentos para impressão preto e branco e colorida, nos termos da tabela abaixo, conforme condições e exigências estabelecidas neste instrumento.</t>
  </si>
  <si>
    <t>MCID</t>
  </si>
  <si>
    <t>05-2025</t>
  </si>
  <si>
    <t>O objeto do presente instrumento é a contratação de solução de tecnologia da informação e comunicação de solução corporativa de impressão, reprodução e digitalização de documentos (Outsourcing de Impressão) na modalidade franquia mensal de páginas mais excedente, para atendimento de necessidades do Ministério das Cidades, nas condições estabelecidas no Termo de Referência.</t>
  </si>
  <si>
    <t>COTER</t>
  </si>
  <si>
    <t>1-2025</t>
  </si>
  <si>
    <t xml:space="preserve">O objeto do presente instrumento é a contratação de solução de tecnologia da informação e comunicação de serviços de outsourcing de impressão (ilhas de impressão), nas condições estabelecidas no Termo de Referência. </t>
  </si>
  <si>
    <t>4-2025</t>
  </si>
  <si>
    <t>O presente contrato tem por objeto a contratação de serviço continuado executado por pessoa jurídica especializada na realização de outsourcing de impressão, na modalidade franquia de páginas mais excedente, contemplando: impressão e cópia corporativa, digitalização departamental, com disponibilização de equipamentos novos, lacrados, de primeirouso e em linha de fabricação, serviços de manutenção preventiva e corretiva, substituição de peças e fornecimento de suprimentos (exceto papel), sistema de gerenciamento deequipamentos, contabilização e bilhetagem de impressões e cópias, e repasse de conhecimento para atender às necessidades do Conselho Federal de Farmácia, em Brasília-DF, com contratação inicial de 12 (doze) meses.</t>
  </si>
  <si>
    <t>MCTI</t>
  </si>
  <si>
    <t>O objeto do presente instrumento é a contratação de empresa para prestação de serviços de outsourcing de impressão na modalidade franquia mais excedente com fornecimento e disponibilidade dos equipamentos, assistência técnica e manutenção preventiva e corretiva com suporte on-site, substituição de peças, componentes e materiais utilizados na manutenção, fornecimento de insumos originais ou certificados pelo fabricante (exceto papel) e disponibilização desistema de gerenciamento de ativos e contabilização de páginas impressas, para atender o Ministério da Ciência, Tecnologia e Inovação, de acordo com as condições, quantidades e especificações constantes  nas condições estabelecidos no Termo de Referência.</t>
  </si>
  <si>
    <t xml:space="preserve">MTE </t>
  </si>
  <si>
    <t>52-2024</t>
  </si>
  <si>
    <t>O objeto do presente instrumento é a contratação de solução de tecnologia da informação e comunicação de solução corpora va de impressão, reprodução e digitalização de documentos (Outsourcing de Impressão) na modalidade franquia mensal de páginas mais excedente, para atendimento de necessidades do Ministério da Gestão e Inovação em Serviços Públicos (MGI), compreendendo os Ministérios demandantes nos termos da Portaria MGI nº 43, de 31 de janeiro de 2023 (Portaria MGI nº 43/2023), do Ministério do Trabalho e Emprego e do Ministério da Previdência Social - que compõem entre si arranjo colabora vo próprio, nos termos dessa mesma Portaria, nas condições estabelecidas no Termo de Referência</t>
  </si>
  <si>
    <t xml:space="preserve">MT </t>
  </si>
  <si>
    <t>06-2024</t>
  </si>
  <si>
    <t>O objeto do presente instrumento é a contratação de solução de tecnologia da informação e comunicação para a prestação de serviços de outsourcing de impressão, cópia e digitalização na modalidade franquia mensal de páginas mais excedente, para os Ministérios dos Transportes e de Portos e Aeroportos, que serão prestados nas condições estabelecidas no Termo de Referência, anexo do Edital.</t>
  </si>
  <si>
    <t>005/GAP-BR/2024</t>
  </si>
  <si>
    <t>O objeto do presente instrumento é a contratação de solução de tecnologia da informação e comunicação de serviço de outsourcing de impressão nas condições estabelecidas no Termo de Referência.</t>
  </si>
  <si>
    <t>01-2026</t>
  </si>
  <si>
    <t>Contratação de empresas especializadas para prestação de serviços de impressão distribuída (outsourcing de impressão) na modalidade franquia de páginas, incluídos a disponibilização de equipamentos, em linha de produção, manutenção preventiva e corretiva, suporte técnico, fornecimento de software de monitoramento remoto e gerenciamento dos equipamentos, e contabilização e de bilhetagem, peças e suprimentos para atender as necessidades do Quartel General Integrado – QGI e 41° Centro de Telemática – 41° CT, que serão prestados nas condições estabelecidas no Termo de Referência, anexo do Edital</t>
  </si>
  <si>
    <t>HUJB</t>
  </si>
  <si>
    <t>objeto do presente Termo de Contrato é contratação do serviço de Outsourcing de impressão , conforme condições,quanti dades e exigências estabelecidas neste instrumento e especifi cações detalhadas na Tabela 1 - Descrição detalhada dos itens (Item3.5. do Termo de Referência), mediante Pregão Eletrônico SRP 33/2023, de acordo com Estudo Técnico Preliminar (ETP) realizado pelaEquipe de Planejamento da Contratação (EPC), para atender a demanda do Hospital Universitário Júlio Bandeira - HUJB.</t>
  </si>
  <si>
    <t>HUAC</t>
  </si>
  <si>
    <t>22/2023</t>
  </si>
  <si>
    <t>O objeto do presente instrumento é a escolha da proposta mais vantajosa para a CONTRATAÇÃO DE SERVIÇO DE OUTSOURCING DE IMPRESSÃO, conforme condições, quanyidades e exigências estabelecidas neste instrumento e especificações detalhadas na Tabela 1 - Descrição detalhada dos itens (Item 3.5. do Termo de Referência), mediante Pregão Eletrônico SRP 33/2023, de acordo com Estudo Técnico Preliminar (ETP) realizado pela Equipe de Planejamento da Contratação (EPC), para atender a demanda do Hospital Universitário Alcides Carneiro.</t>
  </si>
  <si>
    <t>HULW</t>
  </si>
  <si>
    <t>07/2024</t>
  </si>
  <si>
    <t>O objeto do presente instrumento é a CONTRATAÇÃO DE SERVIÇO DE OUTSOURCING DE IMPRESSÃO , conforme condições, quanti dades e exigênciasestabelecidas neste instrumento e especifi cações detalhadas na Tabela 1 - Descrição detalhada dos itens (Item 3.5. do Termo de Referência), mediante 
PregãoEletrônico SRP nº 33/2023 (UASG: 155914) , de acordo com Estudo Técnico Preliminar (ETP) realizado pela Equipe de Planejamento da Contratação (EPC), para atendera demanda do HOSPITAL UNIVERSITÁRIO LAURO WANDERLEY - HULW.</t>
  </si>
  <si>
    <t>1o GRUPAMENTO DE ENGENHARIA</t>
  </si>
  <si>
    <t>27/2023</t>
  </si>
  <si>
    <t>O objeto do presente instrumento são os Serviços de Impressão Corporativa (Outsourcing de Impressão), que serão prestados nas condições estabelecidas no Termo de Referência, anexo do Edital.</t>
  </si>
  <si>
    <t>01-2023</t>
  </si>
  <si>
    <t>0 objeto do presente instrumento é a contrataçao de serviços de outsourcing de impressao,que serao prestados nas condiçoes estabelecidas no Termo de Referencia, anexo do Edital.</t>
  </si>
  <si>
    <t>INCRA</t>
  </si>
  <si>
    <t>892/2024</t>
  </si>
  <si>
    <t>O objeto do presente instrumento é a Contratação de serviço con nuo especializado de impressão corpora va - outsourcing de impressão, na modalidade de franquia mensal mais excedente, compreendendo o fornecimento, instalação, configuração e a cessão de direito de uso de equipamentos de impressão digital, novos e de primeiro uso, contemplando a impressão, cópia e digitalização - sem ônus  incluindo a prestação de serviços de manutenção preven va e corre va, reposição de peças, suprimentos e insumos originais ou cer ficados pelo fabricante, exceto papel, sistemas para gerenciamento, monitoramento, controle de cotas de impressão, gestão de a vos e contabilização - bilhetagem - de documentos impressos e copiados, visando atender às necessidades da SR(MA), nos termos do Termo de Referência, anexo do Edital.</t>
  </si>
  <si>
    <t>SEGER</t>
  </si>
  <si>
    <t xml:space="preserve">026-2022 - SEGER </t>
  </si>
  <si>
    <t xml:space="preserve">O presente contrato tem como fundamento a adesão ao Edital do Pregão Eletrônico tombado sob o n° 2021.08.02.01 em conformidade com a Lei Federal N° 8.666/93 - Lei das Licitações Públicas, c/c os termos da Lei Federal n° 10.520, de 17/07/2002., os preceitos do direito público, com suas alterações e, ainda, outras leis especiais necessárias ao cumprimento de seu objeto. </t>
  </si>
  <si>
    <t>CEGOR</t>
  </si>
  <si>
    <t>Nº 26/2022 - SEGER – SUB-ROGADO CEGOR</t>
  </si>
  <si>
    <t>SUB-ROGAÇÃO</t>
  </si>
  <si>
    <t>DETRAN MA</t>
  </si>
  <si>
    <t>06/2024-DETRAN/MA</t>
  </si>
  <si>
    <t>Locação de equipamentos de informática (desktops, notebooks, no breaks, entre outros) com instalação, manutenção, suporte e gestão do ambiente de TI, e execução continuada de atividades relativas a incidentes e solicitações de serviços, incluindo suporte, assistência técnica e disponibilização de central de serviços.</t>
  </si>
  <si>
    <t>0014/2022</t>
  </si>
  <si>
    <t>Contratação de empresa especializada na prestação de serviços, executados de forma contínua, de locação e manutenção preventiva e corretiva de equipamentos de informática.</t>
  </si>
  <si>
    <t xml:space="preserve">PCDF </t>
  </si>
  <si>
    <t>11/2025</t>
  </si>
  <si>
    <t>O objeto do presente instrumento é a contratação de solução de tecnologia da informação e comunicação por meio da prestação continuada de serviços de impressão, cópia e digitalização para a PCDF, na modalidade Outsourcing de Impressão, pelo prazo de 60 meses, nas condições estabelecidas no Termo de Referência.</t>
  </si>
  <si>
    <t>HEMOCENTRO PB</t>
  </si>
  <si>
    <t>0096-2024</t>
  </si>
  <si>
    <t>Contratação de EMPRESA ESPECIALIZADA EM PRESTAÇÃODE SERVIÇO DE OUTSOURCING DE IMPRESSÃO, conforme especificações e quantitativos estabelecidos no Edital do Pregão identificado no preâmbulo e na proposta vencedora.</t>
  </si>
  <si>
    <t>ALEMA</t>
  </si>
  <si>
    <t>49/2023</t>
  </si>
  <si>
    <t>locação de equipamentos de informática (desktops, notebooks, no breaks, dentre outros) com instalação, manutenção, suporte e gestão do ambiente de TI, e execução continuada de atividades referentes à incidentes e solicitações de serviços, com suporte, assistência técnica e disponibilização de central de serviços, visando futuras contratações pela Assembleia Legislativa do Estado do Maranhão</t>
  </si>
  <si>
    <t>SEAP-PB</t>
  </si>
  <si>
    <t>0025/2024</t>
  </si>
  <si>
    <t>Contratação de serviços de outsurcing de impressão, em conformidade com as especificações, exigências e quantitativos, estabelecidos no Termo de Referência.</t>
  </si>
  <si>
    <t>PCPB</t>
  </si>
  <si>
    <t xml:space="preserve"> 0005/2024/PCPB</t>
  </si>
  <si>
    <t>O objeto do presente instrumento é a contratação de serviços de outsourcing de impressão e digitalização corporativa, que serão prestados nas condições estabelecidas no Termo de Referência, anexo do Edital, visando atender às necessidades da Polícia Civil Do Estado Da Paraíba</t>
  </si>
  <si>
    <t>nº 2024.000006.37101.01</t>
  </si>
  <si>
    <t>O presente Contrato tem por objeto a prestação de serviços de serviço de outsourcing de impressão, compreendendo disponibilização de equipamento(s) reprográfic (s)multifuncional(is) monocromático(s), assistência técnica, fornecimento de peças e demais insumos consumíveis</t>
  </si>
  <si>
    <t>CITINOVA</t>
  </si>
  <si>
    <t>005/2022</t>
  </si>
  <si>
    <t>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às necessidades administrativas da Fundação de Ciência, Tecnologia e Inovação – CITINOVA</t>
  </si>
  <si>
    <t>RESENDE / SMA</t>
  </si>
  <si>
    <t>17/2024</t>
  </si>
  <si>
    <t>CONTRATAÇÃO DE EMPRESA ESPECIALIZADA NO FORNECIMENTO DE SOLUÇÃO CONTINUADA SERVIÇOS OUTSOURCING (IMPRESSÃO E CÓPIA), INTEGRADA A SISTEMAS CORPORATIVOS E À REDE DA PREFEITURA MUNICIPAL DE RESENDE, COMPREENDENDO A CESSÃO DE DIREITO DE USO
DE EQUIPAMENTOS NOVOS E DE PRIMEIRO USO (FRANQUIA MENSAL DE PÁGINAS MAIS EXCEDENTE), INCLUINDO A PRESTAÇÃO DE SERVIÇOS DE MANUTENÇÃO PREVENTIVA E CORRETIVA, FORNECIMENTO DE PEÇAS E CONSUMÍVEIS NECESSÁRIOS (EXCETO PAPEL), ASSIM COMO SISTEMA DE GESTÃO, CONTROLE E OPERACIONALIZAÇÃO DA SOLUÇÃO, VISANDO ATENDER ÀS NECESSIDADES DA PREFEITURA MUNICIPAL DE RESENDE, POR MEIO DA SECRETARIA MUNICIPAL DE ADMINISTRAÇÃO- SMA/ SUMTI, PELO PERÍODO DE 12 MESES</t>
  </si>
  <si>
    <t>SECRETARIA MUNICIPAL DE SEGURANÇA COM CIDADANIA−SEMUSC - 007-2022</t>
  </si>
  <si>
    <t>007-2022</t>
  </si>
  <si>
    <t>O objeto do contrato nº 007/2022-SEMUSC consiste na contratação de uma empresa especializada para a prestação de serviços de locação e manutenção de equipamentos de informática</t>
  </si>
  <si>
    <t xml:space="preserve">CAMARA DE HORTOLANDIA </t>
  </si>
  <si>
    <t xml:space="preserve"> 29-2023</t>
  </si>
  <si>
    <t>O objeto do presente instrumento é a contratação de serviço contínuo especializado de Impressão, cópias e digitalização corporativa, por meio de sistema Outsourcing,na modalidade de franquia de páginas mais excedente, incluindo fornecimento de equipamentos, manutenção preventiva e corretiva dos equipamentos, com fornecimento de peças e componentes originais, suprimentos, componentes, papel, softwares de gerenciamento e controle (bilhetagem) de cópias e impressões, suporte técnico remoto durante ohorário de expediente da Contratante e com visita técnica diária de segunda a sexta-feira,conforme especificação no Termo de Referência - Retificado, constante do Anexo Únicodeste Contrato.</t>
  </si>
  <si>
    <t>FMS PB</t>
  </si>
  <si>
    <t>11.079-2023</t>
  </si>
  <si>
    <t>A CONTRATAÇÃO DE EMPRESA ESPECIALIZADA EM PRESTAÇÃO DE SERVIÇOS DE IMPRESSÃO, INCLUINDO: LOCAÇÃO DE EQUIPAMENTOS (IMPRESSORA MULTIFUNCIONAL); REPOSIÇÃO DE SUPRIMENTO; DISPONIBILIZAÇÃO DE SISTEMA PARA GESTÃO INFORMATIZADA DA SOLUÇÃO; ALÉM DE SUPORTE TÉCNICO REMOTO E MANUTENÇÃO PRESENCIAL (PREVENTIVA E CORRETIVA)</t>
  </si>
  <si>
    <t>SEMCAS - 017-2022</t>
  </si>
  <si>
    <t>017-2022</t>
  </si>
  <si>
    <t>contratação de empresa especializada na prestação de serviços de locação, suporte, assistência técnica e manutenção (corretiva e preventiva) de equipamentos de informática</t>
  </si>
  <si>
    <t>SEMCAS - 019-2022</t>
  </si>
  <si>
    <t>019-2022</t>
  </si>
  <si>
    <t>O presente termo tem por objeto a contratação de empresa especializada na locação de impressoras multifuncionais, incluindo a prestação de manutenção corretiva, bem como o fornecimento de insumos e peças, com a finalidade de atender às necessidades dos serviços, programas e órgãos vinculados à Secretaria Municipal da Criança e Assistência Social – SEMCAS, referente ao Lote 01, Item 12, da Ata de Registro de Preços nº 2021.08.02.01, oriunda do Pregão Eletrônico nº 2021.08.02.01, da Procuradoria Geral do Município de Caucaia/CE, em conformidade com as especificações constantes no Anexo I do Termo de Referência e no respectivo Edital do Pregão Eletrônico.</t>
  </si>
  <si>
    <t>2022.04.13-008</t>
  </si>
  <si>
    <t>CONTRATAÇÃO DE SERVIÇOS DE LOCAÇÃO DE EQUIPAMENTOS DE INFORMÁTICA, COM SUPORTE, ASSISTÊNCIA TÉCNICA E MANUTENÇÃO PREVENTIVA E CORRETIVA IN LOCO, BEM COMO ATUAÇÃO NOS PROCESSOS DE GERENCIAMENTO DE SERVIÇOS.</t>
  </si>
  <si>
    <t>20230929012</t>
  </si>
  <si>
    <t>Constitui objeto deste contrato 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DE AGRICULTURA E RECURSOS HÍDRICOS DO MUNICÍPIO DE CANINDÉ/CE.</t>
  </si>
  <si>
    <t>PREF. MUNICIPAL DE ARACATI - SEGURANÇA CIDADÃ - 017-2022</t>
  </si>
  <si>
    <t>2022.04.13-017</t>
  </si>
  <si>
    <t>PREF. MUNICIPAL DE ARACATI - SEGURANÇA CIDADÃ - 018-2022</t>
  </si>
  <si>
    <t>2022.04.13.018</t>
  </si>
  <si>
    <t>02.25.06.02.001</t>
  </si>
  <si>
    <t>Locação de equipamentos de informática, com suporte, assistência técnica e manutenção preventiva e corretiva in-loco para o Gabinete do Prefeito do Município de Maranguape-CE</t>
  </si>
  <si>
    <t>39/2025</t>
  </si>
  <si>
    <t>Contratação de Empresa Especializada na Locação de Computadores e Notebooks, para atender as necessidades das diversas Secretarias Municipais, conforme especificações, condições e quantidades s estabelecidas no Termo de Referência do processo de licitação acima mencionado (Anexo I do edital) e tabela.</t>
  </si>
  <si>
    <t>PREF. MUNICIPAL DE ARACATI - DESENVOLVIMENTO SOCIAL - 021-2022</t>
  </si>
  <si>
    <t>20220413021</t>
  </si>
  <si>
    <t>1004202401SESA</t>
  </si>
  <si>
    <t>CONTRATAÇÃO DE SERVIÇO DE LOCAÇÃO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SERVIÇOSSERÃO AVALIADOS ATRAVÉS DE ACORDOS DE NÍVEL DE SERVIÇO, PARA ATENDER AS NECESSIDADES DA SECRETARIA DE SAÚDE DO MUNICÍPIO DE TIANGUÁ-CE</t>
  </si>
  <si>
    <t>05.25.03.03.001</t>
  </si>
  <si>
    <t>Locações de equipamentos de informática, incluindo suporte, assistência técnica e manutenção preventiva e corretiva in-loco para a Secretaria da Saúde de Maranguape</t>
  </si>
  <si>
    <t>03.25.02.03.002</t>
  </si>
  <si>
    <t>Locações de equipamentos de informática, incluindo suporte, assistência técnica e manutenção preventiva e corretiva in-loco para a Secretaria de Administração e Finanças</t>
  </si>
  <si>
    <t>2022.04.13-012</t>
  </si>
  <si>
    <t>015/2025-SMS</t>
  </si>
  <si>
    <t>CONTRATAÇÃO DE EMPRESA ESPECIALIZADA PARA A PRESTAÇÃO DE SERVIÇOS DE LOCAÇÃO DE MICROCOMPUTADORES E NOTEBOOKS, COM SUPORTE TÉCNICO, MANUTENÇÃO E INSTALAÇÃO, PARA ATENDER ÀS NECESSIDADES DA SECRETARIA DE SAÚDE DO MUNICÍPIO DE ITAREMA, CEARÁ</t>
  </si>
  <si>
    <t>2024.01.05.05</t>
  </si>
  <si>
    <t>CONTRATACÃO DE EMPRESA PARA PRESTAÇÃO DOS SERVIÇOS DE LOCAÇÃO DE EQUIPAMENTOS DE INFORMÁTICA, INCLUINDO A INSTALAÇÃO, ASSISTÊNCIA TÉCNICA, MANUTENÇÃO PREVENTIVA E CORRETIVA E FORNECIMENTO DE SUPRIMENTOS (EXCETO PAPEL) IN LOCO, DE INTERESSE DAS UNIDADES GESTORAS DO MUNICÍPIO DE ACOPIARA/CE, CONFORME PROJETO BÁSICO/TERMO DE REFERÊNCIA EM ANEXO DO EDITAL, em conformidade com a Lei Federal Nº 8.666/93 - Lei das Licitações Públicas c/c os termos da Lei Federal nº 10.520, de 17/07/2002.</t>
  </si>
  <si>
    <t>13.25.03.03.001</t>
  </si>
  <si>
    <t>Locações de equipamentos de informática, com suporte, assistência técnica e manutenção preventiva e corretiva in-loco de interesse da SEJUV</t>
  </si>
  <si>
    <t>PREFEITURA MUNICIPAL DE MARANGUAPE - TRAB ASSIST SOCIAL - 07.25.03.03.001</t>
  </si>
  <si>
    <t>07.25.03.03.001</t>
  </si>
  <si>
    <t>Locação de equipamentos de informática, incluindo suporte, assistência técnica e manutenção preventiva e corretiva in-loco para a Secretaria do Trabalho e Assistência Social</t>
  </si>
  <si>
    <t>PREFEITURA MUNICIPAL DE MARANGUAPE - TRAB ASSIST SOCIAL - 07.25.04.02.001</t>
  </si>
  <si>
    <t>07.25.04.02.001</t>
  </si>
  <si>
    <t>Locações de equipamentos de informática, com suporte, assistência técnica e manutenção preventiva e corretiva in-loco de interesse da Secretaria do Trabalho e Assistência Social do Município de Maranguape-CE</t>
  </si>
  <si>
    <t>2024.01.05.02</t>
  </si>
  <si>
    <t>2024.01.05.01</t>
  </si>
  <si>
    <t>2024.01.05.03</t>
  </si>
  <si>
    <t>2024.01.05.04</t>
  </si>
  <si>
    <t>016/2025</t>
  </si>
  <si>
    <t>Prestação dos serviços de Locação de Equipamentos de Tecnologia da Informação e Comunicação (TIC), incluso serviços de manutenção, suporte técnico, reposição de peças, garantias e licenças de software para a Secretaria do Trabalho – SET nas condições estabelecidas neste contrato e no Termo de Referência do edital e na proposta do CONTRATADO.</t>
  </si>
  <si>
    <t>20250813009</t>
  </si>
  <si>
    <t>REGISTRO DE PREÇO PARA FUTURAS E EVENTUAIS SERVIÇOS DE LOCAÇÕES DE EQUIPAMENTOS DE INFORMÁTICA, COM SUPORTE, ASSISTÊNCIA TÉCNICA E MANUTENÇÃO PREVENTIVA E CORRETIVA IN-LOCO, PARA ATENDER AS NECESSIDADES DAS DIVERSAS SECRETARIAS DO MUNICÍPIO DE PALMÁCIA-CEARÁ., nas condições estabelecidas no Termo de Referência.</t>
  </si>
  <si>
    <t>20250813004</t>
  </si>
  <si>
    <t>20250813008</t>
  </si>
  <si>
    <t>20250813001</t>
  </si>
  <si>
    <t>20250813007</t>
  </si>
  <si>
    <t>20250813006</t>
  </si>
  <si>
    <t>20250813002</t>
  </si>
  <si>
    <t>20220413010</t>
  </si>
  <si>
    <t>20250813005</t>
  </si>
  <si>
    <t>20250813003</t>
  </si>
  <si>
    <t>09.25.03.03.001</t>
  </si>
  <si>
    <t>Locações de equipamentos de informática, com suporte, assistência técnica e manutenção preventiva e corretiva in-loco de interesse do Hospital Municipal Dr. Augeu Braga Herbster</t>
  </si>
  <si>
    <t>11.25.03.03.001</t>
  </si>
  <si>
    <t>04.25.03.03.001</t>
  </si>
  <si>
    <t>Locações de equipamentos de informática (20 notebooks e 70 micro desktops), incluindo suporte, assistência técnica e manutenção preventiva e corretiva in-loco para a Secretaria de Educação do Município de Maranguape-CE</t>
  </si>
  <si>
    <t>042/2022</t>
  </si>
  <si>
    <t>CONTRATAÇÕES DE SERVIÇOS DE LOCAÇÕES DE EQUIPAMENTOS DE INFORMÁTICA, COM SUPORTE, ASSISTÊNCIA TÉCNICA E MANUTENÇÃO PREVENTIVA E CORRETIVA IN-LOCO, JUNTO A CÂMARA MUNICIPAL DE CAUCAIA-CE, tudo conforme especificações contidas no Projeto Básico/Termo de Referência, constante do Anexo I do Edital.</t>
  </si>
  <si>
    <t>2022041303</t>
  </si>
  <si>
    <t>2021.08.02.01-11</t>
  </si>
  <si>
    <t>CONTRATAÇÃO DE SERVIÇOS DE LOCAÇÕES DE EQUIPAMENTOS DE INFORMÁTICA, COM SUPORTE, ASSISTÊNCIA TÉCNICA E MANUTENÇÃO PREVENTIVA E CORRETIVA IN-LOCO, BEM COMO ATUAÇÃO NOS PROCESSOS DE GERENCIAMENTO DE SERVIÇOS, COM BASE EM MELHORES PRÁTICAS DEFINIDAS PELA ITIL-INFORMATION TECHNOLOGY INFRASTRUCTURE LIBRARY, CUJOS SERVIÇOS SERÃO AVALIADOS ATRAVÉS DE ACORDOS DE NÍVEL DE SERVIÇO, PARA ATENDER AS NECESSIDADES DA SECRETARIA MUNICIPAL DE TURISMO E CULTURA DO MUNICÍPIO DE CAUCAIA-CE</t>
  </si>
  <si>
    <t>2021.08.02.01-01</t>
  </si>
  <si>
    <t>20220413019</t>
  </si>
  <si>
    <t>2021.08.02.01-19</t>
  </si>
  <si>
    <t>20220413005</t>
  </si>
  <si>
    <t>20220413004</t>
  </si>
  <si>
    <t>20220413009</t>
  </si>
  <si>
    <t>20220413007</t>
  </si>
  <si>
    <t xml:space="preserve"> 01/2024 GAB/SEMIT</t>
  </si>
  <si>
    <t xml:space="preserve">O objeto do presente Termo de Contrato é a locação de equipamentos de informática (no breaks) com instalação, manutenção, suporte e gestão do ambiente de TI, e execução continuada de atividades referentes à incidentes e solicitações de serviços, com suporte, assistência técnica e disponibilização de central de serviços, visando futuras contratações pela Prefeitura Municipal de São Luís, através da Secretaria Municipal de Informação e Tecnologia – SEMIT, conforme especificações e quantitativos estabelecidos no Termo de Referência, anexo do Edital. </t>
  </si>
  <si>
    <t>2022.04.05.002-03</t>
  </si>
  <si>
    <t>O presente contrato tem por objeto a REGISTRO DE PREÇOS VISANDO FUTURAS E EVENTUAIS CONTRATAÇÕES DE SERVIÇOS DE LOCAÇÕES DE EQUIPAMENTOS DE INFORMÁTICA, COM SUPORTE, ASSISTÊNCIA TÉCNICA E MANUTENÇÃO PREVENTIVA E CORRETIVA IN-LOCO, BEM COMO ATUAÇÃO NOS PROCESSOS DE GERENCIAMENTO DE SERVIÇOS, COM BASE EM MELHORES PRÁTICAS DEFINIDAS PELA ITIL - BIBLIOTECA DE INFRAESTRUTURA DE TECNOLOGIA, CUJOS SERVIÇOS SERÃO AVALIADOS ATRAVÉS DE ACORDOS DE NÍVEL DE SERVIÇO, PARA ATENDER AS NECESSIDADES DAS DIVERSAS SECRETARIAS DO MUNICÍPIO DE CAMOCIM/CE.</t>
  </si>
  <si>
    <t>2022.04.05.002-07</t>
  </si>
  <si>
    <t>2022.04.05.002-05</t>
  </si>
  <si>
    <t>2022.04.05.002-06</t>
  </si>
  <si>
    <t>2022.04.05.002-10</t>
  </si>
  <si>
    <t>2022.04.05.002-08</t>
  </si>
  <si>
    <t>2022.04.05.002-01</t>
  </si>
  <si>
    <t>2022.04.05.002-12</t>
  </si>
  <si>
    <t>2022.04.05.002-11</t>
  </si>
  <si>
    <t>2022.04.05.002-09</t>
  </si>
  <si>
    <t>2022.04.05.002-02</t>
  </si>
  <si>
    <t>2022.04.05.002-04</t>
  </si>
  <si>
    <t>2021.08.02.01-12</t>
  </si>
  <si>
    <t>CONTRATAÇÃO DE SERVIÇOS DE LOCAÇÕES DE EQUIPAMENTOS DE INFORMATICA, COM SUPORTE, ASSISTENCIA TÉCNICA MANUTENÇÃO PREVENTIVA E CORRETIVA IN-LOCO, BEM COMO ATUAÇÃO NOS PROCESSOS DE GERENCIAMENTO DE SERVIÇOS , COM BASE EM MELHORES PRATICAS DEFINIDAS PELA ITL – INFORMATION TECHNOLOGY INFRASSTRUCTURE LIBRARY®, CUJOS SERVIÇOS SERÃO AVALIADOS ATRAVÉS DE ACORDOS DE NIVEL DE SERVIÇO, PARA ATENDER AS NECESSIDADES DA CONTROLODORIA GERAL DO MUNICIPIO DE CAUCAIA/CE.</t>
  </si>
  <si>
    <t>2021.08.02.01-08</t>
  </si>
  <si>
    <t>CONTRATAÇÃO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DESENVOLVIMENTO RURAL, DO MUNICÍPIO DE CAUCAIA-CE</t>
  </si>
  <si>
    <t>2022.04.05.002-13</t>
  </si>
  <si>
    <t>2021.08.02.01-02</t>
  </si>
  <si>
    <t>CONTRATAÇÕES DE SERVIÇOS DE LOCAÇÕES DE EQUIPAMENTOS DE INFORMÁTICA, COM SUPORTE, ASSISTÊNCIA TÉCNICA E MANUTENÇÃO PREVENTIVA E CORRETIVA IN-LOCO, BEM COMO ATUAÇÃO NOS PROCESSOS DE GERENCIAMENTO DE SERVIÇOS, COM BASE EM MELHORES PRÁTICAS DEFINIDAS PELA ITIL INFORMATION TECHNOLOGY INFRASTRUCTURE LIBRARY®, CUJOS SERVIÇOS SERÃO AVALIADOS ATRAVÉS DE ACORDOS DE NÍVEL DE SERVIÇO, PARA ATENDER AS NECESSIDADES DA SECRETARIA MUNICIPAL DE DESENVOLVIMENTO SOCIAL DO MUNICÍPIO DE CAUCAIA-CE,</t>
  </si>
  <si>
    <t>20220413001</t>
  </si>
  <si>
    <t>20220413006</t>
  </si>
  <si>
    <t>20220413014</t>
  </si>
  <si>
    <t>20220413013</t>
  </si>
  <si>
    <t>PREFEITURA MUNICIPAL DE CANINDE - SECRETARIA CHEFIA DE GABINETE</t>
  </si>
  <si>
    <t>20230929003</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</si>
  <si>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CHEFIA DE GABINETE DA PREFEITURA MUNICIPAL DE CANINDÉ/CE</t>
  </si>
  <si>
    <t xml:space="preserve">20230929011 </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</si>
  <si>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CONTROLADORIA GERAL DO MUNICÍPIO DE CANINDÉ/CE</t>
  </si>
  <si>
    <t>PREFEITURA MUNICIPAL DE CANINDE - SECRETARIA DE DESENVOLVIMENTO ECONÔMICO E 
TURISMO</t>
  </si>
  <si>
    <t>20230929010</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</si>
  <si>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DE DESENVOLVIMENTO ECONÔMICO E TURISMO DO MUNICÍPIO DE CANINDÉ/CE</t>
  </si>
  <si>
    <t xml:space="preserve">20230929013 </t>
  </si>
  <si>
    <t>CONTRATAÇÃO DE SERVIÇOS DE LOCAÇÃO DE MULTIFUNCIONAL IMPRESSORA, COPIADORA, SCANNER (EQUIPAMENTOS NOVOS DE PRIMEIRO USO),  INCLUINDO INSTALAÇÃO, SUPORTE TECNICO, MANUTENÇÃO PREVENTIVA E CORRETIVA, TROCA DE TONNER (SEMRE DEIXANDO NO MINÍMO 01 (UM) TONNER RESERVA), REPOSIÇÃO DE PEÇAS  PARA ATENDER A  SECRETARIA DE DESENVOLVIMENTO URBANO, INFRAESTRUTURA E SERVIÇOS PÚBLICOS DO MUNICÍPIO DE CANINDÉ/CE</t>
  </si>
  <si>
    <t xml:space="preserve">20230929009 </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</si>
  <si>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FUNDAÇÃO DE ESPORTE, CULTURA E PATRIMÔNIO DO MUNICÍPIO DE CANINDÉ/CE</t>
  </si>
  <si>
    <t>PREFEITURA MUNICIPAL DE CANINDE - SECRETARIA DE PLANEJAMENTO, ADMINISTRAÇÃO E FINANÇAS</t>
  </si>
  <si>
    <t xml:space="preserve">20230929002 </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</si>
  <si>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DE PLANEJAMENTO, ADMINISTRAÇÃO E FINANÇAS DO MUNICÍPIO DE CANINDÉ/CE</t>
  </si>
  <si>
    <t xml:space="preserve">20230929004 </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</si>
  <si>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PROCURADORIA GERAL DO MUNICÍPIO DE CANINDÉ/CE</t>
  </si>
  <si>
    <t>20230929001</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</si>
  <si>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DE SAÚDE DO MUNICÍPIO DE CANINDÉ/CE.</t>
  </si>
  <si>
    <t xml:space="preserve">20230929008 </t>
  </si>
  <si>
    <t>CONTRATAÇÃO DE SERVIÇOS DE LOCAÇÃO DE MULTIFUNCIONAL IMPRESSORA, COPIADORA, SCANNER (EQUIPAMENTOS NOVOS DE PRIMEIRO USO),  INCLUINDO INSTALAÇÃO, SUPORTE TECNICO, MANUTENÇÃO PREVENTIVA E CORRETIVA, TROCA DE TONNER (SEMPRE DEIXANDO NO MINÍMO 01 (UM) TONNER RESERVA), REPOSIÇÃO DE PEÇAS  PARA ATENDER A  SECRETARIA DE SEGURANÇA PÚBLICA E TRÂNSITO DO MUNICÍPIO DE CANINDÉ/CE</t>
  </si>
  <si>
    <t>20220413016</t>
  </si>
  <si>
    <t>20220413011</t>
  </si>
  <si>
    <t>20220413015</t>
  </si>
  <si>
    <t>PREF. MUNICIPAL DE ARACATI - DESENVOLVIMENTO SOCIAL - 020-2022</t>
  </si>
  <si>
    <t>20220413020</t>
  </si>
  <si>
    <t>ISG - CCC &amp; HUC - 106951-21</t>
  </si>
  <si>
    <t>106951-21</t>
  </si>
  <si>
    <t>PESSOA JURÍDICA</t>
  </si>
  <si>
    <t>CONSTITUI OBJETO DO PRESENTE CONTRATO A LOCAÇÃO POR PARTE DA CONTRATADA DE EQUIPAMENTOS DE INFORMÁTICA, CUJA DESCRIÇÃO, QUANTIDADE E VALOR ESTÃO DESCRITOS NA PLANILHA ABAIXO, CUMULADA COM A MANUTENÇÃO PREVENTIVA E CORRETIVA, PARA ATENDER DEMANDAS DA CASA DE CUIDADO DO CEARÁ - CCC.</t>
  </si>
  <si>
    <t>004/2022-SEGOV</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</si>
  <si>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Governo do Município de Caucaia-CE</t>
  </si>
  <si>
    <t>ISG - CCC - 106967-21</t>
  </si>
  <si>
    <t>106967-21</t>
  </si>
  <si>
    <t>ISG - PRIMILAB</t>
  </si>
  <si>
    <t>99627-21</t>
  </si>
  <si>
    <t>ISG - HELV - 95592-20</t>
  </si>
  <si>
    <t>95592-20</t>
  </si>
  <si>
    <t>AS PARTES CELEBRARAM O CONTRATO DE LOCAÇÃO DE EQUIPAMENTOS DE INFORMÁTICA E MULTIMÍDIA, EM FAVOR DO HOSPITAL ESTADUAL LEONARDO DA VINCI - HELV, INSCRITO NO CNPJ/MF SOB O Nº 05.268.526/0019-08, SITUADO NA RUA ROCHA LIMA, Nº 1563, SALA 01, BAIRRO ALDEOTA, FORTALEZA - CE, CEP 60135-285.</t>
  </si>
  <si>
    <t>ISG - HELV - 96210-20</t>
  </si>
  <si>
    <t>96210-20</t>
  </si>
  <si>
    <t>2021.08.02.01-10</t>
  </si>
  <si>
    <t>CONTRATAÇOES DE SERVIÇOS DE LOCAÇOES DE,EQUIPAMENTOS DE INFORMÁTICA, COM SUPORTE, ASSISTENCIA TÉCNICA E MANUTENÇAO PREVENTIVA E CORRETIVA IN-LOCO, BEM COMO ATUAÇAO NOS PROCESSOS DE GERENCIAMENTO DE SERVIÇOS, COM BASE EM MELHORES PRÁTICAS DEFINIDAS PELA ITIL - INFORMATION TECHNOLOGY INFRASTRUCTURE LIBRARY®, CUJOS SERVIÇOS SERAO AVALIADOS ATRAVÉS DE ACORDOS DE NÍVEL DE SERVIÇO, PARA ATENDER AS NECESSIDADES DA SECRETARIA DE PLANEJAMENTO URBANO E AMBIENTALDO MUNICÍPIO DE CAUCAIA-CE</t>
  </si>
  <si>
    <t xml:space="preserve"> 2021.08.02.01-17</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</si>
  <si>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INFRAESTRUTURA DE PESSOAS E TECNOLOGIA DO MUNICÍPIO DE CAUCAIA-CE</t>
  </si>
  <si>
    <t>2021.08.02.01-07</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</si>
  <si>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PROCURADORIA-GERAL DO MUNICÍPIO DE CAUCAIA-CE</t>
  </si>
  <si>
    <t>2021.08.02.01</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</si>
  <si>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PATRIMÔNIO E TRANSPORTE DO MUNICÍPIO DE CAUCAIA-CE</t>
  </si>
  <si>
    <t>2021.08.02.01-06</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</si>
  <si>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DO INSTITUTO DE PREVIDENCIA DO MUNICÍPIO DE CAUCAIA-CE</t>
  </si>
  <si>
    <t xml:space="preserve">2021.08.02.01-05 </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</si>
  <si>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DO INSTITUTO DO MEIO AMBIENTE DO MUNICÍPIO DE CAUCAIA-CE</t>
  </si>
  <si>
    <t xml:space="preserve">2021.08.02.01-04 </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</si>
  <si>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DO GABINETE NO VICE-PREFEITO DO MUNICÍPIO DE CAUCAIA-CE</t>
  </si>
  <si>
    <t xml:space="preserve"> 2021.08.02.01-03</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</si>
  <si>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DO GABINETE DO PREFEITO DO MUNICÍPIO DE CAUCAIA-CE</t>
  </si>
  <si>
    <t>2021.08.02.01-16</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</si>
  <si>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FINANÇAS, PLANEJAMENTO E ORÇAMENTO DO MUNICIPIO DE CAUCAIA-CE</t>
  </si>
  <si>
    <t xml:space="preserve">PREFEITURA MUNICIPAL DE CAUCAIA - SECRETARIA MUNICIPAL DE ESPORTE E JUVENTUDE 2021.08.02.01-15 </t>
  </si>
  <si>
    <t xml:space="preserve">2021.08.02.01-15 </t>
  </si>
  <si>
    <t xml:space="preserve">  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ESPORTE E JUVENTUDE DO MUNICÍPIO DE CAUCAIA-CE</t>
  </si>
  <si>
    <t>PREFEITURA MUNICIPAL DE CAUCAIA - SECRETARIA MUNICIPAL DE ESPORTE E JUVENTUDE  2021.08.02.01-09</t>
  </si>
  <si>
    <t xml:space="preserve"> 2021.08.02.01-09</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</si>
  <si>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ESPORTE E JUVENTUDE DO MUNICÍPIO DE CAUCAIA-CE</t>
  </si>
  <si>
    <t xml:space="preserve">PREFEITURA MUNICIPAL DE CAUCAIA - SECRETARIA MUNICIPAL DE EDUCAÇÃO, CIÊNCIA E TECNOLOGIA 2021.07.29.01-01 </t>
  </si>
  <si>
    <t xml:space="preserve">2021.07.29.01-01 </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</si>
  <si>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MUNICIPAL DE EDUCAÇÃO, CIÊNCIA E TECNOLOGIA DO MUNICIPIO DE CAUCAIA - CE</t>
  </si>
  <si>
    <t>PREFEITURA MUNICIPAL DE CAUCAIA - SECRETARIA MUNICIPAL DE EDUCAÇÃO, CIÊNCIA E TECNOLOGIA 2021.08.02.01-20</t>
  </si>
  <si>
    <t>2021.08.02.01-20</t>
  </si>
  <si>
    <t>ISG - HELV - 102150-21</t>
  </si>
  <si>
    <t>102150-21</t>
  </si>
  <si>
    <t xml:space="preserve">ISG - HGWA </t>
  </si>
  <si>
    <t>180078-25</t>
  </si>
  <si>
    <t>2022.03.01.01</t>
  </si>
  <si>
    <t>2023.04.01.01</t>
  </si>
  <si>
    <t>2021.11.12.01</t>
  </si>
  <si>
    <t>CONTRATAÇÕES DE SERVIÇOS DE LOCAÇÕES DE EQUIPAMENTOS DE INFORMÁTICA, COM SUPORTE, ASSISTÊNCIA TÉCNICA E MANUTENÇÃO PREVENTIVA E CORRETIVA IN-LOCO, BEM COMO ATUAÇÃO NOS PROCESSOS DE GERENCIAMENTO DE SERVIÇOS, COM BASE EM MELHORES PRÁTICAS DEFINIDAS PELA ITIL – INFORMATION TECHNOLOGY INFRASTRUCTURE LIBRARY, CUJOS SERVIÇOS SERÃO AVALIADOS ATRAVÉS DE ACORDOS DE NÍVEL DE SERVIÇO, PARA ATENDER AS NECESSIDADES DA SECRETARIA DE SEGURANÇA PÚBLICA DO MUNICIPIO DE CAUCAIA - CE</t>
  </si>
  <si>
    <t>ESCOLA PREPARATORIA DE CADETES DO EXERCITO</t>
  </si>
  <si>
    <t>001-2023</t>
  </si>
  <si>
    <t>IP SERVIÇOS</t>
  </si>
  <si>
    <t>EsPCEx</t>
  </si>
  <si>
    <t>O OBJETO DO PRESENTE INSTRUMENTO É A CONTRATAÇÃO DE SERVIÇOS DE TECNOLOGIA DA INFORMAÇÃO E COMUNICAÇÃO DE OUTSOURCING DE IMPRESSÃO E CÓPIA, COMPREENDENDO A CESSÃO DE DIREITO DE USO DE EQUIPAMENTOS FUNCIONAIS, COM O FORNECIMENTO DE INSUMOS DIRETOS E INDIRETOS PARA A IMPRESSÃO, CÓPIA (EXCETO PAPEL), DIGITALIZAÇÃO DE DOCUMENTOS, GERENCIAMENTO DO AMBIENTE DE IMPRESSÃO, FORNECIMENTO DE RELATÓRIO DE CONTABILIZAÇÃO, ALÉM DE MANUTENÇÃO E SUPORTE TÉCNICO, COM EXECUÇÃO MEDIANTE O REGIME DE EMPREITADA POR PREÇO UNITÁRIO ESTIMATIVO, QUE SERÃO PRESTADOS NAS CONDIÇÕES ESTABELECIDAS NO TERMO DE REFERÊNCIA, ANEXO DO EDITAL.</t>
  </si>
  <si>
    <t>002-2023</t>
  </si>
  <si>
    <t>003-2024</t>
  </si>
  <si>
    <t>006-2023</t>
  </si>
  <si>
    <t xml:space="preserve">PRIMEIRO CENTRO INTEGRADO DE DEFESA AÉREA E CONTROLE DE TRÁFEGO AÉREO - CINDACT 1 </t>
  </si>
  <si>
    <t>067/GAPDF-CINDACTA I/2023</t>
  </si>
  <si>
    <t xml:space="preserve">O objeto do presente instrumento é a contratação serviço de outsourcing de impressão, na modalidade de Franquia com excedente de páginas, com fornecimento de multifuncionais digitais para impressões e cópias monocromáticas, fornecimento de insumos, exceto papel, além de assistência técnica especializada, reposição de peças originais e sistema de gerenciamento de impressão, para suprir a demanda dos destacamentos subordinados ao CINDACTA I: Destacamento de Controle do Espaço Aéreo de Barra do Garça - DTCEA-BW, Destacamento de Controle do Espaço Aéreo de Cachimbo - DTCEA-CC, Destacamento de Controle do Espaço Aéreo de Chapada dos Guimarães - DTCEA-GI, Destacamento de Controle do Espaço Aéreo de Tanabi - DTCEA-TNB, Destacamento de Controle do Espaço Aéreo de Sinope - DTCEA-SI, Destacamento de Controle do Espaço Aéreo de Porto Esperidião - DTCEA-EP e Destacamento de Controle do Espaço Aéreo de São Felix do Araguaia - DTCEA-FA, conforme condições, quantidades e exigências estabelecidas nesse Termo de Referência e seus anexos. </t>
  </si>
  <si>
    <t>CRN1 DF</t>
  </si>
  <si>
    <t>O OBJETO DO PRESENTE INSTRUMENTO É A CONTRATAÇÃO DE SERVIÇOS COMUNS DE LOCAÇÃO DE IMPRESSORAS MULTIFUNCIONAL LASER MONOCROMÁTICA (OUTSOURCING), COM SERVIÇOS DE IMPRESSÃO, DIGITALIZAÇÃO E REPRODUÇÃO DE CÓPIAS, COM FORNECIMENTO DE EQUIPAMENTOS E INSUMOS (EXCETO PAPEL), INCLUSIVE SUPORTE, MANUTENÇÃO E DISPONIBILIZAÇÃO DE SISTEMA DE GERENCIAMENTO PARA CONTROLE DE CÓPIAS NO ÂMBITO DO CRN-1, NAS CONDIÇÕES ESTABELECIDAS NO TERMO DE REFERÊNCIA.</t>
  </si>
  <si>
    <t xml:space="preserve">CENTRO DE LANÇAMENTO DE ALCÂNTARA - CLA </t>
  </si>
  <si>
    <t>005/CLA/2024</t>
  </si>
  <si>
    <t>O objeto da presente licitação é a escolha de proposta mais vantajosa para a contratação deempresa especializada na Prestação de Serviço Continuado de IMPRESSÃO CORPORATIVA (Outsourcingde Impressão), na modalidade de franquia mensal mais excedente, compreendendo o fornecimento,instalação, configuração e a cessão de uso dos equipamentos de impressão, contemplando impressão,cópia e digitalização (sem ônus), agregando a prestação de serviços de manutenção preventiva e corretiva,reposição de peças, suprimentos e insumos (exceto papel), e sistema para gerenciamento e monitoramentodos equipamentos, destinados a diversos setores do Centro de Lançamento de Alcântara, e demaisunidades apoiadas em São Luís-MA, Raposa-MA e Alcântara-MA, conforme condições, quantidades eexigências estabelecidas neste Aviso de Contratação Direta e seus anexos.</t>
  </si>
  <si>
    <t>CISNORDESTE</t>
  </si>
  <si>
    <t>18-2024</t>
  </si>
  <si>
    <t>041-2024</t>
  </si>
  <si>
    <t>12.12.015/2025-SDHCD</t>
  </si>
  <si>
    <t>REGISTRO DE PREÇO PARA FUTURAS E EVENTUAIS SERVIÇOS DE LOCAÇÕES DE EQUIPAMENTOS DE INFORMÁTICA, COM SUPORTE, ASSISTÊNCIA TÉCNICA E MANUTENÇÃO PREVENTIVA E CORRETIVA INLOCO para atender as necessidades da Secretaria de Direitos Humanos, Cidadania e Diversidade do Município de Tauá-CE</t>
  </si>
  <si>
    <t>010/2024-SEAB</t>
  </si>
  <si>
    <t>contratação de empresa especializada para a prestação de serviços de Outsourcing incluindo fornecimento de equipamentos de impressão, monocromáticas e policromáticas, cópias, digitalização, com fornecimento de assistência técnica para a manutenção corretiva e preventiva, incluindo substituição de peças, insumos, suprimentos e materiais de consumo, como cartuchos de tonner, revelador e cilindro, para atender as necessidades da Secretaria Extraordinária de Representação do Governo do Estado do Amapá em Brasília – SEAB.</t>
  </si>
  <si>
    <t>02 / 2025</t>
  </si>
  <si>
    <t>Contratação de empresa especializada para fornecimento de serviços de Impressão, suporte cópia, digitalização, caracterizados como “ outsourcing de impressão”, com fornecimento de equipamentos reprográficos digitais, sendo 2 ( dois) equipamentos monocromáticos com impressão tipo A4, 2(dois) equipamentos policromáticos com impressão tipo A4 e 1 equipamento policromáticos com impressão tipo A3, compreendendo, ainda, a alocação de técnicos residentes, a entrega/instalação e assistência técnica, fornecimento de suprimentos (exceto papel), além do fornecimento de sistema de gerenciamento de cópias/impressões e o treinamento para operação técnico
por 12 meses.</t>
  </si>
  <si>
    <t>3/2024</t>
  </si>
  <si>
    <t>contratação de empresa especializada em prestação de serviços de Outsourcing de Impressão para atender às necessidades da Superintendência Estadual do Ministério da Saúde no Ceará, nas condições estabelecidas no Termo de Referência.</t>
  </si>
  <si>
    <t>15/2023/MAPA</t>
  </si>
  <si>
    <t>prestação de serviços de outsourcing de impressão, cópia e digitalização com fornecimento de suprimentos, equipamentos e de sistema de gerenciamento, manutenção preventiva e corretiva, e serviços de operacionalização da solução de impressão, exceto papel e grampos, para atender as necessidades da Maranhão Parcerias – MAPA.</t>
  </si>
  <si>
    <t xml:space="preserve"> 041/2025
</t>
  </si>
  <si>
    <t>O presente Instrumento tem por objeto a contratação de empresa especializada na prestação de serviços de outsourcing de impressão departamental, com fornecimento de multifuncional e impressora, incluindo papel, toners, peças, insumos e assistência técnica, para atender as demandas da Secretaria Extraordinária de Representação em Brasília, subordinada à Secretaria do Gabinete do Prefeito, conforme condições, quantidades e exigências estabelecidas no Termo de Referência</t>
  </si>
  <si>
    <t>052/2024/GAVIC</t>
  </si>
  <si>
    <t>Locação de impressoras, suporte e manutenção, para atender as demandas do Gabinete da Vice-Prefeitura - GAVIC</t>
  </si>
  <si>
    <t>007/2024</t>
  </si>
  <si>
    <t>locação de impressoras multifuncionais para atender as necessidades de serviços, programas e órgãos vinculados a Secretaria Municipal de Inovação, Sustentabilidade e Projetos Especiais – SEMISPE.</t>
  </si>
  <si>
    <t>1504/2025.1</t>
  </si>
  <si>
    <t>CONTRATAÇÃO DE EMPRESA PARA PRESTAÇÃO DE SERVIÇOS DE LOCAÇÃO DE IMPRESSORAS COM SERVIÇOS DE MANUTENÇÃO CORRETIVA E PREVENTIVA, SOB RESPONSABILIDADE DA CÂMARA MUNICIPAL DE CASCAVEL/CE</t>
  </si>
  <si>
    <t>SECRETARIA MUNICIPAL DE SEGURANÇA COM CIDADANIA−048/2024/SEMUSC</t>
  </si>
  <si>
    <t>048/2024/SEMUSC</t>
  </si>
  <si>
    <t>O presente Contrato obedece aos termos do TERMO DE REFERÊNCIA No 25/2024/SEMUSC, da Proposta da Contratada, e da Lei no 14.133/2021, art. 75, inciso II (atualizados pelo Decreto no. 11.871 de 29 de dezembro de 2023).</t>
  </si>
  <si>
    <t>12.01.001/2026-SSC</t>
  </si>
  <si>
    <t>REGISTRO DE PREÇO PARA FUTURAS E EVENTUAIS SERVIÇOS DE LOCAÇÕES DE EQUIPAMENTOS DE INFORMÁTICA, COM SUPORTE, ASSISTÊNCIA TÉCNICA E MANUTENÇÃO PREVENTIVA E CORRETIVA IN-LOCO para atender as necessidades da Secretaria da Segurança Cidadã do Município de Tauá-CE, nas condições estabelecidas no Termo de Referência.</t>
  </si>
  <si>
    <t>20250423001</t>
  </si>
  <si>
    <t>Constitui o objeto do presente contrato a CONTRATAÇÃO DOS SERVIÇOS DE LOCAÇÃO DE IMPRESSORA PARA ATENDER AS NECESSIDADES DA SECRETARIA DE MEIO AMBIENTE DO MUNICÍPIO DE CANINDÉ/CE</t>
  </si>
  <si>
    <t>2025.06.03.01</t>
  </si>
  <si>
    <t>CONTRATAÇÃO PARA SERVIÇO DE LOCAÇÃO DE EQUIPAMENTOS DE INFORMÁTICA, COM SUPORTE, ASSISTÊNCIA TÉCNICA E MANUTENÇÃO PREVENTIVA E CORRETIVA, VISANDO ATENDER A DEMANDA DA CÂMARA MUNICIPAL DE GRANJA</t>
  </si>
  <si>
    <t>2023.01.18.2</t>
  </si>
  <si>
    <t>SELEÇÃO DE MELHOR PROPOSTA PARA REGISTRO DE PREÇOS VISANDO FUTURA E EVENTUAL CONTRATAÇÃO DE EMPRESA ESPECIALIZADA EM SERVIÇOS DE LOCAÇÃO DE EQUIPAMENTOS DE INFORMÁTICA, INCLUINDO DISTRIBUIÇÃO E INSTALAÇÃO, SUPORTE, ASSISTÊNCIA TÉCNICA E MANUTENÇÃO PREVENTIVA E CORRETIVA IN-LOCO NA SEDE E ZONA RURAL, REPOSIÇÃO DE PEÇAS E INSUMOS (EXCETO PAPEL), PARA ATENDER O ANDAMENTO DOS SERVIÇOS ADMINISTRATIVOS, BEM COMO A MANUTENÇÃO DAS ATIVIDADES EXERCIDAS PELOS SERVIDORES DAS DIVERSAS SECRETARIAS DO MUNICÍPIO DO CRATO-CE</t>
  </si>
  <si>
    <t>20249002</t>
  </si>
  <si>
    <t>LOCAÇÃO DE IMPRESSORAS</t>
  </si>
  <si>
    <t>013/2025</t>
  </si>
  <si>
    <t>Po resta avença, a CONTRATADAfornece ao CONTRATANTEo serviço de locação de equipamentos de informática, com suporte, assistência técnica e manutenção preventiva e corretiva, visando atender satisfatoriamente a demanda daCELERE TECNOLOGIA E ASSESSORIA EM SAÚDE PÚBLICA.</t>
  </si>
  <si>
    <t>004/2025</t>
  </si>
  <si>
    <t>009/2025</t>
  </si>
  <si>
    <t>015/2025</t>
  </si>
  <si>
    <t xml:space="preserve"> INOVA TABULEIRO SA</t>
  </si>
  <si>
    <t>0103-2025</t>
  </si>
  <si>
    <t xml:space="preserve">Por esta avença, a CONTRATADA fornece ao CONTRATANTE o serviço de locação de equipamentos de informática, com suporte, assistência técnica e manutenção preventiva e corretiva, visando atender satisfatoriamente a demanda da INOVA TABULEIRO SA, no Município de Tabuleiro do Norte — CE, na quantidade e especificações descritas abaixo, em boas condições de uso e conservação. </t>
  </si>
  <si>
    <t>012/2025</t>
  </si>
  <si>
    <t>Por esta avença, a CONTRATADA fornece ao CONTRATANTE o serviço de locação de equipamentos de informática, com suporte, assistência técnica e manutenção preventiva e corretiva, visando atender satisfatoriamente a demanda da ASSOCIACAO DE APOIO AO PROTAGONISMO JUVENIL, na quantidade e especificações descritas abaixo, em boas condições de uso e conservação.</t>
  </si>
  <si>
    <t>2023.1412.01-ip</t>
  </si>
  <si>
    <t>Por esta avença, a CONTRATADA fornece ao CONTRATANTE, os serviços de: SERVIÇO DE LOCAÇÃO DE EQUIPAMENTOS DE INFORMÁTICA, COM SUPORTE, ASSISTÊNCIA TÉCNICA E MANUTENÇÃO PREVENTIVA E CORRETIVA, na quantidade e especificação descritas abaixo, em boas condições de uso e conservação.</t>
  </si>
  <si>
    <t xml:space="preserve">002-2025
</t>
  </si>
  <si>
    <t xml:space="preserve"> Por esta avença, a CONTRATADA fornece ao CONTRATANTE o serviço de locação de equipamentos de informática, com suporte, assistência técnica e manutenção preventiva e corretiva, visando atender satisfatoriamente a demanda da ECOS DE ESPERANÇA DO CARIRI, no Município de Crato — CE, na quantidade e especificações descritas abaixo, em boas condições de uso e conservação.</t>
  </si>
  <si>
    <t>010-2025</t>
  </si>
  <si>
    <t>Por esta avença, a CONTRATADA fornece ao CONTRATANTE o serviço de locação de equipamentos de informática, com suporte, assistência técnica e manutenção preventiva e corretiva, visando atender satisfatoriamente a demanda da empresa SANTANA &amp; PAIVA SERVICOS ADMINISTRATIVOS LTDA, na quantidade e especificações descritas abaixo, em boas condições de uso e conservação.</t>
  </si>
  <si>
    <t>20230717.001</t>
  </si>
  <si>
    <t>O objeto do presente Contrato é DISPENSA DE LICITAÇÃO Nº 018.07/2023-DL, cujo objeto é a LOCAÇÃO DE EQUIPAMENTOS DE INFORMÁTICA DESTINADO A ATENDER bAS NECESSIDADES DA COMPANHIA DE INTELIGÊNCIA URBANA E SERVIÇOS S/A.</t>
  </si>
  <si>
    <t xml:space="preserve"> ROZANA DUARTE DA SILVA-ME</t>
  </si>
  <si>
    <t>2023.01.03.01-IP</t>
  </si>
  <si>
    <t>Por esta avença, A CONTRATADA fornece ao CONTRATANTE, os serviços de: SERVIÇOS DE LOCAÇAO DE EQUIPAMENTOS DE INFORMÁTICA, VISANDO ATENDER DE FORMA SATISFATÓRIA A DEMANDA ROZANA DUARTE DA SILVA-ME (REFIGERAÇAO DUARTE), na quantidade e especificaçao descritas abaixo, em boas condiçoes de uso e conservaçao, incluindo entrega, suporte técnico e manutençao preventiva e corretiva, no endereço abaixo indicado:</t>
  </si>
  <si>
    <t>HF DA ROCHA COMÉRCIO E SERVIÇOS DE INFORMÁTICA</t>
  </si>
  <si>
    <t>2024.0808.04</t>
  </si>
  <si>
    <t xml:space="preserve">Por esta avença, a CONTRATADA fornece ao CONTRATANTE o serviço de locação de equipamentos de informática, com suporte, assistência técnica e manutenção preventiva e corretiva, visando atender satisfatoriamente a demanda da HF DA ROCHA COMÉRCIO E SERVIÇOS DE INFORMÁTICA, no Município de Fortaleza/CE, na quantidade e especificações descritas abaixo, em boas condições de uso e conservação.
</t>
  </si>
  <si>
    <t>OTICA EVANGELISTA</t>
  </si>
  <si>
    <t>2024.0111.01-IP</t>
  </si>
  <si>
    <t>Por esta avença, a CONTRATADA fornece ao CONTRATANTE, os serviços de Serviço de locaçao de equipamentos de informática, com suporte, assistencia técnica e manutençao preventiva e corretiva, visando atender satisfatoriamente a demanda da OTICA EVANGELISTA COMERCIO DE ARTIGOS ÓPTICOS LTDA, no Município de Fortaleza/CE, na quantidade e especificaçao descritas abaixo, em boas condiçoes de uso e conservaçao.</t>
  </si>
  <si>
    <t>26-A/2025</t>
  </si>
  <si>
    <t>FAMA SOLUCOES EM RECUPERACAO DE CREDITO LTDA - 003/2025</t>
  </si>
  <si>
    <t>003/2025</t>
  </si>
  <si>
    <t>Por esta avença, a CONTRATADA fornece ao CONTRATANTE o serviço de locação de equipamentos de informática, com suporte, assistência técnica e manutenção preventiva e corretiva, visando atender satisfatoriamente demanda da FAMA SOLUÇÕES, no Município de Fortaleza/CE, na quantidade e especificações descritas abaixo, em boas condições de uso e conservação.</t>
  </si>
  <si>
    <t>G&amp;T CONTROLLER LTDA ME - 11/2025</t>
  </si>
  <si>
    <t>serviços de Serviço de locação de equipamentos de informática, com suporte, assistência técnica e manutenção preventiva e corretiva, visando atender satisfatoriamente a demanda da G&amp;T CONTROLLER LTDA LTDA no Município Fortaleza/CE, na quantidade e especificação descritas abaixo, em boas condições de uso e conservação.</t>
  </si>
  <si>
    <t>G&amp;T CONTROLLER LTDA ME - 2401.01</t>
  </si>
  <si>
    <t>2025.2401.01-IP</t>
  </si>
  <si>
    <t>G&amp;T CONTROLLER LTDA ME - 0603.01</t>
  </si>
  <si>
    <t>0603.01-2024 IP</t>
  </si>
  <si>
    <t>2024.0903.01-IP</t>
  </si>
  <si>
    <t>Serviço de locação de equipamentos de informática, com suporte, assistência técnica e manutenção preventiva e corretiva, visando atender satisfatoriamente a demanda da ÂMBITO PÚBLICO ASSESSORIA EM LICITACOES E GESTAO PUBLICA LTDA no Município Fortaleza/CE, na quantidade e especificação descritas abaixo, em boas condições de uso e conservação.</t>
  </si>
  <si>
    <t>025/2025.</t>
  </si>
  <si>
    <t>002/2026 - IP</t>
  </si>
  <si>
    <t>Por esta avença, a CONTRATADA fornece ao CONTRATANTE o serviço de locação de equipamentos de informática, com suporte, assistência técnica e manutenção preventiva e corretiva, visando atender satisfatoriamente a demanda da QUEIROZ EDUCACIONAL LTDA, no Município de Mossoró/RN, na quantidade e especificações descritas abaixo, em boas condições de uso e conservação.</t>
  </si>
  <si>
    <t>S Z SERVICOS COMERCIO E DISTRIBUICAO</t>
  </si>
  <si>
    <t>024/2025.</t>
  </si>
  <si>
    <t>Por esta avença, a CONTRATADA fornece ao CONTRATANTE, os Serviços de locação de equipamentos de informática, incluindo instalação, suporte técnico e manutenção preventiva e corretiva, visando atender de forma satisfatória ao S Z SERVICOS COMERCIO E DISTRIBUICAO LTDA, na quantidade e especificação descritas abaixo, em boas condições de uso e conservação.</t>
  </si>
  <si>
    <t>027-2025</t>
  </si>
  <si>
    <t>Por esta avença, a CONTRATADA fornece ao CONTRATANTE o serviço de locação de equipamentos de informática, com suporte, assistência técnica e manutenção preventiva e corretiva, visando atender satisfatoriamente a demanda da CASA TELES COMERCIO DE MOVEIS LTDA, na quantidade e especificações descritas abaixo, em boas condições de uso</t>
  </si>
  <si>
    <t>018/2025.</t>
  </si>
  <si>
    <t>ENCERRADO</t>
  </si>
  <si>
    <t>Por esta avença, a CONTRATADA fornece ao CONTRATANTE, os Serviços de locação de equipamentos de informática, incluindo instalação, suporte técnico e manutenção preventiva e corretiva, visando atender de forma satisfatória ao Fundação Edson Queiroz, na quantidade e especificação descritas abaixo, em boas condições</t>
  </si>
  <si>
    <t>020-2025-IP</t>
  </si>
  <si>
    <t>Por esta avença, a CONTRATADA fornece ao CONTRATANTE o serviço de locação de equipamentos de informática, com suporte, assistência técnica e manutenção preventiva e corretiva, visando atender satisfatoriamente a demanda da empresa TORRES ASSESSORIA EM LICITAÇÕES E GESTÃO PUBLICA LTDA, na quantidade e especificações descritas abaixo,</t>
  </si>
  <si>
    <t>001-2026 - IP</t>
  </si>
  <si>
    <t>Por esta avença, a CONTRATADA fornece ao CONTRATANTE o serviço de locação de equipamentos de informática, com suporte, assistência técnica e manutenção preventiva e corretiva, visando atender satisfatoriamente a demanda da empresa COMERCIAL DE MEDICAMENTOS CAVALCANTE LTDA, na quantidade e especificações descritas abaixo, em boas</t>
  </si>
  <si>
    <t>1301001/2026 – SEGOV</t>
  </si>
  <si>
    <t xml:space="preserve">objeto do presente instrumento é REGISTRO DE PREÇO PARA FUTURAS E EVENTUAIS SERVIÇOS DE LOCAÇÕES DE EQUIPAMENTOS DE INFORMÁTICA, COM SUPORTE, ASSISTÊNCIA TÉCNICA E MANUTENÇÃO PREVENTIVA E CORRETIVA IN-LOCO Para atender as necessidades da Secretaria Municipal de Governo, do Município de Tauá-Ceará., nas condições estabelecidas no Termo de Referência. </t>
  </si>
  <si>
    <t>2024.0110.01-IP</t>
  </si>
  <si>
    <t>. Por esta avença, a CONTRATADA fornece ao CONTRATANTE, os serviços de Serviço de locação de equipamentos de informática, com suporte, assistência técnica e manutenção preventiva e corretiva, visando atender satisfatoriamente a demanda da SOCIEDADE PAULISTA DE MEDICINA VETERINÁRIA, no Município de Crato/CE, na quantidade e especificação descritas abaixo, em boas condições de uso e conservação.</t>
  </si>
  <si>
    <t>022/2025.</t>
  </si>
  <si>
    <t>Por esta avença, a CONTRATADA fornece ao CONTRATANTE, os Serviços de locação de equipamentos de informática, incluindo instalação, suporte técnico e manutenção preventiva e corretiva, visando atender de forma satisfatória ao Fundação Edson Queiroz, na quantidade e especificação descritas abaixo, em boas condições de uso e conservação.</t>
  </si>
  <si>
    <t>023/2025</t>
  </si>
  <si>
    <t>Por esta avença, a CONTRATADA fornece ao CONTRATANTE, os Serviços de locação de equipamentos de informática, incluindo instalação, suporte técnico e manutenção preventiva e corretiva, visando atender de forma satisfatória ao Fundação Edson Queiroz, na quantidade e especificação descritas abaixo, em boas condições de</t>
  </si>
  <si>
    <t>026/2025</t>
  </si>
  <si>
    <t>Por esta avença, a CONTRATADA fornece ao CONTRATANTE o serviço de locação de equipamentos de informática, com suporte, assistência técnica e manutenção preventiva e corretiva, visando atender satisfatoriamente a demanda da CEE – CENTRO DE EDUCAÇÃO ELIT, no Município do Crato, na quantidade e especificações descritas abaixo, em boas condições de uso e conservação.</t>
  </si>
  <si>
    <t>002-2026 - IP</t>
  </si>
  <si>
    <t>Por esta avença, a CONTRATADA fornece ao CONTRATANTE o serviço de locação de equipamentos de informática, com suporte, assistência técnica e manutenção preventiva e corretiva, visando atender satisfatoriamente a demanda da CASPE SERVIÇOS DE CONTABILIDADE PÚBLICA E EMPRESARIAL SS, no Município de Fortaleza /CE, na quantidade e especificações descritas abaixo, em boas condições de uso e conservação.</t>
  </si>
  <si>
    <t>MN EMPREENDIMENTOS E SOLUÇÕES ADMINISTRATIVAS EIRELI</t>
  </si>
  <si>
    <t>2024.0801.01-IP.</t>
  </si>
  <si>
    <t xml:space="preserve"> Por esta avença, a CONTRATADA fornece ao CONTRATANTE, os serviços de Serviço de locação de equipamentos de informática, com suporte, assistência técnica e manutenção preventiva e corretiva, visando atender satisfatoriamente a demanda da MN EMPREENDIMENTOS E SOLUÇÕES ADMINISTRATIVAS EIRELI no MunicípioCanindé/CE, na quantidade e especificação descritas abaixo, em boas condições de uso e conservação.</t>
  </si>
  <si>
    <t>PREFEITURA MUNICIPAL DE TAUÁ - SECRETARIA DE DESENVOLVIMENTO RURAL E RECURSOS HIDRICOS</t>
  </si>
  <si>
    <t>1201001/2026-SEDERHI</t>
  </si>
  <si>
    <t>CONTRATAÇÃO DE SERVIÇO DE LOCAÇÃO DE EQUIPAMENTOS DE INFORMÁTICA, COM SUPORTE, ASSISTÊNCIA TÉCNICA E MANUTENÇÃO PREVENTIVA E CORRETIVA IN-LOCO, para atender as necessidades da secretaria do Desenvolvimento Rural e Recursos Hídricos do município de Tauá – CE.</t>
  </si>
  <si>
    <t>2025/2208.02</t>
  </si>
  <si>
    <t>CONTRATAÇÃO DE EMPRESA ESPECIALIZADA EM SERVIÇOS DE LOCAÇÃO DE EQUIPAME TOS DE INFORMÁTICA, INCLUINDO DISTRIBUIÇÃO E INSTALAÇÃO, SUPORTE, ASSISTÊNCIA TÉCNICA E M NUTENÇÃO PREVENTIVA E CORRETIVA IN LOCO, REPOSIÇÃO DE PEÇAS E INSUMOS, tudo conforme espe ificações contidas no Termo de Referência.</t>
  </si>
  <si>
    <t>2025/2208.03</t>
  </si>
  <si>
    <t>202405240002</t>
  </si>
  <si>
    <t>AS SISTEMAS</t>
  </si>
  <si>
    <t>Contratacdo de servicos especializados de locação de programas de informatica para execução de controle interno, com disponibilizacido de sistemas via web/, robd eletronico para monitoramento das tarefas, dados e aplicativos para dispositivos móveis, junto a Controladoria Geral do Município, conforme especificações e quantitativos estabelecidos no Termo de Referência, anexo do Edital</t>
  </si>
  <si>
    <t>2025/2208.04</t>
  </si>
  <si>
    <t>CONSÓRCIO PÚBLICO DE SAÚDE DO MACIÇO DE BATURITÉ - CPSMB</t>
  </si>
  <si>
    <t>01/2025</t>
  </si>
  <si>
    <t>LOCAÇÃO DE PROGRAMAS DE INFORMÁTICA, PARA EXECUÇÃO DE CONTROLE INTERNO, COM DISPONIBILIZAÇÃO DE SISTEMAS VIA WEB</t>
  </si>
  <si>
    <t>2025/2208.05</t>
  </si>
  <si>
    <t>2025/2208.06</t>
  </si>
  <si>
    <t>2024.01.25.01</t>
  </si>
  <si>
    <t>LOCAÇÃO DE SISTEMA DE INFORMÁTICA, COM TREINAMENTO PARA OS SERVIDORES ENVOLVIDOS NAS ATIVIDADES DO ALMOXARIFADO, DISPONIBILIZAÇÃO DE SISTEMAS VIA WEB, ROBÔ ELETRÔNICO PARA MONITORAMENTO DAS TAREFAS, DADOS E APLICATIVOS PARA DISPOSITIVOS MÓVEIS, PARA ATENDER AS NECESSIDADES DO CONSÓRCIO PÚBLICO DE SAÚDE DA MICRORREGIÃO DE CAMOCIMCPSMCAM</t>
  </si>
  <si>
    <t>2025/2208.07</t>
  </si>
  <si>
    <t>2025/2208.18</t>
  </si>
  <si>
    <t>2025/2208.08</t>
  </si>
  <si>
    <t>2025.08.22.157</t>
  </si>
  <si>
    <t>Contratação de empresa para prestação de serviço de locação de impressoras multifuncionais destinadas as atender as atividades administrativas das unidades de saúde gerenciadas pelo Consórcio Público de Saúde da Microrregião de Crato</t>
  </si>
  <si>
    <t>2025/2208.10</t>
  </si>
  <si>
    <t>2025/2208.09</t>
  </si>
  <si>
    <t>04/2022-03</t>
  </si>
  <si>
    <t>CONTRATAÇÃO DE SERVIÇOS DE LICENÇA DE USO DE SOFTWARES DIVERSOS PARA GESTÃO LOGÍSTICA, ARRECADAÇÃO E FOLHA DE PAGAMENTO, COM VISTA À QUALIFICAÇÃO DO CONTROLE INTERNO, INCLUINDO IMPLANTAÇÃO, TREINAMENTO DE PESSOAL, MANUTENÇÃO, SUPORTE TÉCNICO, ACOMPANHAMENTO E SERVIÇOS ESPECIALIZADOS DE CONSULTORIA, JUNTO À SECRETARIA DO TRABALHO E ASSISTÊNCIA SOCIAL DO MUNICÍPIO DE ICÓ-CE</t>
  </si>
  <si>
    <t>2025/2208.11</t>
  </si>
  <si>
    <t>2025/2208.13</t>
  </si>
  <si>
    <t>04/2022-01</t>
  </si>
  <si>
    <t>CONTRATAÇÃO DE SERVIÇOS DE LICENÇA DE USO DE SOFTWARES DIVERSOS PARA GESTÃO LOGÍSTICA, ARRECADAÇÃO E FOLHA DE PAGAMENTO, COM VISTA À QUALIFICAÇÃO DO CONTROLE INTERNO, INCLUINDO IMPLANTAÇÃO, TREINAMENTO DE PESSOAL, MANUTENÇÃO, SUPORTE TÉCNICO, ACOMPANHAMENTO E SERVIÇOS ESPECIALIZADOS DE CONSULTORIA, JUNTO ÀS UNIDADES ADMINISTRATIVAS DO MUNICÍPIO DE ICÓ-CE</t>
  </si>
  <si>
    <t>2025/2208.17</t>
  </si>
  <si>
    <t>04/2022-04</t>
  </si>
  <si>
    <t>CONTRATAÇÃO DE SERVIÇOS DE LICENÇA DE USO DE SOFTWARES DIVERSOS PARA GESTÃO LOGÍSTICA, ARRECADAÇÃO E FOLHA DE PAGAMENTO, COM VISTA À QUALIFICAÇÃO DO CONTROLE INTERNO, INCLUINDO IMPLANTAÇÃO, TREINAMENTO DE PESSOAL, MANUTENÇÃO, SUPORTE TÉCNICO, ACOMPANHAMENTO E SERVIÇOS ESPECIALIZADOS DE CONSULTORIA, JUNTO À SECRETARIA DE ADMINISTRAÇÃO E FINANÇAS DO MUNICÍPIO DE ICÓ-CE</t>
  </si>
  <si>
    <t>04/2022-05</t>
  </si>
  <si>
    <t>CONTRATAÇÃO DE SERVIÇOS DE LICENÇA DE USO DE SOFTWARES DIVERSOS PARA GESTÃO LOGÍSTICA, ARRECADAÇÃO E FOLHA DE PAGAMENTO, COM VISTA À QUALIFICAÇÃO DO CONTROLE INTERNO, INCLUINDO IMPLANTAÇÃO, TREINAMENTO DE PESSOAL, MANUTENÇÃO, SUPORTE TÉCNICO, ACOMPANHAMENTO E SERVIÇOS ESPECIALIZADOS DE CONSULTORIA, JUNTO AO SERVIÇO AUTÔNOMO DE ÁGUA E ESGOTO - SAAE DO MUNICÍPIO DE ICÓ-CE</t>
  </si>
  <si>
    <t>04/2022-02</t>
  </si>
  <si>
    <t>CONTRATAÇÃO DE SERVIÇOS DE LICENÇA DE USO DE SOFTWARES DIVERSOS PARA GESTÃO LOGÍSTICA, ARRECADAÇÃO E FOLHA DE PAGAMENTO, COM VISTA À QUALIFICAÇÃO DO CONTROLE INTERNO, INCLUINDO IMPLANTAÇÃO, TREINAMENTO DE PESSOAL, MANUTENÇÃO, SUPORTE TÉCNICO, ACOMPANHAMENTO E SERVIÇOS ESPECIALIZADOS DE CONSULTORIA, JUNTO À SECRETARIA DE SAÚDE DO MUNICÍPIO DE ICÓ-CE</t>
  </si>
  <si>
    <t>202404120003</t>
  </si>
  <si>
    <t>AQUISIÇÃO DE LICENÇA DE USO DE SOFTWARE PARA DIVERSAS FINALIDADES NAS UNIDADES ADMINISTRATIVAS DO MUNICÍPIO DE ITATIRA</t>
  </si>
  <si>
    <t>2025/2208.12</t>
  </si>
  <si>
    <t>202404120004</t>
  </si>
  <si>
    <t>2025/2208.14</t>
  </si>
  <si>
    <t>202404120005</t>
  </si>
  <si>
    <t>FAMA SOLUCOES EM RECUPERACAO DE CREDITO LTDA - 006/2025</t>
  </si>
  <si>
    <t>006/2025</t>
  </si>
  <si>
    <t>a CONTRATADA fornece ao CONTRATANTE o serviço de locação de equipamentos de informática, com suporte, assistência técnica e manutenção preventiva e corretiva, visando atender satisfatoriamente a demanda da FAMA SOLUÇÕES, no Município de Fort</t>
  </si>
  <si>
    <t>2025/2208.15</t>
  </si>
  <si>
    <t>2025/2208.16</t>
  </si>
  <si>
    <t>PREFEITURA MUNICIPAL DE CAMOCIM - SAÚDE - 2025.10.08.001</t>
  </si>
  <si>
    <t>2025.10.08.001</t>
  </si>
  <si>
    <t>Contratação de empresa especializada na prestação de serviços de locação de computadores e impressoras, com fornecimento, instalação e disponibilização de equipamentos multifuncionais, sistema de gerenciamento centralizado, manutenção preventiva e corretiva com substituição de peças e componentes, bem como fornecimento de insumos necessários ao funcionamento dos equipamentos (exceto papel), destinados ao atendimento da Secretaria Municipal de Saúde de Camocim/CE,</t>
  </si>
  <si>
    <t>2023.08.24-IP.</t>
  </si>
  <si>
    <t>A CONTRATADA fornece ao CONTRATANTE, os serviços de: LOCAÇÃO DE EQUIPAMENTOS DE INFORMÁTICA, VISANDO ATENDER DE FORMA SATISFATÓRIA AS DEMANDAS DA CLAREAR COMERCIO E SERVICOS DE MAO DE OBRA LTDA, na quantidade e especificação descritas abaixo, em boas condições de uso e conservação, incluindo entrega, suporte técnico e manutenção preventiva e corretiva.</t>
  </si>
  <si>
    <t>2301-2025</t>
  </si>
  <si>
    <t>CONTRATADA fornece ao CONTRATANTE o serviço de locação de equipamentos de informática, com suporte, assistência técnica e manutenção preventiva e corretiva, visando atender satisfatoriamente a demanda da JOANA D ARC CLAUDIO BRASIL DODO, no Município de Ocara — CE, na quantidade e especificações descritas abaixo, em boas condições de uso e conservação.</t>
  </si>
  <si>
    <t>2024.0515.02</t>
  </si>
  <si>
    <t>a CONTRATADA fornece ao CONTRATANTE o serviço de locação de equipamentos de informática, com supo rte, assistência técnica e manutenção preventiva e corretiva, visando atender satisfatoriamente a demanda da CÉLEBRE CONTABILIDADE E ASSESSORIA S/S LTDA, no Município deFortaleza/CE, na quantidade e especificações descritas abaixo, em boas condições de uso e conservação.</t>
  </si>
  <si>
    <t>0302-2025</t>
  </si>
  <si>
    <t>a CONTRATADA fornece ao CONTRATANTE o serviço de locação de equipamentos de informática, com suporte, assistência técnica e manutenção preventiva e corretiva, visando atender satisfatoriamente a demanda da R 2LOGISTICA E TRANSPORTES LTDA, no Município de Fortaleza — CE, na quantidade e especificações descritas abaixo, em boas condições de uso e conservação.</t>
  </si>
  <si>
    <t>2024.03.21.01-IP.</t>
  </si>
  <si>
    <t>A CONTRATADA fornece ao CONTRATANTE, os serviços de: LOCAÇÃO DE EQUIPAMENTOS DE INFORMÁTICA, VISANDO ATENDER DE FORMA SATISFATÓRIA AS DEMANDAS DA COMPANHIA DE INFRAESTRUTURA, TECNOLOGIA E INOVACAO, na quantidade e especificação descritas abaixo, em boas condições de uso e conservação, incluindo entrega, suporte técnico e manutenção preventiva e corretiva.</t>
  </si>
  <si>
    <t>2024.2008.01</t>
  </si>
  <si>
    <t>a CONTRATADA fornece ao CONTRATANTE o serviço de locação de equipamentos de informática, com suporte, assistência técnica e manutenção preventiva e corretiva, visando atender satisfatoriamente a demanda da ACG CONSTRUÇÕES E CONSERVAÇÃO AMBIENTAL LTDA, no Município de Jijoca de Jericoacoara/CE, na quantidade e especificações descritas abaixo, em boas condições de uso e</t>
  </si>
  <si>
    <t xml:space="preserve">O objeto do presente instrumento é a contratação de solução de tecnoclogia da inforamção e comunicação de outsourcing de impressoras, nas condições estabelecidas no Termo de Referência. </t>
  </si>
  <si>
    <t>202507220005</t>
  </si>
  <si>
    <t>O objeto do presente instrumento é LOCAÇÃO DE IMPRESSORAS COM FORNECIMENTO DE TINTAS/TONERS, MANUTENÇÃO INCLUSA E COMBO DE EXCEDENTES DE CÓPIA PARA ATENDER ÀS DEMANDAS DAS DIVERSAS SECRETARIAS DO MUNICÍPIO DE URUOCA-CE., nas condições estabelecidas noTermo de Referência.</t>
  </si>
  <si>
    <t>202507220004</t>
  </si>
  <si>
    <t xml:space="preserve"> objeto do presente instrumento é LOCAÇÃO DE IMPRESSORAS COM FORNECIMENTO DE TINTAS/TONERS, MANUTENÇÃO INCLUSA E COMBO DE EXCEDENTES DE CÓPIA PARA ATENDER ÀS DEMANDAS DAS DIVERSAS SECRETARIAS DO MUNICÍPIO DE URUOCA-CE., nas condições estabelecidas noTermo de Referência.</t>
  </si>
  <si>
    <t>202507220001</t>
  </si>
  <si>
    <t>202507220002</t>
  </si>
  <si>
    <t>202507220003</t>
  </si>
  <si>
    <t>01.09.001/2025</t>
  </si>
  <si>
    <t>LOCAÇÃO DE EQUIPAMENTOS DE INFORMÁTICA para o HOSPITAL REGIONAL DR. MANOEL BATISTA DE OLIVEIRA - IGUATU-CE,</t>
  </si>
  <si>
    <r>
      <rPr>
        <rFont val="Arial"/>
        <color theme="1"/>
      </rPr>
      <t>ASSOCIACAO DE PROTECAO E ASSISTENCIA A MAT E INFANCIA - ISV -</t>
    </r>
    <r>
      <rPr>
        <rFont val="Arial"/>
        <b/>
        <color theme="1"/>
      </rPr>
      <t xml:space="preserve"> (Contrato 2 substituiu o Contrato 1)</t>
    </r>
  </si>
  <si>
    <t>ASSOCIACAO DE PROTECAO E ASSISTENCIA A MAT E INFANCIA - ISV - (Contrato 2 substituiu o Contrato 1)</t>
  </si>
  <si>
    <t>LOCAÇÃO DE EQUIPAMENTOS DE INFORMÁTICA para o HOSPITAL REGIONAL DR. MANOEL BATISTA DE OLIVEIRA - IGUATU-CE, - FEITO NOVO CONTRATO INCLUINDO NOVOS EQUIPAMETOS</t>
  </si>
  <si>
    <t>05/2025</t>
  </si>
  <si>
    <t>O objeto do presente instrumento é a contratação da solução de Reprografia e Fornecimento de Impressoras, scanners, bem como um Sistema de Gestão e Controle de impressões e cópias, compreendendo a gestão e monitoração das páginas impressas e copiadas, por meio do Sistema de Contabilização (bilhetagem)</t>
  </si>
  <si>
    <t>01/2026 – SECEL</t>
  </si>
  <si>
    <t>Contratação de empresa especializada para a prestação de serviços de outsourcing de impressão, cópia e digitalização, com fornecimento de equipamentos multifuncionais monocromáticos e coloridos, incluindo todos os insumos e suprimentos necessários (exceto papel), assistência técnica, manutenção preventiva e corretiva, fornecimento de software de gerenciamento e suporte técnico.</t>
  </si>
  <si>
    <t>2024.0411.01-IP</t>
  </si>
  <si>
    <t>a CONTRATADA fornece ao CONTRATANTE locação de equipamentos de informática, com suporte, assistência técnica e manutenção preventiva e corretiva, visando atender satisfatoriamente a demanda da MULTINTEGRADA</t>
  </si>
  <si>
    <t>49/2024</t>
  </si>
  <si>
    <t>TIPO</t>
  </si>
  <si>
    <t>CONTRATO</t>
  </si>
  <si>
    <t>CADASTRO</t>
  </si>
  <si>
    <t>ADITIVO DE QUANTIDADE</t>
  </si>
  <si>
    <t>ADITIVO DE REAJUSTE E PRAZO</t>
  </si>
  <si>
    <t>ADITIVO DE PRAZO</t>
  </si>
  <si>
    <t>APOSTILAMENTO</t>
  </si>
  <si>
    <t>ADITIVO DE QUANTIDADE E PRAZO</t>
  </si>
  <si>
    <t>Hospital Municipal Dr. Augeu Braga Herbster</t>
  </si>
  <si>
    <t>ADITIVO DE SUPRESSÃO</t>
  </si>
  <si>
    <t>ADITIVO DE REAJUSTE E QUANTIDADE</t>
  </si>
  <si>
    <t>ADITIVO DE SUPRESSÃO E QUANTIDADE</t>
  </si>
  <si>
    <t>ADITIVO MODIFICAÇÃO DE ITEM</t>
  </si>
  <si>
    <t>EVENTO</t>
  </si>
  <si>
    <t>TIPO_EVENTO</t>
  </si>
  <si>
    <t>DATA_INICIAL</t>
  </si>
  <si>
    <t>DURAÇÃO (MESES)</t>
  </si>
  <si>
    <t>DURAÇÃO_MAXIMA (MESES)</t>
  </si>
  <si>
    <t>DATA_FINAL</t>
  </si>
  <si>
    <t>DATA_FINAL_MAXIMA</t>
  </si>
  <si>
    <t>VALOR TOTAL</t>
  </si>
  <si>
    <t>/</t>
  </si>
  <si>
    <t>R$         95.061,60</t>
  </si>
  <si>
    <t>110.989.44</t>
  </si>
  <si>
    <t>R$         91.999,68</t>
  </si>
  <si>
    <t>R$          89.200.80</t>
  </si>
  <si>
    <t>R$           94.932,96</t>
  </si>
  <si>
    <t>R$           490.742.28</t>
  </si>
  <si>
    <t>R$           672.870,48</t>
  </si>
  <si>
    <t xml:space="preserve">  R$           837.681,48</t>
  </si>
  <si>
    <t>R$           860.032,58</t>
  </si>
  <si>
    <t>R$           177.670,20</t>
  </si>
  <si>
    <t>R$           133.252.65</t>
  </si>
  <si>
    <t>-</t>
  </si>
  <si>
    <t>R$                  4.104,00</t>
  </si>
  <si>
    <t>R$                   4.307,28</t>
  </si>
  <si>
    <t>R$                   1014,00</t>
  </si>
  <si>
    <t>APELIDO</t>
  </si>
  <si>
    <t>DESCRICAO</t>
  </si>
  <si>
    <t>QUANTIDADE</t>
  </si>
  <si>
    <t>VALOR_UNITARIO</t>
  </si>
  <si>
    <t xml:space="preserve">NOBREAK 700 VA </t>
  </si>
  <si>
    <t>FORCE LINE 0010400008 – UPS MAX SECURITY 700VA 115V</t>
  </si>
  <si>
    <t xml:space="preserve">NOBREAK 1,5 KVA </t>
  </si>
  <si>
    <t>FORCE LINE UPS OFFICE SECURITY PLUS 1500VA</t>
  </si>
  <si>
    <t xml:space="preserve">NOBREAK 3 KVA </t>
  </si>
  <si>
    <t>SMS POWER VISION NG 3000 VA</t>
  </si>
  <si>
    <t xml:space="preserve">NOBREAK 30 KVA </t>
  </si>
  <si>
    <t>NOBREAK 30 KVA TRIFÁSICO SCHNEIDER CLASSIC DSP</t>
  </si>
  <si>
    <t xml:space="preserve">MONITOR </t>
  </si>
  <si>
    <t>DELL PRO 27 PLUS - P2724DEB</t>
  </si>
  <si>
    <t>NOTEBOOK TIPO 1</t>
  </si>
  <si>
    <t>LENOVO E14 G2, I3-1115G, 256SSD, 8GB RAM</t>
  </si>
  <si>
    <t>NOTEBOOK TIPO 2</t>
  </si>
  <si>
    <t>DELL LATITUDE 3450 + I7-1355U + 32GB RAM</t>
  </si>
  <si>
    <t>MICROCOMPUTADOR TIPO 1</t>
  </si>
  <si>
    <t>LENOVO THINKCENTRE M70S, I5-10400, 8GB, SSD 512GB, WINDOWS 10 PRO, MOUSE E TECLADO USB LENOVO + MONITOR 21.5" LENOVO THINKVISION S22E-19</t>
  </si>
  <si>
    <t>MICROCOMPUTADOR TIPO 2</t>
  </si>
  <si>
    <t>LENOVO THINKCENTRE_M70S, I7-10700, 8GB, SSD 512GB, WINDOWS 10 PRO, MOUSE E TECLADO USB LENOVO + MONITOR 21.5" LENOVO THINKVISION T22I-20</t>
  </si>
  <si>
    <t>MICROCOMPUTADOR TIPO 3</t>
  </si>
  <si>
    <t>LENOVO WORDKSTATION P340 TWR, XEON W-1250, 32GB, SSD 256GB, GPU DIDICADA 2GB DDR5, MOUSE E TECLADO USB LENOVO + MONITOR 24,5 LENOVO LEGION Y25-25</t>
  </si>
  <si>
    <t xml:space="preserve">IMPRESSORA MONOCROMÁTICO –  PÁGINAS A4 </t>
  </si>
  <si>
    <t>KYOCERA ECOSYSMA5500ifx + OCR</t>
  </si>
  <si>
    <t xml:space="preserve">IMPRESSORA POLICROMÁTICO  –  PÁGINAS – A4 </t>
  </si>
  <si>
    <t>KYOCERA ECOSYS MA3500cix + OCR</t>
  </si>
  <si>
    <t xml:space="preserve">IMPRESSORA  MONOCROMÁTICO –  PÁGINAS  A3 </t>
  </si>
  <si>
    <t>KYOCERA TASKALFA 2554CI + DP-7160 + OCR</t>
  </si>
  <si>
    <t xml:space="preserve"> IMPRESSÃO CORPORATIVA OU OUTSOURCING DE IMPRESSÃO, COM O FORNECIMENTO DE EQUIPAMENTOS </t>
  </si>
  <si>
    <t>KYOCERA M2640IDW + PF1100</t>
  </si>
  <si>
    <t xml:space="preserve">IMPRESSÃO CORPORATIVA OU OUTSOURCING DE IMPRESSÃO, COM O FORNECIMENTO DE EQUIPAMENTOS </t>
  </si>
  <si>
    <t>KYOCERA TASKALFA 5004I</t>
  </si>
  <si>
    <t>KYOCERA ECOSYS  M6230cidn</t>
  </si>
  <si>
    <t>KYOCERA ECOSYS M6230CIDN</t>
  </si>
  <si>
    <t xml:space="preserve"> Epson WorkForce Pro WF-M5899 + OCR </t>
  </si>
  <si>
    <t>MULTIFUNCIONAL POLICROMÁTICA</t>
  </si>
  <si>
    <t>Kyocera Ecosys MA4000cix</t>
  </si>
  <si>
    <t>IMPRESSORA MONOCROMÁTICA</t>
  </si>
  <si>
    <t>kyocera Ecosys P2235dn</t>
  </si>
  <si>
    <t xml:space="preserve">IMPRESSORA POLICROMÁTICA </t>
  </si>
  <si>
    <t>Kyocera TASKalfa 3554ci</t>
  </si>
  <si>
    <t xml:space="preserve"> IMPRESSORA MONOCROMÁTICA (período eleitoral)</t>
  </si>
  <si>
    <t xml:space="preserve"> IMPRESSORA TÉRMICA DE CARTÕES</t>
  </si>
  <si>
    <t>Zebra zc300</t>
  </si>
  <si>
    <t>Epson WorkForce Pro WF- M5899</t>
  </si>
  <si>
    <t>KYOCERA ECOSYS MA3500cix</t>
  </si>
  <si>
    <t>Epson WorkForce Pro WF-M5899</t>
  </si>
  <si>
    <t>Epson Workforce  WF-C5890</t>
  </si>
  <si>
    <t>ECOSYS_MA5500ifx</t>
  </si>
  <si>
    <t>Kyocera_ECOSYS_MA3500cix</t>
  </si>
  <si>
    <t>ECOSYS_MA4500ix + OCR + Card Authentication kit</t>
  </si>
  <si>
    <t>IMPRESSORA MONOCROMÁTICO –  PÁGINAS A3</t>
  </si>
  <si>
    <t>TASKalfa MZ3200i + OCR + Card Authentication Kit + DF-7120 + AK-740 + DP-7140</t>
  </si>
  <si>
    <t>Kyocera_ECOSYS_MA3500cix + OCR + Card Authentication Kit</t>
  </si>
  <si>
    <t>IMPRESSORA POLICROMÁTICO  –  PÁGINAS – A3</t>
  </si>
  <si>
    <t>Kyocera TASKALFA 2554CI DP-7140 + OCR + Card Authentication Kit</t>
  </si>
  <si>
    <t>IMPRESSORA POLICROMÁTICO  –  PÁGINAS – A3 COM DF-7100</t>
  </si>
  <si>
    <t>Kyocera TASKALFA 2554CI DP-7140 + DF-7100 + OCR + Card Authentication Kit</t>
  </si>
  <si>
    <t>EPSON WF-M5899</t>
  </si>
  <si>
    <t xml:space="preserve">EPSON WF- C878 </t>
  </si>
  <si>
    <t xml:space="preserve">EPSON WF-C5890 </t>
  </si>
  <si>
    <t>EPSON - WF-M5899</t>
  </si>
  <si>
    <t>EPSON - WF-C5890</t>
  </si>
  <si>
    <t>EPSON WF- C878</t>
  </si>
  <si>
    <t xml:space="preserve">IMPRESSORA POLICROMATICA–  PÁGINAS A4 - NÃO MULTIFUNCIONAL </t>
  </si>
  <si>
    <t xml:space="preserve">Kyocera ECOSYS PA3500cx </t>
  </si>
  <si>
    <t xml:space="preserve">Kyocera ECOSYS MA5500ix + Scan Extension Kit </t>
  </si>
  <si>
    <t>Kyocera MA3500cix + Scan Extension Kit + PF-5150</t>
  </si>
  <si>
    <t xml:space="preserve">Kyocera TASKalfa_3554ci + Scan Extension Kit + DP-7160 </t>
  </si>
  <si>
    <t>Epson WF-M5899</t>
  </si>
  <si>
    <t xml:space="preserve">Kyocera ECOSYS_MA3500cix </t>
  </si>
  <si>
    <r>
      <rPr>
        <rFont val="Arial"/>
        <color theme="1"/>
        <sz val="11.0"/>
      </rPr>
      <t>Kyocera ECOSYS_MA5500ix</t>
    </r>
    <r>
      <rPr>
        <rFont val="Arial"/>
        <color theme="1"/>
      </rPr>
      <t xml:space="preserve"> + Scan Extension Kit + Card Authentication Kit + Leitor de Cartão + gabinete </t>
    </r>
  </si>
  <si>
    <r>
      <rPr>
        <rFont val="Arial"/>
        <color theme="1"/>
        <sz val="11.0"/>
      </rPr>
      <t xml:space="preserve">Kyocera ECOSYS_MA3500cix </t>
    </r>
    <r>
      <rPr>
        <rFont val="Arial"/>
        <color theme="1"/>
      </rPr>
      <t xml:space="preserve">+ Scan Extension Kit + Card  Authentication Kit + Leitor de Cartão + Gabinete </t>
    </r>
  </si>
  <si>
    <t>IMPRESSORA POLICROMÁTICO/ MONOCROMATICA  –  PÁGINAS – A3</t>
  </si>
  <si>
    <r>
      <rPr>
        <rFont val="Arial"/>
        <color theme="1"/>
        <sz val="11.0"/>
      </rPr>
      <t>Kyocera TASKalfa_3554ci</t>
    </r>
    <r>
      <rPr>
        <rFont val="Arial"/>
        <color theme="1"/>
      </rPr>
      <t xml:space="preserve"> + scan extension kit + Card Authentication Kit + Leitor de Cartão + DP-7140 + 
Gabinete</t>
    </r>
  </si>
  <si>
    <t xml:space="preserve">KYOCERA ECOSYS MA5500IFX + SCAN  EXTENSION KIT
</t>
  </si>
  <si>
    <t>KYOCERA ECOSYS MA3500CIX + 1X PF-5150 + SCAN EXTENSION KIT</t>
  </si>
  <si>
    <t xml:space="preserve">KYOCERA TASKALFA  3554CI + DP-7160 + SCAN EXTENSION KIT
</t>
  </si>
  <si>
    <t>KYOCERA ECOSYS MA4500ix+OCR</t>
  </si>
  <si>
    <t>KYOCERA ECOSYS MA3500cix+OCR</t>
  </si>
  <si>
    <t>KYOCERA ECOSYS M8124CIDN+OCR</t>
  </si>
  <si>
    <t>KYOCERA ECOSYS MA4500IX</t>
  </si>
  <si>
    <t>KYOCERA ECOSYS MA4000CIX + 2XPF-5150</t>
  </si>
  <si>
    <t>KYOCERA ECOSYS MA5500ifx</t>
  </si>
  <si>
    <t>KYOCERA TASKALFA 3554ci</t>
  </si>
  <si>
    <t>KYOCERA ECOSYS M2640 IDW + OCR</t>
  </si>
  <si>
    <t>KYOCERA ECOSYS M5526 CDW + OCR</t>
  </si>
  <si>
    <t>TASKALFA 2554 CI + OCR</t>
  </si>
  <si>
    <t>KYOCERA ECOSYS M3655</t>
  </si>
  <si>
    <t>KYOCERA ECOSYS M6235cidn</t>
  </si>
  <si>
    <t>KYOCERA ECOSYS M2040dn</t>
  </si>
  <si>
    <t>XEROX VERSALINK C505</t>
  </si>
  <si>
    <t xml:space="preserve">KYOCERA ECOSYSMA5500ifx </t>
  </si>
  <si>
    <t>Epson WF-C5890</t>
  </si>
  <si>
    <t>NOTEBOOK TIPO II - CORE I5</t>
  </si>
  <si>
    <t>MICRO TIPO II - CORE I5</t>
  </si>
  <si>
    <t xml:space="preserve">IMPRESSORA TIPO VI - PLOTTER - COM FORNECIMENTO DE PAPEL </t>
  </si>
  <si>
    <t xml:space="preserve">TV TIPO III - 40 POLEGADAS </t>
  </si>
  <si>
    <t>MICRO TIPO I</t>
  </si>
  <si>
    <t>Micro Tipo I – Micro Desktop I5 ou AMD Ryzen 5 mínimo 6ª geração, memória 8GB SSD 240GB monitor 19", Windows 11 Profissional ou superior. Aumento da capacidade do processamento (geração do processador), monitor, memória, HD ou tipo de HD, inclusão Webcam sem ônus para o contratante. Atenção: o CONTRATADO deverá dispor de equipamento de backup em estoque para troca em caso de pane com no máximo 4 (quatro) horas. Serviços integrados na locação do equipamento: Instalação/desinstalação de antivírus e softwares do contratante ou de terceiros, instalação e/ou configuração de redes/intranet/internet incluindo cabos (de rede ou fibra ótica) e conectores, impressoras, acessórios, estabilizador, placas, filtros de linha, extensões de energia sem ônus para o contratante.</t>
  </si>
  <si>
    <t>NOTEBOOK TIPO II</t>
  </si>
  <si>
    <t>Notebook Tipo II – Notebook I5 ou AMD Ryzen 5 mínimo 6ª geração, memória 8GB HD SSD 240GB monitor 14", Windows 11 ou superior, acompanhado com a bolsa e seguro contra quebra. Aumento da capacidade do processamento (geração do processador), monitor, memória, HD ou tipo de SSD, qualidade da Webcam sem ônus para o contratante. Atenção: o CONTRATADO deverá dispor de equipamento de backup em estoque para troca em caso de pane com no máximo 4 (quatro) horas. Serviços integrados na locação do equipamento: Instalação/desinstalação de antivírus e softwares do contratante ou de terceiros, instalação e/ou configuração de redes/intranet/internet incluindo cabos (de rede ou fibra ótica) e conectores, impressoras, acessórios, estabilizador, placas, filtros de linha, extensões de energia sem ônus para o contratante.</t>
  </si>
  <si>
    <t>NOTEBOOK</t>
  </si>
  <si>
    <t>Notebook I3 ou AMD Ryzen3 mínimo 6º geração</t>
  </si>
  <si>
    <t>R$                           270,3900</t>
  </si>
  <si>
    <t>KYOCERA ECOSYS MA5500IF</t>
  </si>
  <si>
    <t>Xerox® VersaLink® C415 + Wifi + Bandeja</t>
  </si>
  <si>
    <t xml:space="preserve">IMPRESSORA MONO - POLI–  PÁGINAS – A3 </t>
  </si>
  <si>
    <t xml:space="preserve">Xerox AltaLink C8245F
</t>
  </si>
  <si>
    <t>MICROCOMPUTADOR</t>
  </si>
  <si>
    <t>R$                            173,9300</t>
  </si>
  <si>
    <t>MICROCOMPUTADOR i5</t>
  </si>
  <si>
    <t>MICROCOMPUTADOR  ADI i5 8GB</t>
  </si>
  <si>
    <t>NOBREAK 700 VA</t>
  </si>
  <si>
    <t>Nobreak 700 Va</t>
  </si>
  <si>
    <t>R$                            190,0800</t>
  </si>
  <si>
    <t>R$                            295,5600</t>
  </si>
  <si>
    <t xml:space="preserve"> KYOCERA ECOSYS M2040DNL</t>
  </si>
  <si>
    <t>KYOCERA ECOSYS MA5500IFX</t>
  </si>
  <si>
    <t xml:space="preserve">IMPRESSORA  POLICROMÁTICO –  PÁGINAS A4 </t>
  </si>
  <si>
    <t>KYOCERA ECOSYS MA4500ix</t>
  </si>
  <si>
    <t>KYOCERA TASKALFA MZ3200i + OCR + DP-7140</t>
  </si>
  <si>
    <t>R$                           958,3300</t>
  </si>
  <si>
    <t>Notebook I7</t>
  </si>
  <si>
    <t>otebook I7 ou AMD Ryzen7 no mínimo 8ª geração, memória 8GB HD 1TB monitor 15”, Windows 10 ou superior. Aumento da capacidade do processamento (geração do processador), monitor, memória, HD ou tipo de HD, qualidade filtros de linha, extensões de energia sem ônus para o contratanteredes/intranet/ínternet incluindo cabos (de rede ou fibra ótica) e conectores, impressoras,acessórios, estabilizador, placas, Instalação/desinstalação de antivírus e softwares do contratante ou de terceiros, instalação e/ou configuração de em caso de pane em no máximo 4 (quatro) horas. Serviços integrados na locação do equipamento: sem ônus para o contratante. Atenção: o CONTRATADO deverá dispor de equipamento de backup e+A1:H45m estoque para troca da Webcam</t>
  </si>
  <si>
    <t xml:space="preserve">Micro Desktoop I7 </t>
  </si>
  <si>
    <t>Micro Desktop I7 ou AMD Ryzen7 mínimo 3° geração, Memória 8GB HD 1TB monitor 19", Windows 10 ou superior. Aumento da capacidade do processamento (geração do processador), monitor, memória, HD ou tipo de HD, inclusão de Webcam sem ônus para o contratante. Atenção: o CONTRATADO deverá dispor de equipamento de backup em estoque para troca em caso de pane em no máximo 4 (quatro) horas. Serviços integrados na locação do equipamento: Instalação/desinstalação de antivírus e softwares do contratante ou de terceiros, instalação e/ou configuração de redes/intraneí/internet incluindo cabos (de rede ou fibra ótica) e conectores, impressoras, acessórios, estabilizador, placas, filtros de linha, extensões de energia sem ônus para o contratante</t>
  </si>
  <si>
    <t xml:space="preserve">Switch 8 Portas </t>
  </si>
  <si>
    <t>Switch 8 Portas. Instalação, desinstalação, estabilizador de energia quando necessário, cabeamento de rede incluindo fibra ótica, configuração (em máquinas do contratado, de terceiros ou de propriedade da contratante) sem ônus para o contratante. Atenção: o CONTRATADO deverá dispor de equipamento de backup em estoque para troca em caso de pane em no máximo 4 (auatro) horas. Aumento da capacidade, velocidade e conectividade sem ônus para o contratante.</t>
  </si>
  <si>
    <t xml:space="preserve">IMPRESSORA MONOCROMÁTICO LASER –  PÁGINAS A4 </t>
  </si>
  <si>
    <t>BROTHER MULTIFUNCIONAL LASER MONO A4 MFC-L6912DW</t>
  </si>
  <si>
    <t xml:space="preserve">IMPRESSORA  POLICROMÁTICO LASER –  PÁGINAS A4 </t>
  </si>
  <si>
    <t>KYOCERA MULTIFUNCIONAL ECOSYS_MA3500cix + 1x DF-5150 + HD-18</t>
  </si>
  <si>
    <t>SWITCH 48 PORTAS GERENCIAVEL</t>
  </si>
  <si>
    <t>SWITCH 48 PORTAS GERENCIÁVEL. INSTALAÇÃO, DESINSTALAÇÃO, ESTABILIZADOR DE ENERGIA QUANDO NECESSÁRIO, CABEAMENTO DE REDE INCLUINDO FIBRA ÓTICA, CONFIGURAÇÃO (EM MÁQUINAS DO CONTRATADO, DE TERCEIROS OU DE PROPRIEDADE DA CONTRATANTE) SEM ÔNUS PARA O CONTRATANTE. AUMENTO DA CAPACIDADE, VELOCIDADE E CONECTIVIDADE SEM ÔNUS PARA O CONTRATANTE. ATENÇÃO: O CONTRATADO DEVERÁ DISPOR DE EQUIPAMENTO DE BACKUP EM ESTOQUE PARA TROCA EM CASO DE PANE EM NO MÁXIMO 4 (QUATRO) HORAS, 7 (SETE) DIAS POR SEMANA 24 (VINTE E QUATRO) HORAS POR DIA</t>
  </si>
  <si>
    <t>Access point indor</t>
  </si>
  <si>
    <t>Access point indoor banda dupla mínimo 1750 Mbps. Instalação, desinstalação, estabilizador de energia quando necessário, cabeamento de rede incluindo fibra ótica, configuração (em máquinas do contratado, de terceiros ou de propriedade da contratante) sem ônus para o contratante. Atenção: o CONTRATADO deverá dispor de equipamento de backup em estoque para troca em caso de pane em no máximo 4 (quatro) horas. Aumento da capacidade, velocidade e conectividade sem ônus para o contratante</t>
  </si>
  <si>
    <t>HD Externo portátil 2TB</t>
  </si>
  <si>
    <t>HD Externo portátil 2TB. Instalação, desinstalação, estabilizador de energia quando necessário, cabeamento de rede incluindo fibra ótica, configuração (em máquinas do contratado, de terceiros ou de propriedade da contratante) sem ônus para o contratante. Atenção: o CONTRATADO deverá dispor de equipamento de backup em estoque para troca em caso de pane em no máximo 4 (quatro) horas. Aumento da capacidade, velocidade e conectividade sem ônus para o contratante</t>
  </si>
  <si>
    <t>No break 3000 VA</t>
  </si>
  <si>
    <t>No break 3000 VA. Atenção: o CONTRATADO deverá dispor de equipamento de backup em estoque para troca em caso de pane em no máximo 4 (quatro) horas, 7 (sete) dias por semana 24 (vinte e quatro) horas por dia. O CONTRATANTE definirá o tipo de entrada e saída de acordo com sua necessidade. Atenção: o CONTRATADO deverá dispor de equipamento de backup em estoque para troca em caso de pane em no máximo 4 (quatro) horas, 7 (sete) dias por semana 24 (vinte e quatro) horas por dia. Instalação, desinstalação, filtro de linha quando necessário, configuração (em máquinas do contratado, de terceiros ou de propriedade da contratante) sem ônus para o contratante</t>
  </si>
  <si>
    <t xml:space="preserve">TV 65 polegadas </t>
  </si>
  <si>
    <t>TV 65 polegadas smart ou superior. Atenção: o CONTRATADO deverá dispor de equipamento de backup em estoque para troca em caso de pane em no máximo 4 (quatro) horas. Instalação, desinstalação, suportes, extensões, no break e estabilizador de energia quando necessário, cabeamento de rede incluindo fibra ótica, configuração (em máquinas do contratado, de terceiros ou de propriedade da contratante) sem ônus para o contratante</t>
  </si>
  <si>
    <t>Micro Desktop i5 ou AMD Ryzen 5 mínimo 2ª geração, memória 4GB, HD 500 GB, monitor 15”, Windows 10</t>
  </si>
  <si>
    <t>Micro Desktop i3 ou AMD Ryzen 3 mínimo 2ª geração, memória 4GB, HD 500 GB, monitor 15”, Windows 10</t>
  </si>
  <si>
    <t>R$                           173,9300</t>
  </si>
  <si>
    <t>No break 700 VA.</t>
  </si>
  <si>
    <t>R$                              41,9500</t>
  </si>
  <si>
    <t>R$                            235,4400</t>
  </si>
  <si>
    <t>R$                            184,6400</t>
  </si>
  <si>
    <t>R$                              44,5300</t>
  </si>
  <si>
    <t xml:space="preserve">IMPRESSORA  POLICROMÁTICO –  PÁGINAS A3 </t>
  </si>
  <si>
    <r>
      <rPr>
        <rFont val="Arial"/>
        <color rgb="FF000000"/>
      </rPr>
      <t xml:space="preserve">KYOCERA </t>
    </r>
    <r>
      <rPr>
        <rFont val="Arial"/>
        <color rgb="FF000000"/>
      </rPr>
      <t>TASKalfa3554ci +Scan Extension Kit(A) + DP -7150</t>
    </r>
  </si>
  <si>
    <r>
      <rPr>
        <rFont val="Arial"/>
        <color rgb="FF000000"/>
      </rPr>
      <t>KYOCERA</t>
    </r>
    <r>
      <rPr>
        <rFont val="Arial"/>
        <color rgb="FF000000"/>
      </rPr>
      <t xml:space="preserve"> ECOSYS MA4500ix + Scan Extension Kit(A)</t>
    </r>
  </si>
  <si>
    <r>
      <rPr>
        <rFont val="Arial"/>
        <color rgb="FF000000"/>
      </rPr>
      <t>KYOCERA</t>
    </r>
    <r>
      <rPr>
        <rFont val="Arial"/>
        <color rgb="FF000000"/>
      </rPr>
      <t xml:space="preserve"> ECOSYS MA3500cix + Scan Extension Kit(A)</t>
    </r>
  </si>
  <si>
    <t>SCANNER DE MESA VERTICAL TIPO DE DIGITALIZADOR</t>
  </si>
  <si>
    <t>BROTHER ADS - 3600 W</t>
  </si>
  <si>
    <t>R$                            132,0000</t>
  </si>
  <si>
    <t>KYOCERA ECOSYS P3145 DN</t>
  </si>
  <si>
    <t>R$                            124,1600</t>
  </si>
  <si>
    <t>R$ 496,21</t>
  </si>
  <si>
    <t>R$ 359,47</t>
  </si>
  <si>
    <t>R$ 12,45</t>
  </si>
  <si>
    <t>R$ 263,45</t>
  </si>
  <si>
    <t>R$ 84,62</t>
  </si>
  <si>
    <t>R$ 27,13</t>
  </si>
  <si>
    <t>R$ 185,10</t>
  </si>
  <si>
    <t>R$ 245,09</t>
  </si>
  <si>
    <t>Kyocera Ecosys M 2640idw/L</t>
  </si>
  <si>
    <t>R$                   207,41</t>
  </si>
  <si>
    <t>Kyocera Taskalfa 5004i</t>
  </si>
  <si>
    <t>R$ 1.000,00</t>
  </si>
  <si>
    <t>Kyocera Ecosys M 6635cidn</t>
  </si>
  <si>
    <t>R$ 500,00</t>
  </si>
  <si>
    <t>IMPRESSORA LARGO FORMATO PLOTTER</t>
  </si>
  <si>
    <t>Canon TM-300 MFP T36</t>
  </si>
  <si>
    <t>R$ 1.450,00</t>
  </si>
  <si>
    <t>NOTEBOOK CORE I5</t>
  </si>
  <si>
    <t>MICRO DESKTOP I3</t>
  </si>
  <si>
    <t xml:space="preserve">NOBREAK </t>
  </si>
  <si>
    <t>NOBREAK 3000VA</t>
  </si>
  <si>
    <t>NOBREAK</t>
  </si>
  <si>
    <t>NOBREAK 1200VA</t>
  </si>
  <si>
    <t>STORAGENAS</t>
  </si>
  <si>
    <t>IMPRESSORA MULTIFUNCIONAL MONOCROMÁTICO –  30PPM</t>
  </si>
  <si>
    <t>MULT MONOCROMANTICA</t>
  </si>
  <si>
    <t>NOTEBOOK TIPO I</t>
  </si>
  <si>
    <t>NOTEBOOK CORE I7</t>
  </si>
  <si>
    <t>NOTEBOOK TIPO III</t>
  </si>
  <si>
    <t>NOTEBOOK CORE I3</t>
  </si>
  <si>
    <t>MICRODESKTOP I7</t>
  </si>
  <si>
    <t xml:space="preserve">MICRO TIPO II </t>
  </si>
  <si>
    <t>MICRODESKTOP I5</t>
  </si>
  <si>
    <t>MICRO TIPO III</t>
  </si>
  <si>
    <t>MICRODESKTOP I3</t>
  </si>
  <si>
    <t xml:space="preserve">IMPRESSORA MULTIFUNCIONAL MONOCROMÁTICO LASER –  PÁGINAS A4 </t>
  </si>
  <si>
    <t>IMPRESSORA MULTIFUNCIONAL POLICROMÁTICO LASER –  PÁGINAS A3</t>
  </si>
  <si>
    <t>R$                            1.239.56</t>
  </si>
  <si>
    <t>IMPRESSORA MULTIFUNCIONAL JATO DE TINTA - PÁGINAS A4</t>
  </si>
  <si>
    <t>ACESS POINT</t>
  </si>
  <si>
    <t>TV 50 POLEGADAS</t>
  </si>
  <si>
    <t>TV 40 POLEGADAS</t>
  </si>
  <si>
    <t>SWITCH 16 PORTAS</t>
  </si>
  <si>
    <t xml:space="preserve">SWITCH 8 PORTAS </t>
  </si>
  <si>
    <t xml:space="preserve">MULTIFUNCIONAL COPIADORA, IMPRESSORA,
SCANNER </t>
  </si>
  <si>
    <t>IMPRESSORA DE CHÃO</t>
  </si>
  <si>
    <t xml:space="preserve">MULTIFUNCIONAL JATO DE TINTA COLORIDO </t>
  </si>
  <si>
    <t>MFC-T4500DW INK</t>
  </si>
  <si>
    <t>DELL Inspiron 3030 Small Desktop + Teclado e Mouse DELL + Item 1 - AOC 24B35HM2 (i3 - 12 Ger, 8gb RAM, SSD 240gb)</t>
  </si>
  <si>
    <t>Notebook I5 ou AMD Ryzen 5</t>
  </si>
  <si>
    <t>Micro Desktop 17 ou AMO Ryzen 7</t>
  </si>
  <si>
    <t>Micro Desktop 15 ou AMO Ryzen 5</t>
  </si>
  <si>
    <t>No Break 1200 VA</t>
  </si>
  <si>
    <t>MICRODESKTOP ADI I5</t>
  </si>
  <si>
    <t>MICRODESKTOP ADI I7</t>
  </si>
  <si>
    <t>TABLET</t>
  </si>
  <si>
    <t>GALAXY TAB A9 PLUS</t>
  </si>
  <si>
    <t>SWITCH 8 PORTAS</t>
  </si>
  <si>
    <t>ILTELBRAS SF 800 Q+</t>
  </si>
  <si>
    <t>TP-LINK TL-SG1016D</t>
  </si>
  <si>
    <t>SWITCH 24 PORTAS</t>
  </si>
  <si>
    <t>TP-LINK TL-SG1024D</t>
  </si>
  <si>
    <t>SWITCH 48 PORTAS</t>
  </si>
  <si>
    <t>ILTELBRAS S2050G-A</t>
  </si>
  <si>
    <t>IMPRESSORA MULTIFUNCIONAL JATO DE TINTA COLORIDA</t>
  </si>
  <si>
    <t>EPSON ECOTANK L3250</t>
  </si>
  <si>
    <t>IMPRESSORA MULTIFUNCIONAL LASER MONO</t>
  </si>
  <si>
    <t>KYOCERA ECOSYS M2040DN</t>
  </si>
  <si>
    <t>DUPLICADOR</t>
  </si>
  <si>
    <t>RICOH DX-2330</t>
  </si>
  <si>
    <t>Notebook i7 ou AMD Ryzen 7</t>
  </si>
  <si>
    <t>Notebook i5 ou AMD Ryzen 5</t>
  </si>
  <si>
    <t>Micro Desktop i7 ou AMD Ryzen 7</t>
  </si>
  <si>
    <t>Micro Desktop i5 ou AMD Ryzen 5</t>
  </si>
  <si>
    <t>SWTICH 48 PORTAS</t>
  </si>
  <si>
    <t>NOTEBOOK I7</t>
  </si>
  <si>
    <t>NOTEBOOK I5</t>
  </si>
  <si>
    <t>NOTEBOOK I3</t>
  </si>
  <si>
    <t>IMPRESSORA MULTIFUNCIONAL JATO DE TINTA A4</t>
  </si>
  <si>
    <t>COPIADORA MONOCROMÁTICA</t>
  </si>
  <si>
    <t>Micro Desktop I5 ou AMD Ryzen 5</t>
  </si>
  <si>
    <t>Micro Desktop I7 ou AMD Ryzen 7</t>
  </si>
  <si>
    <t>Micro Desktop II5 ou AMD Ryzen 5</t>
  </si>
  <si>
    <t>IMPRESSORA TÉRMICA</t>
  </si>
  <si>
    <t>IMPRESSORA LASER MONO A4</t>
  </si>
  <si>
    <t>TABLET 4 GB</t>
  </si>
  <si>
    <t>Tablet Lenovo Tab P12 + Capa de Proteção</t>
  </si>
  <si>
    <t>PROJETOR INTERATIVO</t>
  </si>
  <si>
    <t>EPSON BrightLink® 725Wi</t>
  </si>
  <si>
    <t>TELA INTERATIVA MONITOR ULTRA HD</t>
  </si>
  <si>
    <t>HIKVISION DS-D5B86RB/B</t>
  </si>
  <si>
    <t>DISPOSITIVO PARA VÍDEOCONFERÊNCIA (HUB)</t>
  </si>
  <si>
    <t>Lenovo ThinkSmart Hub Gen 2 + Opcionais</t>
  </si>
  <si>
    <t>KIT PARA VÍDEOCONFERÊNCIA</t>
  </si>
  <si>
    <t>Logitech GROUP + Opcionais</t>
  </si>
  <si>
    <t>DELL</t>
  </si>
  <si>
    <t xml:space="preserve">MICRODESKTOP </t>
  </si>
  <si>
    <t>ADI</t>
  </si>
  <si>
    <t xml:space="preserve">IMPRESSORA MULTIFUNCIONAL MONOCROMÁTICA LASER A4 </t>
  </si>
  <si>
    <t>KYOCERA</t>
  </si>
  <si>
    <t>SCANNER DE MESA</t>
  </si>
  <si>
    <t>CANON</t>
  </si>
  <si>
    <t>NOBREAK 1200 VA</t>
  </si>
  <si>
    <t>SMS</t>
  </si>
  <si>
    <t>IMPRESSORA MULTIFUNCIONAL JATO DE TINTA A4 COM BULK INK</t>
  </si>
  <si>
    <t xml:space="preserve">IMPRESSORA MULTIFUNCIONAL COLORIDA LASER A4 </t>
  </si>
  <si>
    <t>INTELBRAS</t>
  </si>
  <si>
    <t>NOTEBOOK INTEL PENTIUM OU AMD</t>
  </si>
  <si>
    <t>MICRODESKTOP INTEL PENTIUM OU AMD</t>
  </si>
  <si>
    <t>MICRO ALL IN ONE I7</t>
  </si>
  <si>
    <t>MICRO ALL IN ONE CELERON OU AMD</t>
  </si>
  <si>
    <t>SERVIDOR MÍNIMO 3.7 GHZ</t>
  </si>
  <si>
    <t xml:space="preserve">IMPRESSORA MONOCROMÁTICA LASER A4 </t>
  </si>
  <si>
    <t>IMPRESSORA MULTIFUNCIONAL JATO DE TINTA A3 COM BULK INK</t>
  </si>
  <si>
    <t>IMPRESSORA MULTIFUNCIONAL LASER A3 COLOR</t>
  </si>
  <si>
    <t>PLOTTER COLORIDO</t>
  </si>
  <si>
    <t>DUPLICADOR MONOCROMÁTICO</t>
  </si>
  <si>
    <t>IMPRESSORA DE PULSEIRAS MONOCROMÁTICA</t>
  </si>
  <si>
    <t>IMPRESSORA TÉRMICA DE ETIQUETAS MONOCROMÁTICA</t>
  </si>
  <si>
    <t>IMPRESSORA MATRICIAL 80 COLUNAS</t>
  </si>
  <si>
    <t>MONITOR MÍNIMO 23 POLEGADAS</t>
  </si>
  <si>
    <t>DATASHOW MÍNIMO 2500 LUMENS</t>
  </si>
  <si>
    <t>SWITVH 48 PORTAS</t>
  </si>
  <si>
    <t xml:space="preserve">REPETIDOR WI-FI </t>
  </si>
  <si>
    <t>ACCESS POINT INDOOR</t>
  </si>
  <si>
    <t>HD EXTERNO PORTÁTIL 2TB</t>
  </si>
  <si>
    <t>NOBREAK 700VA</t>
  </si>
  <si>
    <t>TV 65 POLEGADAS SMART</t>
  </si>
  <si>
    <t>IMPRESSORA LASER MONOCROMÁTICA A4</t>
  </si>
  <si>
    <t xml:space="preserve">SCANNER DE MESA </t>
  </si>
  <si>
    <t>SCANNER DE MESA A4</t>
  </si>
  <si>
    <t>STORAGE NAS</t>
  </si>
  <si>
    <t xml:space="preserve">SCANNER DE MESA A4 </t>
  </si>
  <si>
    <t>IMPRESSORA DE MESA</t>
  </si>
  <si>
    <t>TV 50 POLEGADAS SMART</t>
  </si>
  <si>
    <t>TV 40 POLEGADAS SMART</t>
  </si>
  <si>
    <t xml:space="preserve">Nobreak 1200 VA </t>
  </si>
  <si>
    <t>Ragtech 1.200va</t>
  </si>
  <si>
    <t>Nobreak 700 VA</t>
  </si>
  <si>
    <t xml:space="preserve">APC 700va </t>
  </si>
  <si>
    <t xml:space="preserve">NOTEBOOK TIPO II </t>
  </si>
  <si>
    <t xml:space="preserve">MICRO TIPO I </t>
  </si>
  <si>
    <t>MICRO DESKTOP I7</t>
  </si>
  <si>
    <t>MICRO DESKTOP I5</t>
  </si>
  <si>
    <t xml:space="preserve">MICRO TIPO III </t>
  </si>
  <si>
    <t xml:space="preserve">IMPRESSORA TIPO I </t>
  </si>
  <si>
    <t>MULTIFUNCIONAL LASER MONOCROMÁTICA A4</t>
  </si>
  <si>
    <t>IMPRESSORA TIPO III</t>
  </si>
  <si>
    <t>MULTIFUNCIONAL JATO DE TINTA A4 COM BULK INK</t>
  </si>
  <si>
    <t xml:space="preserve">COMPONENTE TIPO IV </t>
  </si>
  <si>
    <t>COMPONENTE TIPO V</t>
  </si>
  <si>
    <t>REPETIDOR WIFI AMPLIFICADOR DE SINAL MÍNIMO 2800M</t>
  </si>
  <si>
    <t>COMPONENTE TIPO VI</t>
  </si>
  <si>
    <t xml:space="preserve">ACCESS POINT INDOOR BANDA DUPLA MÍNIMO 1750 MBPS. </t>
  </si>
  <si>
    <t>COMPONENTE TIPO XI</t>
  </si>
  <si>
    <t xml:space="preserve">NO BREAK 1200 VA. </t>
  </si>
  <si>
    <t>COMPONENTE TIPO XII</t>
  </si>
  <si>
    <t>NO BREAK 700 VA</t>
  </si>
  <si>
    <t xml:space="preserve">TV TIPO III </t>
  </si>
  <si>
    <t>TV 40 POLEGADAS SMART OU SUPERIOR</t>
  </si>
  <si>
    <t>IMPRESSORA TIPO II</t>
  </si>
  <si>
    <t>IMPRESSORA TIPO VII</t>
  </si>
  <si>
    <t>DUPLICADOR MONOCROMÁTICO DIGITAL</t>
  </si>
  <si>
    <t>MONITOR TIPO I</t>
  </si>
  <si>
    <t>MONITOR MÍNIMO 23 POLEGADAS.</t>
  </si>
  <si>
    <t>SCANNER TIPO II</t>
  </si>
  <si>
    <t>SCANNER DE MESA A4 MÍNIMO 40PPM DUPLEX</t>
  </si>
  <si>
    <t>DATASHOW TIPO I</t>
  </si>
  <si>
    <t>DATASHOW MÍNIMO 2500 LUMENS.</t>
  </si>
  <si>
    <t>COMPONENTE TIPO II</t>
  </si>
  <si>
    <t>COMPONENTE TIPO III</t>
  </si>
  <si>
    <t>COMPONENTE TIPO IV</t>
  </si>
  <si>
    <t xml:space="preserve">REPETIDOR WIFI AMPLIFICADOR DE SINAL MÍNIMO 2800M. </t>
  </si>
  <si>
    <t>ACCESS POINT INDOOR BANDA DUPLA MÍNIMO 1750 MBPS</t>
  </si>
  <si>
    <t>NO BREAK 1200 VA</t>
  </si>
  <si>
    <t>TV TIPO II</t>
  </si>
  <si>
    <t>TV 50 POLEGADAS SMART OU SUPERIOR.</t>
  </si>
  <si>
    <t>TV TIPO III</t>
  </si>
  <si>
    <t>MICRO TIPO II</t>
  </si>
  <si>
    <t>IMPRESSORA TIPO I</t>
  </si>
  <si>
    <t>REPETIDOR WIFI AMPLIFICADOR DE SINAL MÍNIMO 2800M.</t>
  </si>
  <si>
    <t>IMPRESSORA TIPO V</t>
  </si>
  <si>
    <t>MULTIFUNCIONAL LASER A3 COLOR I27</t>
  </si>
  <si>
    <t>TV 50 POLEGADAS SMART OU SUPERIOR</t>
  </si>
  <si>
    <t>MICRO TIPO VII</t>
  </si>
  <si>
    <t>SERVIDOR MÍNIMO 3.7GHZ - 16GB RAM</t>
  </si>
  <si>
    <t>IMPRESSORA TIPO X</t>
  </si>
  <si>
    <t>COMPONENTE TIPO I</t>
  </si>
  <si>
    <t>SWITCH 48 PORTAS GERENCIÁVE</t>
  </si>
  <si>
    <t>COMPONENTE TIPO X</t>
  </si>
  <si>
    <t>NO BREAK 3000 VA</t>
  </si>
  <si>
    <t>IMPRESSORA TIPO VI</t>
  </si>
  <si>
    <t>PLOTTER COLORIDO 24 POLEGADAS</t>
  </si>
  <si>
    <t>SCANNER TIPO III</t>
  </si>
  <si>
    <t>SCANNER DE MESA A3 MÍNIMO 40PPM DUPLEX</t>
  </si>
  <si>
    <t>IMPRESSORA TIPO VIII</t>
  </si>
  <si>
    <t>IMPRESSORA TIPO IX</t>
  </si>
  <si>
    <t>IMPRESSORA TÉRMICA DE ETIQUETA MONOCROMÁTICA ADESIVA</t>
  </si>
  <si>
    <t>MULTIFUNCIONAL LASER MONO A4</t>
  </si>
  <si>
    <t>SWTCH 48 PORTAS GERENCIÁVEL</t>
  </si>
  <si>
    <t xml:space="preserve">SWTCH 48 PORTAS </t>
  </si>
  <si>
    <t xml:space="preserve">SWTCH 8 PORTAS </t>
  </si>
  <si>
    <t>REPETIDOR WI-FI</t>
  </si>
  <si>
    <t>STORAGENAS MÍNIMO 5TB</t>
  </si>
  <si>
    <t>MICRO ALL IN ONE CELERON</t>
  </si>
  <si>
    <t>SERVIDOR</t>
  </si>
  <si>
    <t>SCANNER DE MESA BAND</t>
  </si>
  <si>
    <t xml:space="preserve">SWTCH 16 PORTAS </t>
  </si>
  <si>
    <t>ACCESS POINT OUTDOOR</t>
  </si>
  <si>
    <t>MULTIFUNCIONAL JATO DE TINTA COLORIDO</t>
  </si>
  <si>
    <t xml:space="preserve">IMPRESSORA MULTIFUNCIONAL POLICROMATICA –  PÁGINAS  A3 </t>
  </si>
  <si>
    <t>IMPRESSORA TÉRMICA DE ETIQUETA MONOCROMÁTICA</t>
  </si>
  <si>
    <t>SCANNER DE MESA A3</t>
  </si>
  <si>
    <t>GDX BPX320</t>
  </si>
  <si>
    <t>ZEBRA ZD220</t>
  </si>
  <si>
    <t>IMPRESSORA MONOCROMÁTICO LASER – PÁGINAS A4</t>
  </si>
  <si>
    <t xml:space="preserve">MULTIFUNCIONAL </t>
  </si>
  <si>
    <t>IMPRESSORA MULTIFUNCIONAL - PÁGINAS A4</t>
  </si>
  <si>
    <t xml:space="preserve"> JATO DE TINTA</t>
  </si>
  <si>
    <t xml:space="preserve">DATASHOW TIPO I </t>
  </si>
  <si>
    <t>2500 LUMENS</t>
  </si>
  <si>
    <t xml:space="preserve">COMPONENTE TIPO V </t>
  </si>
  <si>
    <t xml:space="preserve">REPETIDOR WIFI </t>
  </si>
  <si>
    <t>GDX BPE 300</t>
  </si>
  <si>
    <t>SWITCH GERENCIAVEL 48 PORTAS GIGABIT</t>
  </si>
  <si>
    <t>INTELBRAS SG 5204 MR L2+</t>
  </si>
  <si>
    <t>Notebook TIPO I</t>
  </si>
  <si>
    <t xml:space="preserve">Notebook I7 </t>
  </si>
  <si>
    <t>Notebook TIPO II</t>
  </si>
  <si>
    <t xml:space="preserve">Notebook I5 </t>
  </si>
  <si>
    <t>Notebook TIPO III</t>
  </si>
  <si>
    <t xml:space="preserve">Notebook I3 </t>
  </si>
  <si>
    <t>Micro TIPO I</t>
  </si>
  <si>
    <t>Micro Desktop I7</t>
  </si>
  <si>
    <t>Micro TIPO II</t>
  </si>
  <si>
    <t>Micro Desktop I5</t>
  </si>
  <si>
    <t>Impressora Tipo I</t>
  </si>
  <si>
    <t>Multifuncional laser monocromática A4</t>
  </si>
  <si>
    <t>Impressora Tipo II</t>
  </si>
  <si>
    <t>Impressora laser monocromática A4</t>
  </si>
  <si>
    <t>Impressora Tipo III</t>
  </si>
  <si>
    <t>Multifuncional jato de tinta A4 com Bulk Ink.</t>
  </si>
  <si>
    <t>Impressora Tipo V</t>
  </si>
  <si>
    <t>Multifuncional Laser A3 colorida</t>
  </si>
  <si>
    <t>Impressora Tipo VI</t>
  </si>
  <si>
    <t>Plotter colorido 24 polegadas.</t>
  </si>
  <si>
    <t>Tablet Tipo II</t>
  </si>
  <si>
    <t>Tablet 10 polegadas, 256GB, Wi-Fi.</t>
  </si>
  <si>
    <t>Datashow Tipo I</t>
  </si>
  <si>
    <t>Datashow mínimo 2500 lumens.</t>
  </si>
  <si>
    <t>Componente Tipo I</t>
  </si>
  <si>
    <t>Switch 48 portas gerenciável.</t>
  </si>
  <si>
    <t>Componente Tipo IV</t>
  </si>
  <si>
    <t>Switch 8 portas.</t>
  </si>
  <si>
    <t>Componente Tipo V</t>
  </si>
  <si>
    <t>Repetidor Wi-Fi Amplificador de Sinal.</t>
  </si>
  <si>
    <t>Componente Tipo VI</t>
  </si>
  <si>
    <t>Access Point indoor banda dupla, mín. 1750 Mbps.</t>
  </si>
  <si>
    <t>Componente Tipo IX</t>
  </si>
  <si>
    <t>HD Externo portátil 2TB.</t>
  </si>
  <si>
    <t>Componente Tipo XI</t>
  </si>
  <si>
    <t>Nobreak 1200 VA.</t>
  </si>
  <si>
    <t>Componente Tipo XII</t>
  </si>
  <si>
    <t>Nobreak 700 VA.</t>
  </si>
  <si>
    <t>Micro TIPO III</t>
  </si>
  <si>
    <t xml:space="preserve">Desktop I3 </t>
  </si>
  <si>
    <t>Impressora Tipo IV</t>
  </si>
  <si>
    <t>Multifuncional Jato de tinta A3 com Bulk Ink.</t>
  </si>
  <si>
    <t>Multifuncional Laser A3 colorida, mín. 20ppm.</t>
  </si>
  <si>
    <t>Impressora Tipo VII</t>
  </si>
  <si>
    <t>Duplicador monocromático digital, mín. 90ppm.</t>
  </si>
  <si>
    <t>Componente Tipo II</t>
  </si>
  <si>
    <t>Switch 48 portas.</t>
  </si>
  <si>
    <t>Componente Tipo III</t>
  </si>
  <si>
    <t>Switch 16 portas.</t>
  </si>
  <si>
    <t>Componente Tipo VIII</t>
  </si>
  <si>
    <t>Storage NAS mínimo 5TB.</t>
  </si>
  <si>
    <t xml:space="preserve">Micro Desktop I7 </t>
  </si>
  <si>
    <t xml:space="preserve">Micro Desktop I5 </t>
  </si>
  <si>
    <t xml:space="preserve">Micro Desktop I3 </t>
  </si>
  <si>
    <t>Micro TIPO V</t>
  </si>
  <si>
    <t xml:space="preserve">Micro All in One I7 </t>
  </si>
  <si>
    <t>Micro TIPO VI</t>
  </si>
  <si>
    <t>Micro All in One Celeron ou AMD, 4GB RAM, HD 500GB, monitor 21".</t>
  </si>
  <si>
    <t>Multifuncional laser monocromática A4, mín. 30ppm.</t>
  </si>
  <si>
    <t>Monitor Tipo I</t>
  </si>
  <si>
    <t>Monitor mínimo 23 polegadas.</t>
  </si>
  <si>
    <t>Scanner Tipo I</t>
  </si>
  <si>
    <t>Scanner de mesa monocromático 40PPM duplex.</t>
  </si>
  <si>
    <t>Scanner Tipo II</t>
  </si>
  <si>
    <t>Scanner de mesa A4 monocromático 40PPM duplex.</t>
  </si>
  <si>
    <t>Scanner Tipo IV</t>
  </si>
  <si>
    <t>Scanner de livros ou encadernados A4.</t>
  </si>
  <si>
    <t>Switch 8 Portas.</t>
  </si>
  <si>
    <t>Repetidor Wifi Amplificador de Sinal.</t>
  </si>
  <si>
    <t>Impressora laser monocromática A4, mín. 30ppm.</t>
  </si>
  <si>
    <t>Switch 48 Portas.</t>
  </si>
  <si>
    <t>Switch 16 Portas.</t>
  </si>
  <si>
    <t>Access point indoor banda dupla, mín. 1750 Mbps.</t>
  </si>
  <si>
    <t>No break 1200 VA.</t>
  </si>
  <si>
    <t>canner Tipo II</t>
  </si>
  <si>
    <t>Tablet 10 polegadas, 256GB, Wi-Fi, 16GB-4G.</t>
  </si>
  <si>
    <t>omponente Tipo III</t>
  </si>
  <si>
    <t>Micro TIPO VII</t>
  </si>
  <si>
    <t>Servidor 3.7ghz, 16GB RAM, 2 HD 1TB, Raid.</t>
  </si>
  <si>
    <t>Multifuncional laser monocromática A4, 30ppm.</t>
  </si>
  <si>
    <t>Impressora laser monocromática A4, 30ppm.</t>
  </si>
  <si>
    <t>Scanner de mesa 40PPM duplex.</t>
  </si>
  <si>
    <t>Scanner de mesa A4 40PPM duplex.</t>
  </si>
  <si>
    <t>Scanner Tipo III</t>
  </si>
  <si>
    <t>Scanner de mesa A3 40PPM duplex.</t>
  </si>
  <si>
    <t>Access point indoor banda dupla 1750 Mbps.</t>
  </si>
  <si>
    <t>Componente Tipo VII</t>
  </si>
  <si>
    <t>Access point outdoor banda dupla 1167 Mbps.</t>
  </si>
  <si>
    <t>Componente Tipo X</t>
  </si>
  <si>
    <t>No break 3000 VA.</t>
  </si>
  <si>
    <t>Painel de LED P10 (TV Tipo IV)</t>
  </si>
  <si>
    <t>Painel de LED P10 para uso externo (4m x 3m)</t>
  </si>
  <si>
    <t>Notebook</t>
  </si>
  <si>
    <t>Webcam</t>
  </si>
  <si>
    <t>Webcam Full HD (1080p), 2MP, USB Plug &amp; Play, microfone embutido.</t>
  </si>
  <si>
    <t>Multifuncional</t>
  </si>
  <si>
    <t>Multifuncional Jato de Tinta A4 com Bulk Ink, Wi-Fi.</t>
  </si>
  <si>
    <t>Notebook TIPO IV</t>
  </si>
  <si>
    <t>Pentium ou AMD, 4GB RAM, HD 320GB/120GB SSD.</t>
  </si>
  <si>
    <t>Micro TIPO IV</t>
  </si>
  <si>
    <t>Desktop Pentium ou AMD, 4GB RAM, HD 320GB/120GB SSD.</t>
  </si>
  <si>
    <t>All in one I7</t>
  </si>
  <si>
    <t>All in one Celeron</t>
  </si>
  <si>
    <t>Impressora TIPO I</t>
  </si>
  <si>
    <t>Impressora TIPO II</t>
  </si>
  <si>
    <t>Impressora TIPO III</t>
  </si>
  <si>
    <t>Scanner de mesa A4 mínimo 40PPM duplex.</t>
  </si>
  <si>
    <t>Comp. Tipo I</t>
  </si>
  <si>
    <t>Comp. Tipo IV</t>
  </si>
  <si>
    <t>Comp. Tipo V</t>
  </si>
  <si>
    <t>Comp. Tipo VI</t>
  </si>
  <si>
    <t>Access point indoor banda dupla mín. 1750 Mbps.</t>
  </si>
  <si>
    <t>Comp. Tipo IX</t>
  </si>
  <si>
    <t>Comp. Tipo XI</t>
  </si>
  <si>
    <t>Comp. Tipo XII</t>
  </si>
  <si>
    <t xml:space="preserve">NO BREAK 3000VA </t>
  </si>
  <si>
    <t>NO BREAK 2200VA OU SUPERIOR</t>
  </si>
  <si>
    <t>IMPRESSORA MULTIFUNCIONAL MONOCROMÁTICA</t>
  </si>
  <si>
    <t>IMPRESSORA LASER MONOCROMÁTICA</t>
  </si>
  <si>
    <t>IMPRESSORA MULTIFUNCIONAL POLICROMÁTICA</t>
  </si>
  <si>
    <t>KYOCERA ECOSYS M3655IDN</t>
  </si>
  <si>
    <t>KYOCERA ECOSYS M6630CIDN</t>
  </si>
  <si>
    <t>Multifuncional P&amp;B - Tipo I</t>
  </si>
  <si>
    <t xml:space="preserve">KYOCERA ECOSYS M3145idn </t>
  </si>
  <si>
    <t>IMPRESSORA MULTIFUNCIONAL LASER MONOCROMATICA</t>
  </si>
  <si>
    <t>Monocromática</t>
  </si>
  <si>
    <t>KYOCERA ECOSYS MA5500IFX + OPCIONAIS 2GB RAM</t>
  </si>
  <si>
    <t>Policromática</t>
  </si>
  <si>
    <t>KYOCERA TASKALFA 358CI</t>
  </si>
  <si>
    <t>EPSON WF C5890</t>
  </si>
  <si>
    <t>EPSON WF-C5890</t>
  </si>
  <si>
    <t>Kyocera ECOSYS M3145idn</t>
  </si>
  <si>
    <t>IMPRESSORA MULTIFUNCIONAL POLICROMÁTICA A3</t>
  </si>
  <si>
    <t>Kyocera ECOSYS_MA3500cix</t>
  </si>
  <si>
    <t>EPSON WF-C878R</t>
  </si>
  <si>
    <t>KYOCERA TASKalfa3554ci</t>
  </si>
  <si>
    <t xml:space="preserve">EPSON WF-M5899
</t>
  </si>
  <si>
    <t>IMPRESSORA POLICROMÁTICA</t>
  </si>
  <si>
    <t>KYOCERA ECOSYS M6635CIDN + IB-36</t>
  </si>
  <si>
    <t>IMPRESSORA PLOTTER</t>
  </si>
  <si>
    <t>HP DESIGNJET T250</t>
  </si>
  <si>
    <t>IMPRESSORA FOTOGRÁFICA, COLORIDA A3</t>
  </si>
  <si>
    <t>EPSON ECOTANK L8180</t>
  </si>
  <si>
    <t xml:space="preserve">IMPRESSORA MULTIFUNCIONAL JATO DE TNTA </t>
  </si>
  <si>
    <t>Multifuncional Colorida</t>
  </si>
  <si>
    <t>Jato de tinta (Bulk Ink)</t>
  </si>
  <si>
    <t>Multifuncional Monocromática</t>
  </si>
  <si>
    <t xml:space="preserve">MULT LASER </t>
  </si>
  <si>
    <t>DESKTOP</t>
  </si>
  <si>
    <t>IMPRESSORA LASER MULTIFUNCIONAL MONOCROMÁTICA A4</t>
  </si>
  <si>
    <t>MFC-T4500DW Ink Benefit, jato de tinta com tanque, WiFi, tela LCD 2.7</t>
  </si>
  <si>
    <t>Duplicador Digital</t>
  </si>
  <si>
    <t>Locação de Duplicador Monocromático Digital</t>
  </si>
  <si>
    <t>Multifuncional Laser Monocromática</t>
  </si>
  <si>
    <t>Multifuncional laser A4</t>
  </si>
  <si>
    <t>Micro I5</t>
  </si>
  <si>
    <t>Intel® Core™ i5 (6ª geração), 8GB RAM, SSD 128GB, Windows 10, Monitor 19</t>
  </si>
  <si>
    <t xml:space="preserve">Micro I5 - BACKUP </t>
  </si>
  <si>
    <t>Intel® Core™ i7 - 6ª geração, 8GB RAM, SSD 480GB, Windows 10.</t>
  </si>
  <si>
    <t>Notebook I5</t>
  </si>
  <si>
    <t>Intel® Core™ i5 - 6ª geração, 8GB RAM, SSD 240GB, Windows 10.</t>
  </si>
  <si>
    <t>Multifuncional Epson</t>
  </si>
  <si>
    <t>Epson L3250: Jato de tinta térmico, até 5760 x 1440 dpi.</t>
  </si>
  <si>
    <t>Multifuncional Canon</t>
  </si>
  <si>
    <t>Canon G3110: 4800 x 1200 dpi, ~8,8 ipm (Preto) e ~5,0 ipm (Cor).</t>
  </si>
  <si>
    <t>Scanner Brother</t>
  </si>
  <si>
    <t>Scanner de Mesa Brother ADS-1300 NS.</t>
  </si>
  <si>
    <t>Multifuncional Brother</t>
  </si>
  <si>
    <t>Brother DCP T-420W: Jato de tinta térmico, até 5760 x 1440 dpi.</t>
  </si>
  <si>
    <t>Computador I3</t>
  </si>
  <si>
    <t>I3 SSD 120 GB - 8GB de memória - monitor seminovo.</t>
  </si>
  <si>
    <t>Canon G 3110 - Multifuncional colorida, kit Bulk Ink. Franquia mensal: 1.000 páginas.</t>
  </si>
  <si>
    <t>Tablet</t>
  </si>
  <si>
    <t>Samsung A9+, 64GB, 4G, WiFi, Tela de 11" com Caneta e Capa Protetora.</t>
  </si>
  <si>
    <t>Multifuncional 40ppm</t>
  </si>
  <si>
    <t>Laser monocromática, alimentador de papel, min. 40ppm. Franquia: 5.000 págs.</t>
  </si>
  <si>
    <t>Multifuncional 55ppm</t>
  </si>
  <si>
    <t>Laser monocromática, alimentador de papel, 55ppm. Franquia: 5.000 págs.</t>
  </si>
  <si>
    <t>Multifuncional Kyocera</t>
  </si>
  <si>
    <t>Kyocera M2040dn: Laser Monocromática, 40 ppm, duplex. Franquia de 5.000 págs./mês.</t>
  </si>
  <si>
    <t>scâner de Mesa</t>
  </si>
  <si>
    <t>Locação de um Escâner de mesa, incluindo suporte, assistência técnica e manutenção preventiva e corretiva.</t>
  </si>
  <si>
    <t>Core I5, SSD 240, 8Gb Memória, Monitor 15,6".</t>
  </si>
  <si>
    <t>Core I7, SSD 512, 12Gb Memória, Monitor 15".</t>
  </si>
  <si>
    <t>Scanner de Mesa</t>
  </si>
  <si>
    <t>Modelo A4.</t>
  </si>
  <si>
    <t>Multifuncional Laser</t>
  </si>
  <si>
    <t>Monocromática, min. 30ppm, franquia 5.000 págs.</t>
  </si>
  <si>
    <t>Multifuncional Jato</t>
  </si>
  <si>
    <t>Colorida, kit Bulk Ink, franquia 01 recarga.</t>
  </si>
  <si>
    <t>Monitor 24"</t>
  </si>
  <si>
    <t>Monitor LCD/LED de 24 polegadas.</t>
  </si>
  <si>
    <t xml:space="preserve">1 KIT INFORMATICA </t>
  </si>
  <si>
    <t>Intel Core i5, 4GB RAM, HD 500GB, Tela 15,6", Teclado/Mouse USB e Windows 10. &lt;br&gt;Multifuncional: Jato de Tinta com Bulk Ink (Tanque de Tinta).</t>
  </si>
  <si>
    <t>Multifuncional Colorida Laser</t>
  </si>
  <si>
    <t>DESKTOP - I7</t>
  </si>
  <si>
    <t>Desktop i7 - Memoria 32GB, SSD 256GB</t>
  </si>
  <si>
    <t>DESKTOP - I3</t>
  </si>
  <si>
    <t>Computador - I3a geração - 8GB de Memória, SSD 120GB,</t>
  </si>
  <si>
    <t>IMPRESSORA MULTIFUNCIONAL COLOR</t>
  </si>
  <si>
    <t>Epson WF 5890</t>
  </si>
  <si>
    <t>Notebook core i3 4gb SSD 120 gb</t>
  </si>
  <si>
    <t>DESKTOP I3</t>
  </si>
  <si>
    <t>Processador Core I3, memória RAM 4gb, HD 500gb, monitor LED 17”, teclado, mouse e estabilizador 300va.</t>
  </si>
  <si>
    <t>Multifuncional laser monocromática (imprime, cópia e digitaliza), velocidade de impressão: 43ppm.</t>
  </si>
  <si>
    <t>IMPRESSORA MULTIFUNCIONAL LASER MONOCORMÁTICA</t>
  </si>
  <si>
    <t>IMPRESSORA MULTIFUNCIONAL LASER MONOCORMÁTICA – Acompanha transformador de tensão.</t>
  </si>
  <si>
    <t>IMPRESSORA MULTIFUNCIONAL LASER POLICROMÁTICA</t>
  </si>
  <si>
    <t>IMPRESSORA MULTIFUNCIONAL LASER POLICORMÁTICA – Acompanha transformador de tensão.</t>
  </si>
  <si>
    <t>IMPRESSORA DE CARTÕES, LEITOR NFC</t>
  </si>
  <si>
    <t>COMPUTADOR INTEL CORE I5</t>
  </si>
  <si>
    <t xml:space="preserve">8GB de Memória, SSD 120GB, monitor de 19”.
</t>
  </si>
  <si>
    <t>8GB de Memória, SSD 120GB, monitor de 19”.</t>
  </si>
  <si>
    <t>Notebook I5 - Intel® CoreTM i5</t>
  </si>
  <si>
    <t>- 8GB SSD 120GB - SSD -</t>
  </si>
  <si>
    <t>Multifuncional – Marca Kyocera – Modelo M 2040):</t>
  </si>
  <si>
    <t>Tecnologia impressão a Laser - 40 PPM - ADF - DUPLEX</t>
  </si>
  <si>
    <t>GDX BPX 320</t>
  </si>
  <si>
    <t>Zebra ZD 220</t>
  </si>
  <si>
    <t>8 GB SSD 120GB - SSD</t>
  </si>
  <si>
    <t>Notebook - Intel® CoreTM i3</t>
  </si>
  <si>
    <t>8GB de Memória, SSD 120 GB</t>
  </si>
  <si>
    <t>16 GB - SSD 512 GB</t>
  </si>
  <si>
    <t>Notebook - Intel® CoreTM i7</t>
  </si>
  <si>
    <t>16 GB - SSD 512 BG</t>
  </si>
  <si>
    <t>Impressora Colorida A4 - Jato de Tinta</t>
  </si>
  <si>
    <t>Escâner de mesa da Marca Brother</t>
  </si>
  <si>
    <t>Multifuncional laser mono LASER A4</t>
  </si>
  <si>
    <t>Multifuncioal mono laser A4</t>
  </si>
  <si>
    <t>DESKTOP TIPO I</t>
  </si>
  <si>
    <t>IMPRESSORA LASER TIPO I MULTIFUNCIONAL MONO</t>
  </si>
  <si>
    <t>MUNTIFUNCIONAL JATO DE TINTA A4 COM BULK INK</t>
  </si>
  <si>
    <t xml:space="preserve">Multifuncional laser monocromática </t>
  </si>
  <si>
    <t>Multifuncional laser monocromática</t>
  </si>
  <si>
    <t>Notebook i3</t>
  </si>
  <si>
    <t>- 8GB SSD 120GB - SSD -Windows 10.</t>
  </si>
  <si>
    <t>Notebook I3</t>
  </si>
  <si>
    <t>Computador: Core i5,</t>
  </si>
  <si>
    <t>16GB - 120 SSD</t>
  </si>
  <si>
    <t>Computador Core i5</t>
  </si>
  <si>
    <t>8GB - 120 SSD</t>
  </si>
  <si>
    <t>Notebook Intel® CoreTM i5,</t>
  </si>
  <si>
    <t>8GB - 240 SSD</t>
  </si>
  <si>
    <t>PACOTE OFFICE</t>
  </si>
  <si>
    <t xml:space="preserve">Multifuncional Laser Monocromática </t>
  </si>
  <si>
    <t>Multifuncional de tinta colocrida</t>
  </si>
  <si>
    <t>Smartphone</t>
  </si>
  <si>
    <t>Qualcomm Snapdragon 6 Gen 3.6 GB, 8GB</t>
  </si>
  <si>
    <t>SOFTWARE PARA ELABORAÇÃO DE CARTÕES</t>
  </si>
  <si>
    <t>Impressora Laser Tipo I - Multifuncional monocromática A4</t>
  </si>
  <si>
    <t>Multifuncional Jato de Tinta A4 com bulk ink</t>
  </si>
  <si>
    <t>IMPRESSORA MULTIFUNCIONAL LASER COLORIDA A3</t>
  </si>
  <si>
    <t>IMPRESSORA MULTIFUNCIONAL LASER MONOCROMÁTICA</t>
  </si>
  <si>
    <t>SCANNER DE MESA 30 PPM</t>
  </si>
  <si>
    <t>MICROCOMPUTADOR TIPO I</t>
  </si>
  <si>
    <t>MICROCOMPUTADOR TIPO III</t>
  </si>
  <si>
    <t>SERVIDOR MÍNIMO SSD 1TB</t>
  </si>
  <si>
    <t>NOBREAK DE 1,2 KVA</t>
  </si>
  <si>
    <t>ACCESS POINT LONG RANGE 2.4GHZ E 5GHZ</t>
  </si>
  <si>
    <t>SWITCH GERENCIAVEL DE 48 PORTAS</t>
  </si>
  <si>
    <t>MULTIFUNCIONAL JATO DE TINTA COLORIDA</t>
  </si>
  <si>
    <t>FRAGMENTADORA DE PAPEL</t>
  </si>
  <si>
    <t>NOTEBOOK TIPO III.</t>
  </si>
  <si>
    <t>SISTEMA DE INFORMÁTICA</t>
  </si>
  <si>
    <t>IMPRESSORA MULTIFUNCIONAL  MONOCROMÁTICA</t>
  </si>
  <si>
    <t>MICROCOMPUTADOR TIPO II</t>
  </si>
  <si>
    <t>Nobreak 3200 VA</t>
  </si>
  <si>
    <t>Nobreak 3200 KVA - TS SHARA</t>
  </si>
  <si>
    <t>NOBREAK 3200 KVA - TS SHARA</t>
  </si>
  <si>
    <t>Micro Desktop I5 ou AMD Ryzen5</t>
  </si>
  <si>
    <t>impressora Multifuncional jato de tinta A4 com Bulk Ink</t>
  </si>
  <si>
    <t>IMPRESSORA MULTIFUNCIONAL –</t>
  </si>
  <si>
    <t>Multifuncional Jato de Tinta</t>
  </si>
  <si>
    <t>MICRO I5</t>
  </si>
  <si>
    <t>8 GB, SSD 240, Monitor 19,</t>
  </si>
  <si>
    <t>Multifuncional Jato de Tinta - SUPRIMIDA DO CONTRATO</t>
  </si>
  <si>
    <t>Multifuncional Laser - ACRESCIDA  AO CONTRATO</t>
  </si>
  <si>
    <t>Multifuncional Laser Mono</t>
  </si>
  <si>
    <t>MICRO I5 - PERMANECEU NO CONTRATO</t>
  </si>
  <si>
    <t>Multifuncional Laser -</t>
  </si>
  <si>
    <t>8a geração - 8GB de memória, SSD 128</t>
  </si>
  <si>
    <t>Escânner de Mesa</t>
  </si>
  <si>
    <t>Escânner de mesa</t>
  </si>
  <si>
    <t>Multifuncional Monocromática Laser</t>
  </si>
  <si>
    <t>SSD 240, 8Gb Memória, Monitor</t>
  </si>
  <si>
    <t>SISTEMA OPERACIONAL OFFICE</t>
  </si>
  <si>
    <t>SISTEMA OPREACIONAL OFFIECE</t>
  </si>
  <si>
    <t>NOTEBOOK I5 - SUPRIMIDO DO CONTRATO</t>
  </si>
  <si>
    <t>NOTEBOOK I 5</t>
  </si>
  <si>
    <t>SISTEMA OPERACIONAL OFFICE - SUPRIMIDO DO CONTRATO</t>
  </si>
  <si>
    <t>MULTIFUNCIONAL JATO DE TINTA - ACRÉSCIMO DO CONTRATO</t>
  </si>
  <si>
    <t>MULTIFUNCIONAL CANON JATO DE TINTA G3110</t>
  </si>
  <si>
    <t>MONITOR BLUECASE LED 23,6</t>
  </si>
  <si>
    <t>8GB de Memória, SSD 120GB,</t>
  </si>
  <si>
    <t>Notebook - Intel® CoreTM i5</t>
  </si>
  <si>
    <t>8GB de Memória, SSD 256GB,</t>
  </si>
  <si>
    <t>Monitor</t>
  </si>
  <si>
    <t>Monitor 23”</t>
  </si>
  <si>
    <t>Tablet Samsung Galaxy S8</t>
  </si>
  <si>
    <t>5G, 128GB com S Pen, tela led 12,4",</t>
  </si>
  <si>
    <t>Tablet Samsung A9</t>
  </si>
  <si>
    <t>4G,   64GB, WiFi, tela 8,7"</t>
  </si>
  <si>
    <t xml:space="preserve">Outsourcing de Impressão - Locação de Equipamento MONO </t>
  </si>
  <si>
    <t>Kyocera ECOSYS_M2640idw</t>
  </si>
  <si>
    <t xml:space="preserve">Outsourcing de Impressão - Locação de Equipamento COLOR </t>
  </si>
  <si>
    <t>Outsourcing de Impressão - Locação de Equipamento JATO DE TINTA</t>
  </si>
  <si>
    <t>Canon G4110</t>
  </si>
  <si>
    <t>Outsourcing de Impressão P&amp;B</t>
  </si>
  <si>
    <t>PANTUM BM5100FDW</t>
  </si>
  <si>
    <t>PANTUM BM5110ADW</t>
  </si>
  <si>
    <t>Outsourcing de Impressão Colorida</t>
  </si>
  <si>
    <t>CANON 6010</t>
  </si>
  <si>
    <t>CANON 7010</t>
  </si>
  <si>
    <t>Locação de Notebook Intel CORE I5</t>
  </si>
  <si>
    <t xml:space="preserve"> Notebook Lenovo V15 - Intel Core i5-13420H, 8GB RAM, SSD 256gb </t>
  </si>
  <si>
    <t xml:space="preserve">Locação de Tablet, mínimo de 64GB </t>
  </si>
  <si>
    <t xml:space="preserve">Lenovo Tab K11 LTE 4G + Caneta + Capa protetora. (4GB RAM, 64 GB armazenamento) </t>
  </si>
  <si>
    <t>LOCAÇÃO MICROCOMPUTADOR i3</t>
  </si>
  <si>
    <t>MEMÓRIA 4GB DDR3, HARD DISK 500GB, TELA 18,5" LED</t>
  </si>
  <si>
    <t>LOCAÇÃO DE MICROCOMPUTADOR i5</t>
  </si>
  <si>
    <t>MEMÓRIA 4.0GB, HD 500GB</t>
  </si>
  <si>
    <t>LOCAÇÃO DE NOTEBOOK Intel CORE I3</t>
  </si>
  <si>
    <t xml:space="preserve">IMPRESSORA LASER MONOCROMÁTICA </t>
  </si>
  <si>
    <t>VELOCIDADE DE IMPRESSÃO 20 PPM</t>
  </si>
  <si>
    <t>VELOCIDADE DE IMPRESSÃO DE 30PPM,</t>
  </si>
  <si>
    <t>IMPRESSORA MULTIFUNCIONAL JATO DE TINTA</t>
  </si>
  <si>
    <t>VELOCIDADE 30 PPM</t>
  </si>
  <si>
    <t>Locação de impressoras multifuncionais laser policromática</t>
  </si>
  <si>
    <t>VELOCIDADE 30 PPM A4</t>
  </si>
  <si>
    <t>Locação de impressoras multifuncionais laser monocromática</t>
  </si>
  <si>
    <t>VELOCIDADE 40 PPM A4</t>
  </si>
  <si>
    <t>Impressora matricial</t>
  </si>
  <si>
    <t>EPSON LX 350</t>
  </si>
  <si>
    <t>Scanner de mesa duplex</t>
  </si>
  <si>
    <t>Canon C240</t>
  </si>
  <si>
    <t>DUPLICADOR GIGITAL</t>
  </si>
  <si>
    <t>LOCAÇÃO DUPLICADOR DIGITAL MONOCROMÁTICO</t>
  </si>
  <si>
    <t>impressora multifuncional colorida</t>
  </si>
  <si>
    <t>Kyocera MA3500cix + iB-37</t>
  </si>
  <si>
    <t>impressora multifuncional monocromática</t>
  </si>
  <si>
    <t>Kyocera Ecosys M3655idn</t>
  </si>
  <si>
    <t>Micro Desktop I3 mínimo 3° geração.</t>
  </si>
  <si>
    <t>3° geração, memória 8GB SSD 120 GB</t>
  </si>
  <si>
    <t>Micro Desktop I3 mínimo 6° geração,</t>
  </si>
  <si>
    <t>6° geração, memória 8GB SSD 120 GB</t>
  </si>
  <si>
    <t>Smartphone Samsung Galaxy A03Android 11</t>
  </si>
  <si>
    <t>processador 1.6GHZ, Memória 64GB, Tela 6.5”,</t>
  </si>
  <si>
    <t>Smartphone TCL 305I Android 11</t>
  </si>
  <si>
    <t>processador 1.5GHZ, Memória 64GB, Tela 6.5”,</t>
  </si>
  <si>
    <t>Impressora Multifuncional colorida</t>
  </si>
  <si>
    <t>jato de tinta A4</t>
  </si>
  <si>
    <t>Impressora Multifuncional monocromática</t>
  </si>
  <si>
    <t>laser A4</t>
  </si>
  <si>
    <t>SCANNER</t>
  </si>
  <si>
    <t>BROTHER ADS4900W</t>
  </si>
  <si>
    <t>Micro Desktop I3 mínimo 2° geração</t>
  </si>
  <si>
    <t>memória 8GB 120 GB SSD</t>
  </si>
  <si>
    <t>Processador 1.5GHZ, Memória 64GB, Tela 6.5”,</t>
  </si>
  <si>
    <t>Micro Desktop I3 mínimo 2º geração</t>
  </si>
  <si>
    <t>Smartphone Samsung Galaxy AO3 Android 11</t>
  </si>
  <si>
    <t xml:space="preserve">Locação de Multifuncional  mono </t>
  </si>
  <si>
    <t>Tecnologia laser A4</t>
  </si>
  <si>
    <t>EPSON EcoTank® L3110</t>
  </si>
  <si>
    <t>ITEM</t>
  </si>
  <si>
    <t xml:space="preserve">OUTSOURCING DE IMPRESSÃO MONOCROMÁTICO –  PÁGINAS A4 </t>
  </si>
  <si>
    <t xml:space="preserve"> DENTRO DA FRANQUIA SEM PAPEL</t>
  </si>
  <si>
    <t>EXCEDENTE A FRANQUIA SEM PAPEL</t>
  </si>
  <si>
    <t xml:space="preserve">OUTSOURCING DE IMPRESSÃO POLICROMÁTICO  –  PÁGINAS – A4 </t>
  </si>
  <si>
    <t xml:space="preserve">OUTSOURCING DE IMPRESSÃO MONOCROMÁTICO –  PÁGINAS  A3 </t>
  </si>
  <si>
    <t xml:space="preserve">SERVIÇO DE IMPRESSÃO CORPORATIVA OU OUTSOURCING DE IMPRESSÃO, COM O FORNECIMENTO DE EQUIPAMENTOS </t>
  </si>
  <si>
    <t xml:space="preserve"> DENTRO DA FRANQUIA SEM PAPEL ATÉ 500 PG/MÊS/EQUIPAMENTO</t>
  </si>
  <si>
    <t>EXCEDENTE A FRANQUIA SEM PAPEL ATÉ 500 PG/MÊS/EQUIPAMENTO</t>
  </si>
  <si>
    <t xml:space="preserve"> DENTRO DA FRANQUIA SEM PAPEL ATÉ 5.000 PG/MÊS/EQUIPAMENTO</t>
  </si>
  <si>
    <t>EXCEDENTE A FRANQUIA SEM PAPEL ATÉ 5.000 PG/MÊS/EQUIPAMENTO</t>
  </si>
  <si>
    <t>OUTSOURCING DE IMPRESSÃO - MULTIFUNCIONAL POLICROMÁTICA</t>
  </si>
  <si>
    <t>OUTSOURCING DE IMPRESSÃO - IMPRESSORA MONOCROMÁTICA</t>
  </si>
  <si>
    <t xml:space="preserve">OUTSOURCING DE IMPRESSÃO - IMPRESSORA POLICROMÁTICA </t>
  </si>
  <si>
    <t>OUTSOURCING DE IMPRESSÃO - IMPRESSORA MONOCROMÁTICA (período eleitoral)</t>
  </si>
  <si>
    <t>OUTSOURCING DE IMPRESSÃO - IMPRESSORA TÉRMICA DE CARTÕES</t>
  </si>
  <si>
    <t>EXCEDENTE A  FRANQUIA SEM PAPEL ATÉ 5.000 PG/MÊS/EQUIPAMENTO</t>
  </si>
  <si>
    <t xml:space="preserve"> DENTRO DA FRANQUIA SEM PAPEL ATÉ 10.000 PG/MÊS/EQUIPAMENTO</t>
  </si>
  <si>
    <t>EXCEDENTE A FRANQUIA SEM PAPEL ATÉ 10.000 PG/MÊS/EQUIPAMENTO</t>
  </si>
  <si>
    <t>EXCEDENTE A  FRANQUIA SEM PAPEL ATÉ 500 PG/MÊS/EQUIPAMENTO</t>
  </si>
  <si>
    <t xml:space="preserve">OUTSOURCING DE IMPRESSÃO MONOCROMÁTICO –  PÁGINAS A3 </t>
  </si>
  <si>
    <t>OUTSOURCING DE IMPRESSÃO POLICROMÁTICO  –  PÁGINAS – A3</t>
  </si>
  <si>
    <t xml:space="preserve">OUTSOURCING DE IMPRESSÃO POLICROMÁTICO  –  PÁGINAS  A3 </t>
  </si>
  <si>
    <t>OUTSOURCING DE IMPRESSÃO MONOCROMÁTICO –  PÁGINAS A4 /A3</t>
  </si>
  <si>
    <t>OUTSOURCING DE IMPRESSÃO POLICROMÁTICO  –  PÁGINAS – A4 /A3</t>
  </si>
  <si>
    <t>LOCAÇÃO DE EQUIPAMENTOS DE INFORMÁTICA</t>
  </si>
  <si>
    <t>LOCAÇÃO DE EQUIPAMENTOS DE INFORMÁTICA (DESKTOPS, NOTEBOOKS, NO BREAKS, DENTRE OUTROS) COM INSTALAÇÃO, MANUTENÇÃO, SUPORTE E GESTÃO DO AMBIENTE DE TI, E EXECUÇÃO CONTINUADA DE ATIVIDADES REFERENTES À INCIDENTES E SOLICITAÇÕES DE SERVIÇOS, COM SUPORTE, ASSISTÊNCIA TÉCNICA E DISPONIBILIZAÇÃO DE CENTRAL DE SERVIÇOS,</t>
  </si>
  <si>
    <t xml:space="preserve">LOCAÇÃO DE EQUIPAMENTOS DE INFORMÁTICA </t>
  </si>
  <si>
    <t>R$           270,3900</t>
  </si>
  <si>
    <t>R$           173,9300</t>
  </si>
  <si>
    <t>R$ 377,00</t>
  </si>
  <si>
    <t>R$         270,3900</t>
  </si>
  <si>
    <t>R$            190,0800</t>
  </si>
  <si>
    <t>R$           295,5600</t>
  </si>
  <si>
    <t xml:space="preserve">OUTSOURCING DE IMPRESSORA MONOCROMÁTICA  A4 </t>
  </si>
  <si>
    <t xml:space="preserve">OUTSOURCING DE IMPRESSÃO POLICROMÁTICO –  PÁGINAS A4 </t>
  </si>
  <si>
    <t xml:space="preserve"> DENTRO DA FRANQUIA COM PAPEL</t>
  </si>
  <si>
    <t>EXCEDENTE A FRANQUIA COM PAPEL</t>
  </si>
  <si>
    <t xml:space="preserve"> </t>
  </si>
  <si>
    <t>CÓPIAS EXCEDENTES</t>
  </si>
  <si>
    <t>SEM FRANQUIA</t>
  </si>
  <si>
    <t>DENTRO DA FRANQUIA SEM PAPEL</t>
  </si>
  <si>
    <t>OUTSOURCING DE IMPRESSÃO LARGO FORMATO PLOTTER  –  PÁGINAS – A1</t>
  </si>
  <si>
    <t>150MTS</t>
  </si>
  <si>
    <t xml:space="preserve">OUTSOURCING DE IMPRESSÃO   –  PÁGINAS – A4 </t>
  </si>
  <si>
    <t>MULTIFUNCIONAL COPIADORA</t>
  </si>
  <si>
    <t xml:space="preserve">COPIADORA </t>
  </si>
  <si>
    <t>IMPRESSORA SCANNER</t>
  </si>
  <si>
    <t>COPIADORA</t>
  </si>
  <si>
    <t>KYOCERA ECOSYS M3145idn</t>
  </si>
  <si>
    <t>IMPRESSÃO EM IMPRESSORA MULTIFUNCIONAL MONO A4</t>
  </si>
  <si>
    <t>IMPRESSÃO EM IMPRESSORA MULTIFUNCIONAL COLOR A4 - PRETO E BRANCO</t>
  </si>
  <si>
    <t>IMPRESSÃO EM IMPRESSORA MULTIFUNCIONAL COLOR A4 - COLOR</t>
  </si>
  <si>
    <t>IMPRESSÃO EM IMPRESSORA MULTIFUNCIONAL COLOR A3</t>
  </si>
  <si>
    <t>IMPRESSÃO EM IMPRESSORA MULTIFUNCIONAL COLOR A4</t>
  </si>
  <si>
    <t xml:space="preserve">IMPRESSÃO EM IMPRESSORA MULTIFUNCIONAL MONO A3  </t>
  </si>
  <si>
    <t>DENTRO DA FRANQUIA COM PAPEL</t>
  </si>
  <si>
    <t xml:space="preserve">IMPRESSÃO EM IMPRESSORA MULTIFUNCIONAL COLOR </t>
  </si>
  <si>
    <t>DENTRO DA FRANQUIA DEM PAPEL</t>
  </si>
  <si>
    <t>0.28</t>
  </si>
  <si>
    <t>0.29</t>
  </si>
  <si>
    <t>Computador - Intel® CoreTM i5</t>
  </si>
  <si>
    <t xml:space="preserve">IMPRESSÃO MONO EM IMPRESSORA MULTIFUNCIONAL COLOR A4 </t>
  </si>
  <si>
    <t xml:space="preserve">IMPRESSÃO COLOR EM IMPRESSORA MULTIFUNCIONAL COLOR A4 </t>
  </si>
  <si>
    <t>IMPRESSORA MULTIFUNCIONAL LASER POLICROMATICA</t>
  </si>
  <si>
    <t>Notebook i5 - intel Core T</t>
  </si>
  <si>
    <t>MULTIFUNCIONAL LASER A4 MONO</t>
  </si>
  <si>
    <t>NOTotebook -Intel Core TM i3</t>
  </si>
  <si>
    <t xml:space="preserve">Notebook i7 - intel Core </t>
  </si>
  <si>
    <t>Notebbok i7</t>
  </si>
  <si>
    <t>Escâner de Mesa</t>
  </si>
  <si>
    <t>Multifuncional laser mono A4</t>
  </si>
  <si>
    <t>Computador 16 GB - 120 SSD</t>
  </si>
  <si>
    <t>Computador 8 GB - 120 - SSD</t>
  </si>
  <si>
    <t>Notebook  8GB - SSD 240</t>
  </si>
  <si>
    <t>ESBANNER DE MESA</t>
  </si>
  <si>
    <t>DENTRO DA DEMANDA SEM PAPEL</t>
  </si>
  <si>
    <t>NOBREAK 3200 KVA</t>
  </si>
  <si>
    <t>Multifuncional Jato de tinta</t>
  </si>
  <si>
    <t>INCLUSO 1 RECARGA DE TINTA</t>
  </si>
  <si>
    <t>8 GB, SSD 240, Monitor 19</t>
  </si>
  <si>
    <t>DENTRO DA DEMANDA SEM PAEPEL</t>
  </si>
  <si>
    <t>Multifuncional Monocromática mono</t>
  </si>
  <si>
    <t xml:space="preserve">FRANQUIA NÃO INFORMADA </t>
  </si>
  <si>
    <t>IMPRESSORA MLTIFUNCIONAL JATO DE TINTA</t>
  </si>
  <si>
    <t>DUPLICADOR DIGITAL</t>
  </si>
  <si>
    <t>Impressões coloridas</t>
  </si>
  <si>
    <t>Impressão monocromática (P&amp;B)</t>
  </si>
  <si>
    <t>UMA RECARGA DE TINTA MENSAL</t>
  </si>
  <si>
    <t>0.06</t>
  </si>
  <si>
    <t>Locação Multifuncional mono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</si>
</sst>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R$ -416]* #,##0.00_);_([$R$ -416]* \(#,##0.00\);_([$R$ -416]* &quot;-&quot;??_);_(@_)"/>
    <numFmt numFmtId="165" formatCode="dd/mm/yyyy"/>
    <numFmt numFmtId="166" formatCode="d/m/yyyy"/>
    <numFmt numFmtId="167" formatCode="dd/mm/yy"/>
    <numFmt numFmtId="168" formatCode="d/m/yy"/>
    <numFmt numFmtId="169" formatCode="[$R$ -416]#,##0.00"/>
    <numFmt numFmtId="170" formatCode="_([$R$ -416]* #,##0.0000_);_([$R$ -416]* \(#,##0.0000\);_([$R$ -416]* &quot;-&quot;??.000_);_(@_)"/>
  </numFmts>
  <fonts count="27">
    <font>
      <sz val="10.0"/>
      <color rgb="FF000000"/>
      <name val="Arial"/>
      <scheme val="minor"/>
    </font>
    <font>
      <b/>
      <color theme="1"/>
      <name val="Arial"/>
      <scheme val="minor"/>
    </font>
    <font>
      <color theme="1"/>
      <name val="Arial"/>
    </font>
    <font>
      <color theme="1"/>
      <name val="Arial"/>
      <scheme val="minor"/>
    </font>
    <font>
      <color rgb="FF000000"/>
      <name val="Arial"/>
    </font>
    <font>
      <u/>
      <color rgb="FF0000FF"/>
    </font>
    <font>
      <color rgb="FF000000"/>
      <name val="Arial"/>
      <scheme val="minor"/>
    </font>
    <font>
      <sz val="11.0"/>
      <color rgb="FF1F1F1F"/>
      <name val="Arial"/>
    </font>
    <font>
      <sz val="11.0"/>
      <color theme="1"/>
      <name val="&quot;Calibri&quot;"/>
    </font>
    <font>
      <color theme="1"/>
      <name val="&quot;Calibri&quot;"/>
    </font>
    <font>
      <sz val="12.0"/>
      <color rgb="FF000000"/>
      <name val="Calibri"/>
    </font>
    <font>
      <color rgb="FF000000"/>
      <name val="Roboto"/>
    </font>
    <font>
      <sz val="11.0"/>
      <color rgb="FF000000"/>
      <name val="Roboto"/>
    </font>
    <font>
      <color theme="1"/>
      <name val="&quot;Arial Narrow&quot;"/>
    </font>
    <font>
      <b/>
      <color rgb="FF000000"/>
      <name val="&quot;Arial&quot;"/>
    </font>
    <font>
      <color rgb="FF303030"/>
      <name val="Roboto"/>
    </font>
    <font>
      <sz val="11.0"/>
      <color rgb="FF222222"/>
      <name val="&quot;Google Sans&quot;"/>
    </font>
    <font>
      <sz val="10.0"/>
      <color theme="1"/>
      <name val="Arial"/>
      <scheme val="minor"/>
    </font>
    <font>
      <b/>
      <color theme="1"/>
      <name val="&quot;Arial Narrow&quot;"/>
    </font>
    <font>
      <sz val="11.0"/>
      <color rgb="FF303030"/>
      <name val="Arial"/>
    </font>
    <font>
      <b/>
      <color theme="1"/>
      <name val="Arial"/>
    </font>
    <font>
      <color theme="1"/>
      <name val="&quot;Arial&quot;"/>
    </font>
    <font>
      <sz val="11.0"/>
      <color rgb="FF000000"/>
      <name val="Calibri"/>
    </font>
    <font>
      <sz val="11.0"/>
      <color rgb="FF303030"/>
      <name val="&quot;Google Sans Text&quot;"/>
    </font>
    <font>
      <i/>
      <sz val="12.0"/>
      <color rgb="FF000000"/>
      <name val="Calibri"/>
    </font>
    <font>
      <color rgb="FF000000"/>
      <name val="&quot;Calibri&quot;"/>
    </font>
    <font>
      <sz val="11.0"/>
      <color theme="1"/>
      <name val="Arial"/>
    </font>
  </fonts>
  <fills count="7">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3F3F3"/>
        <bgColor rgb="FFF3F3F3"/>
      </patternFill>
    </fill>
    <fill>
      <patternFill patternType="solid">
        <fgColor rgb="FFEFEFEF"/>
        <bgColor rgb="FFEFEFEF"/>
      </patternFill>
    </fill>
  </fills>
  <borders count="2">
    <border/>
    <border>
      <left style="medium">
        <color rgb="FFCCCCCC"/>
      </left>
      <right style="medium">
        <color rgb="FF000000"/>
      </right>
      <top style="medium">
        <color rgb="FFCCCCCC"/>
      </top>
      <bottom style="medium">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xf>
    <xf borderId="0" fillId="2" fontId="4" numFmtId="0" xfId="0" applyAlignment="1" applyFill="1" applyFont="1">
      <alignment horizontal="left" readingOrder="0"/>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5" numFmtId="0" xfId="0" applyAlignment="1" applyFont="1">
      <alignment readingOrder="0"/>
    </xf>
    <xf borderId="0" fillId="0" fontId="3" numFmtId="0" xfId="0" applyFont="1"/>
    <xf borderId="0" fillId="0" fontId="6" numFmtId="0" xfId="0" applyAlignment="1" applyFont="1">
      <alignment readingOrder="0"/>
    </xf>
    <xf borderId="0" fillId="3" fontId="3" numFmtId="0" xfId="0" applyAlignment="1" applyFill="1" applyFont="1">
      <alignment readingOrder="0"/>
    </xf>
    <xf borderId="0" fillId="3" fontId="3" numFmtId="0" xfId="0" applyFont="1"/>
    <xf borderId="0" fillId="2"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0" numFmtId="0" xfId="0" applyAlignment="1" applyFont="1">
      <alignment readingOrder="0"/>
    </xf>
    <xf borderId="0" fillId="2" fontId="11" numFmtId="0" xfId="0" applyAlignment="1" applyFont="1">
      <alignment readingOrder="0"/>
    </xf>
    <xf borderId="0" fillId="4" fontId="12" numFmtId="0" xfId="0" applyAlignment="1" applyFill="1" applyFont="1">
      <alignment horizontal="left" readingOrder="0"/>
    </xf>
    <xf borderId="0" fillId="2" fontId="12" numFmtId="0" xfId="0" applyAlignment="1" applyFont="1">
      <alignment horizontal="left" readingOrder="0"/>
    </xf>
    <xf borderId="0" fillId="0" fontId="13" numFmtId="0" xfId="0" applyAlignment="1" applyFont="1">
      <alignment readingOrder="0"/>
    </xf>
    <xf borderId="0" fillId="0" fontId="14" numFmtId="0" xfId="0" applyAlignment="1" applyFont="1">
      <alignment readingOrder="0"/>
    </xf>
    <xf borderId="0" fillId="0" fontId="14" numFmtId="0" xfId="0" applyAlignment="1" applyFont="1">
      <alignment horizontal="left" readingOrder="0"/>
    </xf>
    <xf borderId="0" fillId="2" fontId="15" numFmtId="0" xfId="0" applyAlignment="1" applyFont="1">
      <alignment readingOrder="0"/>
    </xf>
    <xf borderId="0" fillId="2" fontId="16" numFmtId="0" xfId="0" applyAlignment="1" applyFont="1">
      <alignment readingOrder="0"/>
    </xf>
    <xf borderId="0" fillId="0" fontId="3" numFmtId="3" xfId="0" applyAlignment="1" applyFont="1" applyNumberFormat="1">
      <alignment readingOrder="0"/>
    </xf>
    <xf borderId="0" fillId="0" fontId="1" numFmtId="0" xfId="0" applyAlignment="1" applyFont="1">
      <alignment horizontal="center" readingOrder="0"/>
    </xf>
    <xf borderId="0" fillId="0" fontId="1" numFmtId="49" xfId="0" applyAlignment="1" applyFont="1" applyNumberFormat="1">
      <alignment horizontal="right" readingOrder="0"/>
    </xf>
    <xf borderId="0" fillId="0" fontId="1" numFmtId="0" xfId="0" applyAlignment="1" applyFont="1">
      <alignment horizontal="center"/>
    </xf>
    <xf borderId="0" fillId="0" fontId="2" numFmtId="0" xfId="0" applyAlignment="1" applyFont="1">
      <alignment vertical="bottom"/>
    </xf>
    <xf borderId="0" fillId="0" fontId="2" numFmtId="49" xfId="0" applyAlignment="1" applyFont="1" applyNumberFormat="1">
      <alignment horizontal="right" vertical="bottom"/>
    </xf>
    <xf borderId="0" fillId="0" fontId="3" numFmtId="49" xfId="0" applyAlignment="1" applyFont="1" applyNumberFormat="1">
      <alignment horizontal="right" readingOrder="0"/>
    </xf>
    <xf borderId="0" fillId="0" fontId="2" numFmtId="49" xfId="0" applyAlignment="1" applyFont="1" applyNumberFormat="1">
      <alignment horizontal="right" readingOrder="0" vertical="bottom"/>
    </xf>
    <xf borderId="0" fillId="0" fontId="3" numFmtId="0" xfId="0" applyAlignment="1" applyFont="1">
      <alignment readingOrder="0" shrinkToFit="0" wrapText="0"/>
    </xf>
    <xf borderId="0" fillId="0" fontId="3" numFmtId="0" xfId="0" applyAlignment="1" applyFont="1">
      <alignment readingOrder="0" shrinkToFit="0" wrapText="0"/>
    </xf>
    <xf borderId="0" fillId="3" fontId="3" numFmtId="49" xfId="0" applyAlignment="1" applyFont="1" applyNumberFormat="1">
      <alignment horizontal="right" readingOrder="0"/>
    </xf>
    <xf borderId="0" fillId="0" fontId="4" numFmtId="0" xfId="0" applyAlignment="1" applyFont="1">
      <alignment readingOrder="0"/>
    </xf>
    <xf borderId="0" fillId="0" fontId="3" numFmtId="0" xfId="0" applyAlignment="1" applyFont="1">
      <alignment horizontal="right" readingOrder="0"/>
    </xf>
    <xf borderId="1" fillId="0" fontId="17" numFmtId="0" xfId="0" applyAlignment="1" applyBorder="1" applyFont="1">
      <alignment horizontal="right" readingOrder="0" shrinkToFit="0" vertical="center" wrapText="1"/>
    </xf>
    <xf borderId="0" fillId="0" fontId="8" numFmtId="49" xfId="0" applyAlignment="1" applyFont="1" applyNumberFormat="1">
      <alignment readingOrder="0"/>
    </xf>
    <xf borderId="0" fillId="0" fontId="10" numFmtId="49" xfId="0" applyAlignment="1" applyFont="1" applyNumberFormat="1">
      <alignment readingOrder="0"/>
    </xf>
    <xf borderId="0" fillId="0" fontId="18" numFmtId="49" xfId="0" applyAlignment="1" applyFont="1" applyNumberFormat="1">
      <alignment horizontal="right" readingOrder="0"/>
    </xf>
    <xf borderId="0" fillId="0" fontId="3" numFmtId="49" xfId="0" applyAlignment="1" applyFont="1" applyNumberFormat="1">
      <alignment readingOrder="0"/>
    </xf>
    <xf borderId="0" fillId="0" fontId="3" numFmtId="49" xfId="0" applyAlignment="1" applyFont="1" applyNumberFormat="1">
      <alignment horizontal="right"/>
    </xf>
    <xf borderId="0" fillId="5" fontId="1" numFmtId="0" xfId="0" applyAlignment="1" applyFill="1" applyFont="1">
      <alignment horizontal="center" readingOrder="0"/>
    </xf>
    <xf borderId="0" fillId="0" fontId="1" numFmtId="0" xfId="0" applyAlignment="1" applyFont="1">
      <alignment horizontal="right" readingOrder="0"/>
    </xf>
    <xf borderId="0" fillId="0" fontId="3" numFmtId="164" xfId="0" applyAlignment="1" applyFont="1" applyNumberFormat="1">
      <alignment readingOrder="0"/>
    </xf>
    <xf borderId="0" fillId="5" fontId="3" numFmtId="0" xfId="0" applyFont="1"/>
    <xf borderId="0" fillId="0" fontId="3" numFmtId="165" xfId="0" applyAlignment="1" applyFont="1" applyNumberFormat="1">
      <alignment horizontal="right" readingOrder="0"/>
    </xf>
    <xf borderId="0" fillId="0" fontId="3" numFmtId="165" xfId="0" applyAlignment="1" applyFont="1" applyNumberFormat="1">
      <alignment readingOrder="0"/>
    </xf>
    <xf borderId="0" fillId="0" fontId="3" numFmtId="166" xfId="0" applyAlignment="1" applyFont="1" applyNumberFormat="1">
      <alignment readingOrder="0"/>
    </xf>
    <xf borderId="0" fillId="0" fontId="3" numFmtId="166" xfId="0" applyAlignment="1" applyFont="1" applyNumberFormat="1">
      <alignment horizontal="right" readingOrder="0"/>
    </xf>
    <xf borderId="0" fillId="0" fontId="3" numFmtId="167" xfId="0" applyAlignment="1" applyFont="1" applyNumberFormat="1">
      <alignment readingOrder="0"/>
    </xf>
    <xf borderId="0" fillId="0" fontId="3" numFmtId="4" xfId="0" applyAlignment="1" applyFont="1" applyNumberFormat="1">
      <alignment horizontal="right" readingOrder="0"/>
    </xf>
    <xf borderId="0" fillId="0" fontId="3" numFmtId="4" xfId="0" applyAlignment="1" applyFont="1" applyNumberFormat="1">
      <alignment readingOrder="0"/>
    </xf>
    <xf borderId="0" fillId="2" fontId="19" numFmtId="165" xfId="0" applyAlignment="1" applyFont="1" applyNumberFormat="1">
      <alignment horizontal="right" readingOrder="0"/>
    </xf>
    <xf borderId="0" fillId="2" fontId="19" numFmtId="0" xfId="0" applyAlignment="1" applyFont="1">
      <alignment horizontal="right" readingOrder="0"/>
    </xf>
    <xf borderId="0" fillId="2" fontId="19" numFmtId="0" xfId="0" applyFont="1"/>
    <xf borderId="0" fillId="2" fontId="19" numFmtId="0" xfId="0" applyAlignment="1" applyFont="1">
      <alignment readingOrder="0"/>
    </xf>
    <xf borderId="0" fillId="2" fontId="19" numFmtId="166" xfId="0" applyAlignment="1" applyFont="1" applyNumberFormat="1">
      <alignment horizontal="right" readingOrder="0"/>
    </xf>
    <xf borderId="0" fillId="2" fontId="19" numFmtId="165" xfId="0" applyAlignment="1" applyFont="1" applyNumberFormat="1">
      <alignment readingOrder="0"/>
    </xf>
    <xf borderId="0" fillId="3" fontId="3" numFmtId="165" xfId="0" applyAlignment="1" applyFont="1" applyNumberFormat="1">
      <alignment horizontal="right" readingOrder="0"/>
    </xf>
    <xf borderId="0" fillId="3" fontId="3" numFmtId="165" xfId="0" applyAlignment="1" applyFont="1" applyNumberFormat="1">
      <alignment readingOrder="0"/>
    </xf>
    <xf borderId="0" fillId="3" fontId="3" numFmtId="164" xfId="0" applyAlignment="1" applyFont="1" applyNumberFormat="1">
      <alignment readingOrder="0"/>
    </xf>
    <xf borderId="0" fillId="0" fontId="3" numFmtId="168" xfId="0" applyAlignment="1" applyFont="1" applyNumberFormat="1">
      <alignment readingOrder="0"/>
    </xf>
    <xf borderId="0" fillId="0" fontId="2" numFmtId="0" xfId="0" applyAlignment="1" applyFont="1">
      <alignment horizontal="right" vertical="bottom"/>
    </xf>
    <xf borderId="0" fillId="0" fontId="2" numFmtId="165" xfId="0" applyAlignment="1" applyFont="1" applyNumberFormat="1">
      <alignment horizontal="right" vertical="bottom"/>
    </xf>
    <xf borderId="0" fillId="0" fontId="2" numFmtId="164" xfId="0" applyAlignment="1" applyFont="1" applyNumberFormat="1">
      <alignment horizontal="right" vertical="bottom"/>
    </xf>
    <xf borderId="0" fillId="0" fontId="3" numFmtId="0" xfId="0" applyAlignment="1" applyFont="1">
      <alignment horizontal="right"/>
    </xf>
    <xf borderId="0" fillId="6" fontId="20" numFmtId="0" xfId="0" applyAlignment="1" applyFill="1" applyFont="1">
      <alignment horizontal="center" vertical="bottom"/>
    </xf>
    <xf borderId="0" fillId="6" fontId="1" numFmtId="0" xfId="0" applyAlignment="1" applyFont="1">
      <alignment horizontal="center" readingOrder="0"/>
    </xf>
    <xf borderId="0" fillId="0" fontId="1" numFmtId="0" xfId="0" applyAlignment="1" applyFont="1">
      <alignment readingOrder="0" shrinkToFit="0" vertical="center" wrapText="1"/>
    </xf>
    <xf borderId="0" fillId="0" fontId="1" numFmtId="169" xfId="0" applyAlignment="1" applyFont="1" applyNumberFormat="1">
      <alignment readingOrder="0"/>
    </xf>
    <xf borderId="0" fillId="6" fontId="3" numFmtId="0" xfId="0" applyFont="1"/>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170" xfId="0" applyAlignment="1" applyFont="1" applyNumberFormat="1">
      <alignment readingOrder="0"/>
    </xf>
    <xf borderId="0" fillId="0" fontId="3" numFmtId="170" xfId="0" applyFont="1" applyNumberFormat="1"/>
    <xf borderId="0" fillId="0" fontId="21" numFmtId="0" xfId="0" applyAlignment="1" applyFont="1">
      <alignment readingOrder="0" shrinkToFit="0" vertical="center" wrapText="1"/>
    </xf>
    <xf borderId="0" fillId="0" fontId="21" numFmtId="0" xfId="0" applyAlignment="1" applyFont="1">
      <alignment readingOrder="0" vertical="bottom"/>
    </xf>
    <xf borderId="0" fillId="0" fontId="3" numFmtId="170" xfId="0" applyAlignment="1" applyFont="1" applyNumberFormat="1">
      <alignment horizontal="right" readingOrder="0"/>
    </xf>
    <xf borderId="0" fillId="0" fontId="6" numFmtId="0" xfId="0" applyAlignment="1" applyFont="1">
      <alignment readingOrder="0" shrinkToFit="0"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wrapText="0"/>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170" xfId="0" applyAlignment="1" applyFont="1" applyNumberFormat="1">
      <alignment horizontal="center" readingOrder="0"/>
    </xf>
    <xf borderId="0" fillId="0" fontId="2" numFmtId="170" xfId="0" applyAlignment="1" applyFont="1" applyNumberFormat="1">
      <alignment readingOrder="0" shrinkToFit="0" wrapText="0"/>
    </xf>
    <xf borderId="0" fillId="2" fontId="3" numFmtId="170" xfId="0" applyAlignment="1" applyFont="1" applyNumberFormat="1">
      <alignment readingOrder="0"/>
    </xf>
    <xf borderId="0" fillId="0" fontId="2" numFmtId="170" xfId="0" applyAlignment="1" applyFont="1" applyNumberFormat="1">
      <alignment horizontal="right" vertical="bottom"/>
    </xf>
    <xf borderId="0" fillId="2" fontId="2" numFmtId="170" xfId="0" applyAlignment="1" applyFont="1" applyNumberFormat="1">
      <alignment horizontal="right" vertical="bottom"/>
    </xf>
    <xf borderId="0" fillId="2" fontId="2" numFmtId="170" xfId="0" applyAlignment="1" applyFont="1" applyNumberFormat="1">
      <alignment horizontal="right" readingOrder="0" vertical="bottom"/>
    </xf>
    <xf borderId="0" fillId="0" fontId="4" numFmtId="0" xfId="0" applyAlignment="1" applyFont="1">
      <alignment readingOrder="0" shrinkToFit="0" vertical="center" wrapText="1"/>
    </xf>
    <xf borderId="0" fillId="0" fontId="4" numFmtId="0" xfId="0" applyAlignment="1" applyFont="1">
      <alignment readingOrder="0" vertical="bottom"/>
    </xf>
    <xf borderId="0" fillId="2" fontId="4" numFmtId="170" xfId="0" applyAlignment="1" applyFont="1" applyNumberFormat="1">
      <alignment horizontal="right" readingOrder="0" vertical="bottom"/>
    </xf>
    <xf borderId="0" fillId="0" fontId="4" numFmtId="170" xfId="0" applyAlignment="1" applyFont="1" applyNumberFormat="1">
      <alignment horizontal="right" readingOrder="0" vertical="bottom"/>
    </xf>
    <xf borderId="0" fillId="0" fontId="22" numFmtId="0" xfId="0" applyAlignment="1" applyFont="1">
      <alignment readingOrder="0" shrinkToFit="0" vertical="bottom" wrapText="0"/>
    </xf>
    <xf borderId="0" fillId="0" fontId="2" numFmtId="0" xfId="0" applyAlignment="1" applyFont="1">
      <alignment shrinkToFit="0" wrapText="1"/>
    </xf>
    <xf borderId="0" fillId="0" fontId="2" numFmtId="170" xfId="0" applyAlignment="1" applyFont="1" applyNumberFormat="1">
      <alignment horizontal="right" readingOrder="0" vertical="bottom"/>
    </xf>
    <xf borderId="0" fillId="0" fontId="4" numFmtId="0" xfId="0" applyAlignment="1" applyFont="1">
      <alignment readingOrder="0" shrinkToFit="0" wrapText="1"/>
    </xf>
    <xf borderId="0" fillId="2" fontId="19" numFmtId="170" xfId="0" applyAlignment="1" applyFont="1" applyNumberFormat="1">
      <alignment horizontal="right" readingOrder="0"/>
    </xf>
    <xf borderId="0" fillId="0" fontId="3" numFmtId="3" xfId="0" applyAlignment="1" applyFont="1" applyNumberFormat="1">
      <alignment readingOrder="0" shrinkToFit="0" vertical="center" wrapText="1"/>
    </xf>
    <xf borderId="0" fillId="2" fontId="23" numFmtId="0" xfId="0" applyAlignment="1" applyFont="1">
      <alignment readingOrder="0"/>
    </xf>
    <xf borderId="0" fillId="0" fontId="24" numFmtId="0" xfId="0" applyAlignment="1" applyFont="1">
      <alignment readingOrder="0"/>
    </xf>
    <xf borderId="0" fillId="0" fontId="25" numFmtId="0" xfId="0" applyAlignment="1" applyFont="1">
      <alignment readingOrder="0"/>
    </xf>
    <xf borderId="0" fillId="6" fontId="3" numFmtId="0" xfId="0" applyAlignment="1" applyFont="1">
      <alignment readingOrder="0"/>
    </xf>
    <xf borderId="0" fillId="6" fontId="2" numFmtId="0" xfId="0" applyAlignment="1" applyFont="1">
      <alignment vertical="bottom"/>
    </xf>
    <xf borderId="0" fillId="0" fontId="1" numFmtId="0" xfId="0" applyAlignment="1" applyFont="1">
      <alignment readingOrder="0" shrinkToFit="0" wrapText="1"/>
    </xf>
    <xf borderId="0" fillId="0" fontId="1" numFmtId="170" xfId="0" applyAlignment="1" applyFont="1" applyNumberFormat="1">
      <alignment readingOrder="0"/>
    </xf>
    <xf borderId="0" fillId="0" fontId="21" numFmtId="0" xfId="0" applyAlignment="1" applyFont="1">
      <alignment readingOrder="0" shrinkToFit="0" vertical="bottom" wrapText="1"/>
    </xf>
    <xf borderId="0" fillId="0" fontId="4" numFmtId="0" xfId="0" applyAlignment="1" applyFont="1">
      <alignment readingOrder="0" shrinkToFit="0" vertical="bottom" wrapText="1"/>
    </xf>
    <xf borderId="0" fillId="0" fontId="4" numFmtId="3" xfId="0" applyAlignment="1" applyFont="1" applyNumberFormat="1">
      <alignment horizontal="right" readingOrder="0" vertical="bottom"/>
    </xf>
    <xf borderId="0" fillId="0" fontId="4" numFmtId="0" xfId="0" applyAlignment="1" applyFont="1">
      <alignment horizontal="right" readingOrder="0" vertical="bottom"/>
    </xf>
    <xf borderId="0" fillId="0" fontId="26" numFmtId="170" xfId="0" applyAlignment="1" applyFont="1" applyNumberForma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pl10rm@gmail.com" TargetMode="External"/><Relationship Id="rId2" Type="http://schemas.openxmlformats.org/officeDocument/2006/relationships/hyperlink" Target="mailto:administ.eresp@itamaraty.gov.br"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4.75"/>
    <col customWidth="1" min="2" max="2" width="101.5"/>
    <col customWidth="1" min="3" max="3" width="17.25"/>
    <col customWidth="1" min="4" max="5" width="19.88"/>
    <col customWidth="1" min="6" max="6" width="134.63"/>
  </cols>
  <sheetData>
    <row r="1" ht="15.75" customHeight="1">
      <c r="A1" s="1" t="s">
        <v>0</v>
      </c>
      <c r="B1" s="1" t="s">
        <v>1</v>
      </c>
      <c r="C1" s="1" t="s">
        <v>2</v>
      </c>
      <c r="D1" s="1" t="s">
        <v>3</v>
      </c>
      <c r="E1" s="1" t="s">
        <v>4</v>
      </c>
      <c r="F1" s="1" t="s">
        <v>5</v>
      </c>
    </row>
    <row r="2" ht="15.75" customHeight="1">
      <c r="A2" s="2"/>
      <c r="B2" s="3"/>
      <c r="C2" s="4"/>
      <c r="D2" s="5"/>
      <c r="E2" s="4"/>
      <c r="F2" s="6"/>
      <c r="G2" s="6"/>
    </row>
    <row r="3" ht="15.75" customHeight="1">
      <c r="A3" s="3"/>
      <c r="B3" s="3"/>
      <c r="C3" s="4"/>
      <c r="D3" s="5"/>
      <c r="E3" s="4"/>
      <c r="F3" s="6"/>
      <c r="G3" s="6"/>
    </row>
    <row r="4" ht="15.75" customHeight="1">
      <c r="A4" s="3" t="s">
        <v>6</v>
      </c>
      <c r="B4" s="3" t="s">
        <v>6</v>
      </c>
      <c r="C4" s="5" t="s">
        <v>7</v>
      </c>
      <c r="D4" s="5" t="s">
        <v>8</v>
      </c>
      <c r="E4" s="7" t="s">
        <v>9</v>
      </c>
      <c r="F4" s="6" t="s">
        <v>10</v>
      </c>
      <c r="G4" s="6"/>
    </row>
    <row r="5" ht="15.75" customHeight="1">
      <c r="A5" s="8" t="s">
        <v>11</v>
      </c>
      <c r="B5" s="9" t="s">
        <v>11</v>
      </c>
      <c r="C5" s="6" t="s">
        <v>12</v>
      </c>
      <c r="D5" s="5" t="s">
        <v>8</v>
      </c>
      <c r="E5" s="6" t="s">
        <v>13</v>
      </c>
      <c r="F5" s="10" t="s">
        <v>14</v>
      </c>
      <c r="G5" s="6"/>
    </row>
    <row r="6" ht="15.75" customHeight="1">
      <c r="A6" s="8" t="s">
        <v>15</v>
      </c>
      <c r="B6" s="9" t="s">
        <v>16</v>
      </c>
      <c r="C6" s="6" t="s">
        <v>17</v>
      </c>
      <c r="D6" s="5" t="s">
        <v>8</v>
      </c>
      <c r="E6" s="6" t="s">
        <v>18</v>
      </c>
      <c r="F6" s="6" t="s">
        <v>19</v>
      </c>
      <c r="G6" s="6"/>
    </row>
    <row r="7" ht="15.75" customHeight="1">
      <c r="A7" s="8" t="s">
        <v>20</v>
      </c>
      <c r="B7" s="8" t="s">
        <v>20</v>
      </c>
      <c r="C7" s="6" t="s">
        <v>21</v>
      </c>
      <c r="D7" s="5" t="s">
        <v>8</v>
      </c>
      <c r="E7" s="6" t="s">
        <v>22</v>
      </c>
      <c r="F7" s="6" t="s">
        <v>23</v>
      </c>
      <c r="G7" s="6"/>
    </row>
    <row r="8" ht="15.75" customHeight="1">
      <c r="A8" s="9" t="s">
        <v>24</v>
      </c>
      <c r="B8" s="9" t="s">
        <v>24</v>
      </c>
      <c r="C8" s="6" t="s">
        <v>25</v>
      </c>
      <c r="D8" s="5" t="s">
        <v>8</v>
      </c>
      <c r="E8" s="6" t="s">
        <v>26</v>
      </c>
      <c r="F8" s="6" t="s">
        <v>27</v>
      </c>
      <c r="G8" s="6"/>
    </row>
    <row r="9" ht="15.75" customHeight="1">
      <c r="A9" s="9" t="s">
        <v>28</v>
      </c>
      <c r="B9" s="9" t="s">
        <v>28</v>
      </c>
      <c r="C9" s="6" t="s">
        <v>29</v>
      </c>
      <c r="D9" s="5" t="s">
        <v>8</v>
      </c>
      <c r="E9" s="6" t="s">
        <v>30</v>
      </c>
      <c r="F9" s="6" t="s">
        <v>31</v>
      </c>
      <c r="G9" s="6"/>
    </row>
    <row r="10" ht="15.75" customHeight="1">
      <c r="A10" s="9" t="s">
        <v>32</v>
      </c>
      <c r="B10" s="9" t="s">
        <v>32</v>
      </c>
      <c r="C10" s="6" t="s">
        <v>33</v>
      </c>
      <c r="D10" s="5" t="s">
        <v>8</v>
      </c>
      <c r="E10" s="6" t="s">
        <v>34</v>
      </c>
      <c r="F10" s="6" t="s">
        <v>35</v>
      </c>
      <c r="G10" s="6"/>
    </row>
    <row r="11" ht="15.75" customHeight="1">
      <c r="A11" s="9" t="s">
        <v>36</v>
      </c>
      <c r="B11" s="9" t="s">
        <v>36</v>
      </c>
      <c r="C11" s="6" t="s">
        <v>37</v>
      </c>
      <c r="D11" s="5" t="s">
        <v>8</v>
      </c>
      <c r="E11" s="6" t="s">
        <v>38</v>
      </c>
      <c r="F11" s="6" t="s">
        <v>39</v>
      </c>
      <c r="G11" s="6"/>
    </row>
    <row r="12" ht="15.75" customHeight="1">
      <c r="A12" s="9" t="s">
        <v>40</v>
      </c>
      <c r="B12" s="9" t="s">
        <v>40</v>
      </c>
      <c r="C12" s="6" t="s">
        <v>41</v>
      </c>
      <c r="D12" s="5" t="s">
        <v>8</v>
      </c>
      <c r="E12" s="9" t="s">
        <v>42</v>
      </c>
      <c r="F12" s="6" t="s">
        <v>43</v>
      </c>
      <c r="G12" s="6"/>
    </row>
    <row r="13" ht="15.75" customHeight="1">
      <c r="A13" s="9" t="s">
        <v>44</v>
      </c>
      <c r="B13" s="9" t="s">
        <v>44</v>
      </c>
      <c r="C13" s="6" t="s">
        <v>45</v>
      </c>
      <c r="D13" s="5" t="s">
        <v>8</v>
      </c>
      <c r="E13" s="6" t="s">
        <v>46</v>
      </c>
      <c r="F13" s="6" t="s">
        <v>47</v>
      </c>
      <c r="G13" s="6"/>
    </row>
    <row r="14" ht="15.75" customHeight="1">
      <c r="A14" s="9" t="s">
        <v>48</v>
      </c>
      <c r="B14" s="9" t="s">
        <v>48</v>
      </c>
      <c r="C14" s="6" t="s">
        <v>49</v>
      </c>
      <c r="D14" s="9" t="s">
        <v>50</v>
      </c>
      <c r="E14" s="9" t="s">
        <v>51</v>
      </c>
      <c r="F14" s="6" t="s">
        <v>52</v>
      </c>
      <c r="G14" s="6"/>
    </row>
    <row r="15" ht="15.75" customHeight="1">
      <c r="A15" s="6" t="s">
        <v>53</v>
      </c>
      <c r="B15" s="6" t="s">
        <v>53</v>
      </c>
      <c r="C15" s="6" t="s">
        <v>54</v>
      </c>
      <c r="D15" s="9" t="s">
        <v>55</v>
      </c>
      <c r="E15" s="9" t="s">
        <v>56</v>
      </c>
      <c r="F15" s="6" t="s">
        <v>57</v>
      </c>
      <c r="G15" s="6"/>
    </row>
    <row r="16" ht="15.75" customHeight="1">
      <c r="A16" s="6" t="s">
        <v>58</v>
      </c>
      <c r="B16" s="6" t="s">
        <v>58</v>
      </c>
      <c r="C16" s="6" t="s">
        <v>59</v>
      </c>
      <c r="D16" s="9" t="s">
        <v>60</v>
      </c>
      <c r="E16" s="9" t="s">
        <v>61</v>
      </c>
      <c r="F16" s="6" t="s">
        <v>62</v>
      </c>
      <c r="G16" s="6"/>
    </row>
    <row r="17" ht="15.75" customHeight="1">
      <c r="A17" s="6" t="s">
        <v>63</v>
      </c>
      <c r="B17" s="6" t="s">
        <v>63</v>
      </c>
      <c r="C17" s="6" t="s">
        <v>64</v>
      </c>
      <c r="D17" s="9" t="s">
        <v>60</v>
      </c>
      <c r="E17" s="6" t="s">
        <v>65</v>
      </c>
      <c r="F17" s="6" t="s">
        <v>66</v>
      </c>
      <c r="G17" s="6"/>
    </row>
    <row r="18" ht="15.75" customHeight="1">
      <c r="A18" s="6" t="s">
        <v>67</v>
      </c>
      <c r="B18" s="6" t="s">
        <v>67</v>
      </c>
      <c r="C18" s="6" t="s">
        <v>68</v>
      </c>
      <c r="D18" s="6" t="s">
        <v>69</v>
      </c>
      <c r="E18" s="6" t="s">
        <v>70</v>
      </c>
      <c r="F18" s="6" t="s">
        <v>71</v>
      </c>
      <c r="G18" s="6"/>
    </row>
    <row r="19" ht="15.75" customHeight="1">
      <c r="A19" s="6" t="s">
        <v>72</v>
      </c>
      <c r="B19" s="6" t="s">
        <v>73</v>
      </c>
      <c r="C19" s="6" t="s">
        <v>74</v>
      </c>
      <c r="D19" s="9" t="s">
        <v>75</v>
      </c>
      <c r="E19" s="9" t="s">
        <v>76</v>
      </c>
      <c r="F19" s="6" t="s">
        <v>77</v>
      </c>
      <c r="G19" s="6"/>
    </row>
    <row r="20" ht="15.75" customHeight="1">
      <c r="A20" s="6" t="s">
        <v>78</v>
      </c>
      <c r="B20" s="6" t="s">
        <v>78</v>
      </c>
      <c r="C20" s="6" t="s">
        <v>79</v>
      </c>
      <c r="D20" s="9" t="s">
        <v>75</v>
      </c>
      <c r="E20" s="6" t="s">
        <v>80</v>
      </c>
      <c r="F20" s="6" t="s">
        <v>81</v>
      </c>
      <c r="G20" s="6"/>
    </row>
    <row r="21" ht="15.75" customHeight="1">
      <c r="A21" s="6" t="s">
        <v>82</v>
      </c>
      <c r="B21" s="6" t="s">
        <v>82</v>
      </c>
      <c r="C21" s="6" t="s">
        <v>83</v>
      </c>
      <c r="D21" s="9" t="s">
        <v>75</v>
      </c>
      <c r="E21" s="6" t="s">
        <v>84</v>
      </c>
      <c r="F21" s="6" t="s">
        <v>85</v>
      </c>
      <c r="G21" s="6"/>
    </row>
    <row r="22" ht="15.75" customHeight="1">
      <c r="A22" s="6" t="s">
        <v>86</v>
      </c>
      <c r="B22" s="6" t="s">
        <v>86</v>
      </c>
      <c r="C22" s="6" t="s">
        <v>87</v>
      </c>
      <c r="D22" s="9" t="s">
        <v>75</v>
      </c>
      <c r="E22" s="6" t="s">
        <v>88</v>
      </c>
      <c r="F22" s="6" t="s">
        <v>89</v>
      </c>
      <c r="G22" s="6"/>
    </row>
    <row r="23" ht="15.75" customHeight="1">
      <c r="A23" s="6" t="s">
        <v>90</v>
      </c>
      <c r="B23" s="6" t="s">
        <v>90</v>
      </c>
      <c r="C23" s="6" t="s">
        <v>91</v>
      </c>
      <c r="D23" s="9" t="s">
        <v>92</v>
      </c>
      <c r="E23" s="9" t="s">
        <v>93</v>
      </c>
      <c r="F23" s="6" t="s">
        <v>94</v>
      </c>
      <c r="G23" s="6"/>
    </row>
    <row r="24" ht="15.75" customHeight="1">
      <c r="A24" s="6" t="s">
        <v>95</v>
      </c>
      <c r="B24" s="6" t="s">
        <v>95</v>
      </c>
      <c r="C24" s="6" t="s">
        <v>96</v>
      </c>
      <c r="D24" s="9" t="s">
        <v>92</v>
      </c>
      <c r="E24" s="6" t="s">
        <v>97</v>
      </c>
      <c r="F24" s="6" t="s">
        <v>98</v>
      </c>
      <c r="G24" s="6"/>
    </row>
    <row r="25" ht="15.75" customHeight="1">
      <c r="A25" s="6" t="s">
        <v>99</v>
      </c>
      <c r="B25" s="6" t="s">
        <v>99</v>
      </c>
      <c r="C25" s="6" t="s">
        <v>100</v>
      </c>
      <c r="D25" s="9" t="s">
        <v>92</v>
      </c>
      <c r="E25" s="6" t="s">
        <v>101</v>
      </c>
      <c r="F25" s="6" t="s">
        <v>102</v>
      </c>
      <c r="G25" s="6"/>
    </row>
    <row r="26" ht="15.75" customHeight="1">
      <c r="A26" s="6" t="s">
        <v>103</v>
      </c>
      <c r="B26" s="6" t="s">
        <v>103</v>
      </c>
      <c r="C26" s="6" t="s">
        <v>104</v>
      </c>
      <c r="D26" s="9" t="s">
        <v>92</v>
      </c>
      <c r="E26" s="6" t="s">
        <v>105</v>
      </c>
      <c r="F26" s="6" t="s">
        <v>106</v>
      </c>
      <c r="G26" s="6"/>
    </row>
    <row r="27" ht="15.75" customHeight="1">
      <c r="A27" s="6" t="s">
        <v>107</v>
      </c>
      <c r="B27" s="6" t="s">
        <v>107</v>
      </c>
      <c r="C27" s="6" t="s">
        <v>108</v>
      </c>
      <c r="D27" s="9" t="s">
        <v>92</v>
      </c>
      <c r="E27" s="6" t="s">
        <v>109</v>
      </c>
      <c r="F27" s="6" t="s">
        <v>110</v>
      </c>
      <c r="G27" s="6"/>
    </row>
    <row r="28" ht="15.75" customHeight="1">
      <c r="A28" s="6" t="s">
        <v>111</v>
      </c>
      <c r="B28" s="6" t="s">
        <v>111</v>
      </c>
      <c r="C28" s="6" t="s">
        <v>112</v>
      </c>
      <c r="D28" s="9" t="s">
        <v>92</v>
      </c>
      <c r="E28" s="6" t="s">
        <v>113</v>
      </c>
      <c r="F28" s="6" t="s">
        <v>114</v>
      </c>
      <c r="G28" s="6"/>
    </row>
    <row r="29" ht="15.75" customHeight="1">
      <c r="A29" s="6" t="s">
        <v>115</v>
      </c>
      <c r="B29" s="6" t="s">
        <v>115</v>
      </c>
      <c r="C29" s="6" t="s">
        <v>116</v>
      </c>
      <c r="D29" s="9" t="s">
        <v>92</v>
      </c>
      <c r="E29" s="6" t="s">
        <v>117</v>
      </c>
      <c r="F29" s="6" t="s">
        <v>118</v>
      </c>
      <c r="G29" s="6"/>
    </row>
    <row r="30" ht="15.75" customHeight="1">
      <c r="A30" s="6" t="s">
        <v>119</v>
      </c>
      <c r="B30" s="6" t="s">
        <v>119</v>
      </c>
      <c r="C30" s="6" t="s">
        <v>120</v>
      </c>
      <c r="D30" s="9" t="s">
        <v>92</v>
      </c>
      <c r="E30" s="6" t="s">
        <v>121</v>
      </c>
      <c r="F30" s="6" t="s">
        <v>122</v>
      </c>
      <c r="G30" s="6"/>
    </row>
    <row r="31" ht="15.75" customHeight="1">
      <c r="A31" s="6" t="s">
        <v>123</v>
      </c>
      <c r="B31" s="6" t="s">
        <v>123</v>
      </c>
      <c r="C31" s="6" t="s">
        <v>124</v>
      </c>
      <c r="D31" s="6" t="s">
        <v>125</v>
      </c>
      <c r="E31" s="6" t="s">
        <v>126</v>
      </c>
      <c r="F31" s="6" t="s">
        <v>127</v>
      </c>
      <c r="G31" s="6"/>
    </row>
    <row r="32" ht="15.75" customHeight="1">
      <c r="A32" s="6" t="s">
        <v>128</v>
      </c>
      <c r="B32" s="6" t="s">
        <v>128</v>
      </c>
      <c r="C32" s="6" t="s">
        <v>129</v>
      </c>
      <c r="D32" s="9" t="s">
        <v>130</v>
      </c>
      <c r="E32" s="9" t="s">
        <v>131</v>
      </c>
      <c r="F32" s="6" t="s">
        <v>132</v>
      </c>
      <c r="G32" s="6"/>
    </row>
    <row r="33" ht="15.75" customHeight="1">
      <c r="A33" s="6" t="s">
        <v>133</v>
      </c>
      <c r="B33" s="6" t="s">
        <v>133</v>
      </c>
      <c r="C33" s="6" t="s">
        <v>134</v>
      </c>
      <c r="D33" s="9" t="s">
        <v>130</v>
      </c>
      <c r="E33" s="9" t="s">
        <v>135</v>
      </c>
      <c r="F33" s="6" t="s">
        <v>136</v>
      </c>
      <c r="G33" s="6"/>
    </row>
    <row r="34" ht="15.75" customHeight="1">
      <c r="A34" s="6" t="s">
        <v>137</v>
      </c>
      <c r="B34" s="6" t="s">
        <v>137</v>
      </c>
      <c r="C34" s="6" t="s">
        <v>138</v>
      </c>
      <c r="D34" s="9" t="s">
        <v>130</v>
      </c>
      <c r="E34" s="6" t="s">
        <v>139</v>
      </c>
      <c r="F34" s="6" t="s">
        <v>140</v>
      </c>
      <c r="G34" s="6"/>
    </row>
    <row r="35" ht="15.75" customHeight="1">
      <c r="A35" s="6" t="s">
        <v>141</v>
      </c>
      <c r="B35" s="6" t="s">
        <v>141</v>
      </c>
      <c r="C35" s="6" t="s">
        <v>142</v>
      </c>
      <c r="D35" s="9" t="s">
        <v>130</v>
      </c>
      <c r="E35" s="6" t="s">
        <v>143</v>
      </c>
      <c r="F35" s="6" t="s">
        <v>144</v>
      </c>
      <c r="G35" s="6"/>
    </row>
    <row r="36">
      <c r="A36" s="6" t="s">
        <v>145</v>
      </c>
      <c r="B36" s="6" t="s">
        <v>145</v>
      </c>
      <c r="C36" s="6" t="s">
        <v>146</v>
      </c>
      <c r="D36" s="6" t="s">
        <v>147</v>
      </c>
      <c r="E36" s="6" t="s">
        <v>148</v>
      </c>
      <c r="F36" s="6" t="s">
        <v>149</v>
      </c>
      <c r="G36" s="6"/>
    </row>
    <row r="37">
      <c r="A37" s="6" t="s">
        <v>150</v>
      </c>
      <c r="B37" s="6" t="s">
        <v>151</v>
      </c>
      <c r="C37" s="6" t="s">
        <v>152</v>
      </c>
      <c r="D37" s="6" t="s">
        <v>153</v>
      </c>
      <c r="E37" s="6" t="s">
        <v>154</v>
      </c>
      <c r="F37" s="6" t="s">
        <v>155</v>
      </c>
      <c r="G37" s="6"/>
    </row>
    <row r="38">
      <c r="A38" s="6" t="s">
        <v>156</v>
      </c>
      <c r="B38" s="6" t="s">
        <v>156</v>
      </c>
      <c r="C38" s="6" t="s">
        <v>157</v>
      </c>
      <c r="D38" s="6" t="s">
        <v>8</v>
      </c>
      <c r="E38" s="6" t="s">
        <v>158</v>
      </c>
      <c r="F38" s="6" t="s">
        <v>159</v>
      </c>
      <c r="G38" s="6"/>
    </row>
    <row r="39">
      <c r="A39" s="6" t="s">
        <v>160</v>
      </c>
      <c r="B39" s="6" t="s">
        <v>160</v>
      </c>
      <c r="C39" s="6" t="s">
        <v>157</v>
      </c>
      <c r="D39" s="6" t="s">
        <v>8</v>
      </c>
      <c r="E39" s="6" t="s">
        <v>158</v>
      </c>
      <c r="F39" s="6" t="s">
        <v>159</v>
      </c>
      <c r="G39" s="6"/>
    </row>
    <row r="40">
      <c r="A40" s="11" t="s">
        <v>161</v>
      </c>
      <c r="B40" s="11" t="s">
        <v>162</v>
      </c>
      <c r="C40" s="6" t="s">
        <v>163</v>
      </c>
      <c r="D40" s="6" t="s">
        <v>153</v>
      </c>
      <c r="E40" s="6" t="s">
        <v>164</v>
      </c>
      <c r="F40" s="6" t="s">
        <v>165</v>
      </c>
      <c r="G40" s="6"/>
    </row>
    <row r="41">
      <c r="A41" s="6" t="s">
        <v>166</v>
      </c>
      <c r="B41" s="6" t="s">
        <v>167</v>
      </c>
      <c r="C41" s="6" t="s">
        <v>168</v>
      </c>
      <c r="D41" s="6" t="s">
        <v>153</v>
      </c>
      <c r="E41" s="6" t="s">
        <v>169</v>
      </c>
      <c r="F41" s="6" t="s">
        <v>170</v>
      </c>
      <c r="G41" s="6"/>
    </row>
    <row r="42">
      <c r="A42" s="6" t="s">
        <v>171</v>
      </c>
      <c r="B42" s="6" t="s">
        <v>171</v>
      </c>
      <c r="C42" s="6" t="s">
        <v>172</v>
      </c>
      <c r="D42" s="9" t="s">
        <v>92</v>
      </c>
      <c r="E42" s="6" t="s">
        <v>173</v>
      </c>
      <c r="F42" s="6" t="s">
        <v>174</v>
      </c>
      <c r="G42" s="6"/>
    </row>
    <row r="43">
      <c r="A43" s="6" t="s">
        <v>175</v>
      </c>
      <c r="B43" s="6" t="s">
        <v>175</v>
      </c>
      <c r="C43" s="6" t="s">
        <v>176</v>
      </c>
      <c r="D43" s="9" t="s">
        <v>130</v>
      </c>
      <c r="E43" s="6" t="s">
        <v>177</v>
      </c>
      <c r="F43" s="6" t="s">
        <v>178</v>
      </c>
      <c r="G43" s="6"/>
    </row>
    <row r="44">
      <c r="A44" s="6" t="s">
        <v>179</v>
      </c>
      <c r="B44" s="6" t="s">
        <v>179</v>
      </c>
      <c r="C44" s="6" t="s">
        <v>180</v>
      </c>
      <c r="D44" s="6" t="s">
        <v>153</v>
      </c>
      <c r="E44" s="6" t="s">
        <v>181</v>
      </c>
      <c r="F44" s="6" t="s">
        <v>182</v>
      </c>
      <c r="G44" s="6"/>
    </row>
    <row r="45">
      <c r="A45" s="6" t="s">
        <v>183</v>
      </c>
      <c r="B45" s="6" t="s">
        <v>183</v>
      </c>
      <c r="C45" s="6" t="s">
        <v>184</v>
      </c>
      <c r="D45" s="6" t="s">
        <v>185</v>
      </c>
      <c r="E45" s="6" t="s">
        <v>186</v>
      </c>
      <c r="F45" s="6" t="s">
        <v>187</v>
      </c>
      <c r="G45" s="6"/>
    </row>
    <row r="46">
      <c r="A46" s="6" t="s">
        <v>188</v>
      </c>
      <c r="B46" s="6" t="s">
        <v>188</v>
      </c>
      <c r="C46" s="6" t="s">
        <v>189</v>
      </c>
      <c r="D46" s="6" t="s">
        <v>185</v>
      </c>
      <c r="E46" s="6" t="s">
        <v>190</v>
      </c>
      <c r="F46" s="6" t="s">
        <v>191</v>
      </c>
      <c r="G46" s="6"/>
    </row>
    <row r="47">
      <c r="A47" s="6" t="s">
        <v>192</v>
      </c>
      <c r="B47" s="6" t="s">
        <v>193</v>
      </c>
      <c r="C47" s="6" t="s">
        <v>194</v>
      </c>
      <c r="D47" s="6" t="s">
        <v>195</v>
      </c>
      <c r="E47" s="6" t="s">
        <v>196</v>
      </c>
      <c r="F47" s="6" t="s">
        <v>197</v>
      </c>
      <c r="G47" s="6"/>
    </row>
    <row r="48">
      <c r="A48" s="11" t="s">
        <v>198</v>
      </c>
      <c r="B48" s="11" t="s">
        <v>199</v>
      </c>
      <c r="C48" s="6" t="s">
        <v>200</v>
      </c>
      <c r="D48" s="6" t="s">
        <v>8</v>
      </c>
      <c r="E48" s="6" t="s">
        <v>201</v>
      </c>
      <c r="F48" s="6" t="s">
        <v>202</v>
      </c>
      <c r="G48" s="6"/>
    </row>
    <row r="49">
      <c r="A49" s="11" t="s">
        <v>203</v>
      </c>
      <c r="B49" s="11" t="s">
        <v>203</v>
      </c>
      <c r="C49" s="6" t="s">
        <v>204</v>
      </c>
      <c r="D49" s="6" t="s">
        <v>147</v>
      </c>
      <c r="E49" s="6" t="s">
        <v>205</v>
      </c>
      <c r="F49" s="6" t="s">
        <v>206</v>
      </c>
      <c r="G49" s="6"/>
    </row>
    <row r="50">
      <c r="A50" s="6" t="s">
        <v>207</v>
      </c>
      <c r="B50" s="6" t="s">
        <v>207</v>
      </c>
      <c r="C50" s="6" t="s">
        <v>208</v>
      </c>
      <c r="D50" s="6" t="s">
        <v>69</v>
      </c>
      <c r="E50" s="6" t="s">
        <v>209</v>
      </c>
      <c r="F50" s="6" t="s">
        <v>210</v>
      </c>
      <c r="G50" s="6"/>
    </row>
    <row r="51">
      <c r="A51" s="6" t="s">
        <v>211</v>
      </c>
      <c r="B51" s="6" t="s">
        <v>212</v>
      </c>
      <c r="C51" s="6" t="s">
        <v>213</v>
      </c>
      <c r="D51" s="6" t="s">
        <v>153</v>
      </c>
      <c r="E51" s="6" t="s">
        <v>214</v>
      </c>
      <c r="F51" s="6" t="s">
        <v>215</v>
      </c>
      <c r="G51" s="6"/>
    </row>
    <row r="52">
      <c r="A52" s="6" t="s">
        <v>216</v>
      </c>
      <c r="B52" s="6" t="s">
        <v>217</v>
      </c>
      <c r="C52" s="6" t="s">
        <v>218</v>
      </c>
      <c r="D52" s="6" t="s">
        <v>185</v>
      </c>
      <c r="E52" s="6" t="s">
        <v>219</v>
      </c>
      <c r="F52" s="6" t="s">
        <v>220</v>
      </c>
      <c r="G52" s="6"/>
    </row>
    <row r="53">
      <c r="A53" s="6" t="s">
        <v>221</v>
      </c>
      <c r="B53" s="6" t="s">
        <v>222</v>
      </c>
      <c r="C53" s="6" t="s">
        <v>223</v>
      </c>
      <c r="D53" s="6" t="s">
        <v>153</v>
      </c>
      <c r="E53" s="6" t="s">
        <v>224</v>
      </c>
      <c r="F53" s="6" t="s">
        <v>225</v>
      </c>
      <c r="G53" s="6"/>
    </row>
    <row r="54">
      <c r="A54" s="6" t="s">
        <v>221</v>
      </c>
      <c r="B54" s="6" t="s">
        <v>222</v>
      </c>
      <c r="C54" s="6" t="s">
        <v>223</v>
      </c>
      <c r="D54" s="6" t="s">
        <v>153</v>
      </c>
      <c r="E54" s="6" t="s">
        <v>224</v>
      </c>
      <c r="F54" s="6" t="s">
        <v>225</v>
      </c>
      <c r="G54" s="6"/>
    </row>
    <row r="55">
      <c r="A55" s="6" t="s">
        <v>226</v>
      </c>
      <c r="B55" s="6" t="s">
        <v>227</v>
      </c>
      <c r="C55" s="6" t="s">
        <v>228</v>
      </c>
      <c r="D55" s="6" t="s">
        <v>229</v>
      </c>
      <c r="F55" s="6" t="s">
        <v>230</v>
      </c>
      <c r="G55" s="6"/>
    </row>
    <row r="56">
      <c r="A56" s="6" t="s">
        <v>231</v>
      </c>
      <c r="B56" s="6" t="s">
        <v>232</v>
      </c>
      <c r="C56" s="6" t="s">
        <v>233</v>
      </c>
      <c r="D56" s="6" t="s">
        <v>229</v>
      </c>
      <c r="E56" s="6" t="s">
        <v>234</v>
      </c>
      <c r="F56" s="6" t="s">
        <v>235</v>
      </c>
      <c r="G56" s="6"/>
    </row>
    <row r="57">
      <c r="A57" s="6" t="s">
        <v>236</v>
      </c>
      <c r="B57" s="6" t="s">
        <v>236</v>
      </c>
      <c r="C57" s="6" t="s">
        <v>228</v>
      </c>
      <c r="D57" s="6" t="s">
        <v>229</v>
      </c>
      <c r="F57" s="6" t="s">
        <v>237</v>
      </c>
      <c r="G57" s="6"/>
    </row>
    <row r="58">
      <c r="A58" s="6" t="s">
        <v>236</v>
      </c>
      <c r="B58" s="6" t="s">
        <v>236</v>
      </c>
      <c r="C58" s="6" t="s">
        <v>228</v>
      </c>
      <c r="D58" s="6" t="s">
        <v>229</v>
      </c>
      <c r="F58" s="6" t="s">
        <v>237</v>
      </c>
      <c r="G58" s="6"/>
    </row>
    <row r="59">
      <c r="A59" s="6" t="s">
        <v>238</v>
      </c>
      <c r="B59" s="6" t="s">
        <v>239</v>
      </c>
      <c r="C59" s="6" t="s">
        <v>240</v>
      </c>
      <c r="D59" s="6" t="s">
        <v>229</v>
      </c>
      <c r="E59" s="6" t="s">
        <v>241</v>
      </c>
      <c r="F59" s="6" t="s">
        <v>242</v>
      </c>
      <c r="G59" s="6"/>
    </row>
    <row r="60">
      <c r="A60" s="6" t="s">
        <v>243</v>
      </c>
      <c r="B60" s="6" t="s">
        <v>243</v>
      </c>
      <c r="C60" s="6" t="s">
        <v>244</v>
      </c>
      <c r="D60" s="6" t="s">
        <v>147</v>
      </c>
      <c r="E60" s="12" t="s">
        <v>245</v>
      </c>
      <c r="F60" s="6" t="s">
        <v>246</v>
      </c>
      <c r="G60" s="6"/>
    </row>
    <row r="61">
      <c r="A61" s="6" t="s">
        <v>247</v>
      </c>
      <c r="B61" s="6" t="s">
        <v>247</v>
      </c>
      <c r="C61" s="6" t="s">
        <v>248</v>
      </c>
      <c r="D61" s="6" t="s">
        <v>229</v>
      </c>
      <c r="E61" s="6" t="s">
        <v>249</v>
      </c>
      <c r="F61" s="6" t="s">
        <v>250</v>
      </c>
      <c r="G61" s="6"/>
    </row>
    <row r="62">
      <c r="A62" s="6" t="s">
        <v>251</v>
      </c>
      <c r="B62" s="6" t="s">
        <v>251</v>
      </c>
      <c r="C62" s="6" t="s">
        <v>228</v>
      </c>
      <c r="D62" s="6" t="s">
        <v>229</v>
      </c>
      <c r="F62" s="6" t="s">
        <v>252</v>
      </c>
      <c r="G62" s="6"/>
    </row>
    <row r="63">
      <c r="A63" s="13" t="s">
        <v>238</v>
      </c>
      <c r="B63" s="13" t="s">
        <v>253</v>
      </c>
      <c r="C63" s="13" t="s">
        <v>240</v>
      </c>
      <c r="D63" s="13" t="s">
        <v>229</v>
      </c>
      <c r="E63" s="13" t="s">
        <v>241</v>
      </c>
      <c r="F63" s="6" t="s">
        <v>254</v>
      </c>
      <c r="G63" s="6"/>
      <c r="H63" s="14"/>
      <c r="I63" s="14"/>
      <c r="J63" s="14"/>
      <c r="K63" s="14"/>
      <c r="L63" s="14"/>
      <c r="M63" s="14"/>
      <c r="N63" s="14"/>
      <c r="O63" s="14"/>
      <c r="P63" s="14"/>
      <c r="Q63" s="14"/>
      <c r="R63" s="14"/>
      <c r="S63" s="14"/>
      <c r="T63" s="14"/>
      <c r="U63" s="14"/>
      <c r="V63" s="14"/>
      <c r="W63" s="14"/>
      <c r="X63" s="14"/>
      <c r="Y63" s="14"/>
      <c r="Z63" s="14"/>
      <c r="AA63" s="14"/>
    </row>
    <row r="64">
      <c r="A64" s="6" t="s">
        <v>238</v>
      </c>
      <c r="B64" s="6" t="s">
        <v>255</v>
      </c>
      <c r="C64" s="6" t="s">
        <v>240</v>
      </c>
      <c r="D64" s="6" t="s">
        <v>229</v>
      </c>
      <c r="E64" s="6" t="s">
        <v>241</v>
      </c>
      <c r="F64" s="6" t="s">
        <v>256</v>
      </c>
      <c r="G64" s="6"/>
    </row>
    <row r="65">
      <c r="A65" s="6" t="s">
        <v>257</v>
      </c>
      <c r="B65" s="6" t="s">
        <v>257</v>
      </c>
      <c r="C65" s="6" t="s">
        <v>228</v>
      </c>
      <c r="D65" s="6" t="s">
        <v>229</v>
      </c>
      <c r="F65" s="6" t="s">
        <v>258</v>
      </c>
      <c r="G65" s="6"/>
    </row>
    <row r="66">
      <c r="A66" s="6" t="s">
        <v>259</v>
      </c>
      <c r="B66" s="6" t="s">
        <v>259</v>
      </c>
      <c r="C66" s="6" t="s">
        <v>260</v>
      </c>
      <c r="D66" s="6" t="s">
        <v>8</v>
      </c>
      <c r="E66" s="6" t="s">
        <v>261</v>
      </c>
      <c r="F66" s="6" t="s">
        <v>262</v>
      </c>
      <c r="G66" s="6"/>
    </row>
    <row r="67">
      <c r="A67" s="6" t="s">
        <v>263</v>
      </c>
      <c r="B67" s="6" t="s">
        <v>263</v>
      </c>
      <c r="C67" s="6" t="s">
        <v>264</v>
      </c>
      <c r="D67" s="6" t="s">
        <v>8</v>
      </c>
      <c r="E67" s="6" t="s">
        <v>265</v>
      </c>
      <c r="F67" s="6" t="s">
        <v>266</v>
      </c>
      <c r="G67" s="6"/>
    </row>
    <row r="68">
      <c r="A68" s="6" t="s">
        <v>238</v>
      </c>
      <c r="B68" s="6" t="s">
        <v>267</v>
      </c>
      <c r="C68" s="6" t="s">
        <v>240</v>
      </c>
      <c r="D68" s="6" t="s">
        <v>229</v>
      </c>
      <c r="E68" s="6" t="s">
        <v>241</v>
      </c>
      <c r="F68" s="6" t="s">
        <v>268</v>
      </c>
      <c r="G68" s="6"/>
    </row>
    <row r="69">
      <c r="A69" s="13" t="s">
        <v>238</v>
      </c>
      <c r="B69" s="13" t="s">
        <v>269</v>
      </c>
      <c r="C69" s="13" t="s">
        <v>240</v>
      </c>
      <c r="D69" s="13" t="s">
        <v>229</v>
      </c>
      <c r="E69" s="13" t="s">
        <v>241</v>
      </c>
      <c r="F69" s="6" t="s">
        <v>270</v>
      </c>
      <c r="G69" s="6"/>
      <c r="H69" s="14"/>
      <c r="I69" s="14"/>
      <c r="J69" s="14"/>
      <c r="K69" s="14"/>
      <c r="L69" s="14"/>
      <c r="M69" s="14"/>
      <c r="N69" s="14"/>
      <c r="O69" s="14"/>
      <c r="P69" s="14"/>
      <c r="Q69" s="14"/>
      <c r="R69" s="14"/>
      <c r="S69" s="14"/>
      <c r="T69" s="14"/>
      <c r="U69" s="14"/>
      <c r="V69" s="14"/>
      <c r="W69" s="14"/>
      <c r="X69" s="14"/>
      <c r="Y69" s="14"/>
      <c r="Z69" s="14"/>
      <c r="AA69" s="14"/>
    </row>
    <row r="70">
      <c r="A70" s="6" t="s">
        <v>238</v>
      </c>
      <c r="B70" s="6" t="s">
        <v>269</v>
      </c>
      <c r="C70" s="6" t="s">
        <v>240</v>
      </c>
      <c r="D70" s="6" t="s">
        <v>229</v>
      </c>
      <c r="E70" s="6" t="s">
        <v>241</v>
      </c>
      <c r="F70" s="6" t="s">
        <v>270</v>
      </c>
      <c r="G70" s="6"/>
    </row>
    <row r="71">
      <c r="A71" s="6" t="s">
        <v>271</v>
      </c>
      <c r="B71" s="6" t="s">
        <v>271</v>
      </c>
      <c r="C71" s="6" t="s">
        <v>264</v>
      </c>
      <c r="D71" s="6" t="s">
        <v>8</v>
      </c>
      <c r="E71" s="6" t="s">
        <v>265</v>
      </c>
      <c r="F71" s="6" t="s">
        <v>272</v>
      </c>
      <c r="G71" s="6"/>
    </row>
    <row r="72">
      <c r="A72" s="6" t="s">
        <v>273</v>
      </c>
      <c r="B72" s="6" t="s">
        <v>273</v>
      </c>
      <c r="C72" s="6" t="s">
        <v>264</v>
      </c>
      <c r="D72" s="6" t="s">
        <v>8</v>
      </c>
      <c r="E72" s="6" t="s">
        <v>265</v>
      </c>
      <c r="F72" s="6" t="s">
        <v>274</v>
      </c>
      <c r="G72" s="6"/>
    </row>
    <row r="73">
      <c r="A73" s="6" t="s">
        <v>275</v>
      </c>
      <c r="B73" s="6" t="s">
        <v>275</v>
      </c>
      <c r="C73" s="6" t="s">
        <v>264</v>
      </c>
      <c r="D73" s="6" t="s">
        <v>8</v>
      </c>
      <c r="E73" s="6" t="s">
        <v>265</v>
      </c>
      <c r="F73" s="6" t="s">
        <v>276</v>
      </c>
      <c r="G73" s="6"/>
    </row>
    <row r="74">
      <c r="A74" s="6" t="s">
        <v>277</v>
      </c>
      <c r="B74" s="6" t="s">
        <v>277</v>
      </c>
      <c r="C74" s="6" t="s">
        <v>264</v>
      </c>
      <c r="D74" s="6" t="s">
        <v>8</v>
      </c>
      <c r="E74" s="6" t="s">
        <v>265</v>
      </c>
      <c r="F74" s="6" t="s">
        <v>276</v>
      </c>
      <c r="G74" s="6"/>
    </row>
    <row r="75">
      <c r="A75" s="6" t="s">
        <v>278</v>
      </c>
      <c r="B75" s="6" t="s">
        <v>278</v>
      </c>
      <c r="C75" s="6" t="s">
        <v>279</v>
      </c>
      <c r="D75" s="6" t="s">
        <v>8</v>
      </c>
      <c r="E75" s="6" t="s">
        <v>280</v>
      </c>
      <c r="F75" s="6" t="s">
        <v>281</v>
      </c>
      <c r="G75" s="6"/>
    </row>
    <row r="76">
      <c r="A76" s="6" t="s">
        <v>282</v>
      </c>
      <c r="B76" s="6" t="s">
        <v>282</v>
      </c>
      <c r="C76" s="6" t="s">
        <v>283</v>
      </c>
      <c r="D76" s="6" t="s">
        <v>8</v>
      </c>
      <c r="E76" s="6" t="s">
        <v>284</v>
      </c>
      <c r="F76" s="6" t="s">
        <v>285</v>
      </c>
      <c r="G76" s="6"/>
    </row>
    <row r="77">
      <c r="A77" s="6" t="s">
        <v>286</v>
      </c>
      <c r="B77" s="6" t="s">
        <v>286</v>
      </c>
      <c r="C77" s="6" t="s">
        <v>283</v>
      </c>
      <c r="D77" s="6" t="s">
        <v>8</v>
      </c>
      <c r="E77" s="6" t="s">
        <v>287</v>
      </c>
      <c r="F77" s="6" t="s">
        <v>288</v>
      </c>
      <c r="G77" s="6"/>
    </row>
    <row r="78">
      <c r="A78" s="6" t="s">
        <v>289</v>
      </c>
      <c r="B78" s="6" t="s">
        <v>289</v>
      </c>
      <c r="C78" s="6" t="s">
        <v>290</v>
      </c>
      <c r="D78" s="6" t="s">
        <v>8</v>
      </c>
      <c r="E78" s="6" t="s">
        <v>291</v>
      </c>
      <c r="F78" s="6" t="s">
        <v>292</v>
      </c>
      <c r="G78" s="6"/>
    </row>
    <row r="79">
      <c r="A79" s="6" t="s">
        <v>293</v>
      </c>
      <c r="B79" s="6" t="s">
        <v>293</v>
      </c>
      <c r="C79" s="6" t="s">
        <v>283</v>
      </c>
      <c r="D79" s="6" t="s">
        <v>8</v>
      </c>
      <c r="E79" s="6" t="s">
        <v>294</v>
      </c>
      <c r="F79" s="6" t="s">
        <v>295</v>
      </c>
      <c r="G79" s="6"/>
    </row>
    <row r="80">
      <c r="A80" s="6" t="s">
        <v>296</v>
      </c>
      <c r="B80" s="6" t="s">
        <v>296</v>
      </c>
      <c r="C80" s="6" t="s">
        <v>283</v>
      </c>
      <c r="D80" s="6" t="s">
        <v>8</v>
      </c>
      <c r="E80" s="6" t="s">
        <v>294</v>
      </c>
      <c r="F80" s="6" t="s">
        <v>297</v>
      </c>
      <c r="G80" s="6"/>
    </row>
    <row r="81">
      <c r="A81" s="6" t="s">
        <v>298</v>
      </c>
      <c r="B81" s="6" t="s">
        <v>298</v>
      </c>
      <c r="C81" s="6" t="s">
        <v>283</v>
      </c>
      <c r="D81" s="6" t="s">
        <v>8</v>
      </c>
      <c r="E81" s="6" t="s">
        <v>294</v>
      </c>
      <c r="F81" s="6" t="s">
        <v>299</v>
      </c>
      <c r="G81" s="6"/>
    </row>
    <row r="82">
      <c r="A82" s="6" t="s">
        <v>300</v>
      </c>
      <c r="B82" s="6" t="s">
        <v>300</v>
      </c>
      <c r="C82" s="6" t="s">
        <v>283</v>
      </c>
      <c r="D82" s="6" t="s">
        <v>8</v>
      </c>
      <c r="E82" s="6" t="s">
        <v>294</v>
      </c>
      <c r="F82" s="6" t="s">
        <v>301</v>
      </c>
      <c r="G82" s="6"/>
    </row>
    <row r="83">
      <c r="A83" s="6" t="s">
        <v>302</v>
      </c>
      <c r="B83" s="6" t="s">
        <v>302</v>
      </c>
      <c r="C83" s="6" t="s">
        <v>228</v>
      </c>
      <c r="D83" s="6" t="s">
        <v>229</v>
      </c>
      <c r="F83" s="6"/>
      <c r="G83" s="6"/>
    </row>
    <row r="84">
      <c r="A84" s="6" t="s">
        <v>303</v>
      </c>
      <c r="B84" s="6" t="s">
        <v>303</v>
      </c>
      <c r="C84" s="6" t="s">
        <v>283</v>
      </c>
      <c r="D84" s="6" t="s">
        <v>8</v>
      </c>
      <c r="E84" s="6" t="s">
        <v>304</v>
      </c>
      <c r="F84" s="6" t="s">
        <v>305</v>
      </c>
      <c r="G84" s="6"/>
    </row>
    <row r="85">
      <c r="A85" s="6" t="s">
        <v>306</v>
      </c>
      <c r="B85" s="6" t="s">
        <v>306</v>
      </c>
      <c r="C85" s="6" t="s">
        <v>283</v>
      </c>
      <c r="D85" s="6" t="s">
        <v>8</v>
      </c>
      <c r="E85" s="6" t="s">
        <v>307</v>
      </c>
      <c r="F85" s="6" t="s">
        <v>308</v>
      </c>
      <c r="G85" s="6"/>
    </row>
    <row r="86">
      <c r="A86" s="6" t="s">
        <v>238</v>
      </c>
      <c r="B86" s="11" t="s">
        <v>309</v>
      </c>
      <c r="C86" s="6" t="s">
        <v>240</v>
      </c>
      <c r="D86" s="6" t="s">
        <v>229</v>
      </c>
      <c r="E86" s="6" t="s">
        <v>241</v>
      </c>
      <c r="F86" s="6" t="s">
        <v>310</v>
      </c>
      <c r="G86" s="6"/>
    </row>
    <row r="87">
      <c r="A87" s="6" t="s">
        <v>238</v>
      </c>
      <c r="B87" s="6" t="s">
        <v>311</v>
      </c>
      <c r="F87" s="6" t="s">
        <v>312</v>
      </c>
      <c r="G87" s="6"/>
    </row>
    <row r="88">
      <c r="A88" s="6" t="s">
        <v>238</v>
      </c>
      <c r="B88" s="6" t="s">
        <v>313</v>
      </c>
      <c r="C88" s="6" t="s">
        <v>240</v>
      </c>
      <c r="D88" s="6" t="s">
        <v>229</v>
      </c>
      <c r="E88" s="6" t="s">
        <v>241</v>
      </c>
      <c r="F88" s="6" t="s">
        <v>314</v>
      </c>
      <c r="G88" s="6"/>
    </row>
    <row r="89">
      <c r="A89" s="6" t="s">
        <v>315</v>
      </c>
      <c r="B89" s="6" t="s">
        <v>315</v>
      </c>
      <c r="C89" s="6" t="s">
        <v>316</v>
      </c>
      <c r="D89" s="6" t="s">
        <v>229</v>
      </c>
      <c r="E89" s="6" t="s">
        <v>317</v>
      </c>
      <c r="F89" s="6" t="s">
        <v>318</v>
      </c>
      <c r="G89" s="6"/>
    </row>
    <row r="90">
      <c r="A90" s="6" t="s">
        <v>319</v>
      </c>
      <c r="B90" s="6" t="s">
        <v>319</v>
      </c>
      <c r="C90" s="6" t="s">
        <v>228</v>
      </c>
      <c r="D90" s="6" t="s">
        <v>229</v>
      </c>
      <c r="E90" s="15"/>
      <c r="F90" s="6" t="s">
        <v>320</v>
      </c>
      <c r="G90" s="6"/>
    </row>
    <row r="91">
      <c r="A91" s="6" t="s">
        <v>321</v>
      </c>
      <c r="B91" s="6" t="s">
        <v>321</v>
      </c>
      <c r="C91" s="6" t="s">
        <v>322</v>
      </c>
      <c r="D91" s="6" t="s">
        <v>229</v>
      </c>
      <c r="E91" s="6"/>
      <c r="F91" s="6" t="s">
        <v>323</v>
      </c>
      <c r="G91" s="6"/>
    </row>
    <row r="92">
      <c r="A92" s="6" t="s">
        <v>324</v>
      </c>
      <c r="B92" s="6" t="s">
        <v>324</v>
      </c>
      <c r="C92" s="6" t="s">
        <v>322</v>
      </c>
      <c r="D92" s="6" t="s">
        <v>229</v>
      </c>
      <c r="E92" s="6" t="s">
        <v>325</v>
      </c>
      <c r="F92" s="6" t="s">
        <v>326</v>
      </c>
      <c r="G92" s="6"/>
    </row>
    <row r="93">
      <c r="A93" s="6" t="s">
        <v>327</v>
      </c>
      <c r="B93" s="6" t="s">
        <v>327</v>
      </c>
      <c r="C93" s="6" t="s">
        <v>228</v>
      </c>
      <c r="D93" s="6" t="s">
        <v>229</v>
      </c>
      <c r="F93" s="6" t="s">
        <v>328</v>
      </c>
      <c r="G93" s="6"/>
    </row>
    <row r="94">
      <c r="A94" s="6" t="s">
        <v>329</v>
      </c>
      <c r="B94" s="6" t="s">
        <v>329</v>
      </c>
      <c r="C94" s="6" t="s">
        <v>330</v>
      </c>
      <c r="D94" s="6" t="s">
        <v>229</v>
      </c>
      <c r="E94" s="6" t="s">
        <v>331</v>
      </c>
      <c r="F94" s="6" t="s">
        <v>332</v>
      </c>
      <c r="G94" s="6"/>
    </row>
    <row r="95">
      <c r="A95" s="6" t="s">
        <v>333</v>
      </c>
      <c r="B95" s="6" t="s">
        <v>333</v>
      </c>
      <c r="C95" s="6" t="s">
        <v>233</v>
      </c>
      <c r="D95" s="6" t="s">
        <v>229</v>
      </c>
      <c r="F95" s="6" t="s">
        <v>334</v>
      </c>
      <c r="G95" s="6"/>
    </row>
    <row r="96">
      <c r="A96" s="6" t="s">
        <v>335</v>
      </c>
      <c r="B96" s="6" t="s">
        <v>335</v>
      </c>
      <c r="C96" s="6" t="s">
        <v>228</v>
      </c>
      <c r="D96" s="6" t="s">
        <v>229</v>
      </c>
      <c r="F96" s="6" t="s">
        <v>336</v>
      </c>
      <c r="G96" s="6"/>
    </row>
    <row r="97">
      <c r="A97" s="6" t="s">
        <v>337</v>
      </c>
      <c r="B97" s="6" t="s">
        <v>337</v>
      </c>
      <c r="C97" s="6" t="s">
        <v>228</v>
      </c>
      <c r="D97" s="6" t="s">
        <v>229</v>
      </c>
      <c r="F97" s="6" t="s">
        <v>338</v>
      </c>
      <c r="G97" s="6"/>
    </row>
    <row r="98">
      <c r="A98" s="6" t="s">
        <v>339</v>
      </c>
      <c r="B98" s="6" t="s">
        <v>339</v>
      </c>
      <c r="C98" s="6" t="s">
        <v>228</v>
      </c>
      <c r="D98" s="6" t="s">
        <v>229</v>
      </c>
      <c r="F98" s="6" t="s">
        <v>340</v>
      </c>
      <c r="G98" s="6"/>
    </row>
    <row r="99">
      <c r="A99" s="6" t="s">
        <v>341</v>
      </c>
      <c r="B99" s="6" t="s">
        <v>341</v>
      </c>
      <c r="C99" s="6" t="s">
        <v>228</v>
      </c>
      <c r="D99" s="6" t="s">
        <v>229</v>
      </c>
      <c r="F99" s="6" t="s">
        <v>342</v>
      </c>
      <c r="G99" s="6"/>
    </row>
    <row r="100">
      <c r="A100" s="6" t="s">
        <v>343</v>
      </c>
      <c r="B100" s="6" t="s">
        <v>344</v>
      </c>
      <c r="C100" s="6" t="s">
        <v>223</v>
      </c>
      <c r="D100" s="6" t="s">
        <v>345</v>
      </c>
      <c r="E100" s="6" t="s">
        <v>346</v>
      </c>
      <c r="F100" s="6" t="s">
        <v>347</v>
      </c>
      <c r="G100" s="6"/>
    </row>
    <row r="101">
      <c r="A101" s="6" t="s">
        <v>348</v>
      </c>
      <c r="B101" s="6" t="s">
        <v>348</v>
      </c>
      <c r="C101" s="6" t="s">
        <v>349</v>
      </c>
      <c r="D101" s="6" t="s">
        <v>229</v>
      </c>
      <c r="E101" s="6" t="s">
        <v>350</v>
      </c>
      <c r="F101" s="6" t="s">
        <v>351</v>
      </c>
      <c r="G101" s="6"/>
    </row>
    <row r="102">
      <c r="A102" s="6" t="s">
        <v>352</v>
      </c>
      <c r="B102" s="6" t="s">
        <v>352</v>
      </c>
      <c r="C102" s="6" t="s">
        <v>349</v>
      </c>
      <c r="D102" s="6" t="s">
        <v>229</v>
      </c>
      <c r="E102" s="6" t="s">
        <v>350</v>
      </c>
      <c r="F102" s="6" t="s">
        <v>353</v>
      </c>
      <c r="G102" s="6"/>
    </row>
    <row r="103">
      <c r="A103" s="6" t="s">
        <v>354</v>
      </c>
      <c r="B103" s="6" t="s">
        <v>354</v>
      </c>
      <c r="C103" s="6" t="s">
        <v>349</v>
      </c>
      <c r="D103" s="6" t="s">
        <v>229</v>
      </c>
      <c r="E103" s="6" t="s">
        <v>355</v>
      </c>
      <c r="F103" s="6" t="s">
        <v>353</v>
      </c>
      <c r="G103" s="6"/>
    </row>
    <row r="104">
      <c r="A104" s="6" t="s">
        <v>356</v>
      </c>
      <c r="B104" s="6" t="s">
        <v>356</v>
      </c>
      <c r="C104" s="6" t="s">
        <v>349</v>
      </c>
      <c r="D104" s="6" t="s">
        <v>229</v>
      </c>
      <c r="E104" s="6" t="s">
        <v>355</v>
      </c>
      <c r="F104" s="6" t="s">
        <v>353</v>
      </c>
      <c r="G104" s="6"/>
    </row>
    <row r="105">
      <c r="A105" s="6" t="s">
        <v>357</v>
      </c>
      <c r="B105" s="6" t="s">
        <v>357</v>
      </c>
      <c r="C105" s="6" t="s">
        <v>349</v>
      </c>
      <c r="D105" s="6" t="s">
        <v>229</v>
      </c>
      <c r="E105" s="6" t="s">
        <v>355</v>
      </c>
      <c r="F105" s="6" t="s">
        <v>353</v>
      </c>
      <c r="G105" s="6"/>
    </row>
    <row r="106">
      <c r="A106" s="6" t="s">
        <v>358</v>
      </c>
      <c r="B106" s="6" t="s">
        <v>358</v>
      </c>
      <c r="C106" s="6" t="s">
        <v>349</v>
      </c>
      <c r="D106" s="6" t="s">
        <v>229</v>
      </c>
      <c r="E106" s="6" t="s">
        <v>355</v>
      </c>
      <c r="F106" s="6" t="s">
        <v>353</v>
      </c>
      <c r="G106" s="6"/>
    </row>
    <row r="107">
      <c r="A107" s="6" t="s">
        <v>359</v>
      </c>
      <c r="B107" s="6" t="s">
        <v>359</v>
      </c>
      <c r="C107" s="6" t="s">
        <v>349</v>
      </c>
      <c r="D107" s="6" t="s">
        <v>229</v>
      </c>
      <c r="E107" s="6" t="s">
        <v>355</v>
      </c>
      <c r="F107" s="6" t="s">
        <v>353</v>
      </c>
      <c r="G107" s="6"/>
    </row>
    <row r="108">
      <c r="A108" s="6" t="s">
        <v>360</v>
      </c>
      <c r="B108" s="6" t="s">
        <v>360</v>
      </c>
      <c r="C108" s="6" t="s">
        <v>349</v>
      </c>
      <c r="D108" s="6" t="s">
        <v>229</v>
      </c>
      <c r="E108" s="6" t="s">
        <v>355</v>
      </c>
      <c r="F108" s="6" t="s">
        <v>353</v>
      </c>
      <c r="G108" s="6"/>
    </row>
    <row r="109">
      <c r="A109" s="6" t="s">
        <v>361</v>
      </c>
      <c r="B109" s="6" t="s">
        <v>361</v>
      </c>
      <c r="C109" s="6" t="s">
        <v>349</v>
      </c>
      <c r="D109" s="6" t="s">
        <v>229</v>
      </c>
      <c r="E109" s="6" t="s">
        <v>355</v>
      </c>
      <c r="F109" s="6" t="s">
        <v>353</v>
      </c>
      <c r="G109" s="6"/>
    </row>
    <row r="110">
      <c r="A110" s="6" t="s">
        <v>362</v>
      </c>
      <c r="B110" s="6" t="s">
        <v>362</v>
      </c>
      <c r="C110" s="6" t="s">
        <v>349</v>
      </c>
      <c r="D110" s="6" t="s">
        <v>229</v>
      </c>
      <c r="E110" s="6" t="s">
        <v>355</v>
      </c>
      <c r="F110" s="6" t="s">
        <v>353</v>
      </c>
      <c r="G110" s="6"/>
    </row>
    <row r="111">
      <c r="A111" s="6" t="s">
        <v>363</v>
      </c>
      <c r="B111" s="6" t="s">
        <v>363</v>
      </c>
      <c r="C111" s="6" t="s">
        <v>349</v>
      </c>
      <c r="D111" s="6" t="s">
        <v>229</v>
      </c>
      <c r="E111" s="6" t="s">
        <v>355</v>
      </c>
      <c r="F111" s="6" t="s">
        <v>353</v>
      </c>
      <c r="G111" s="6"/>
    </row>
    <row r="112">
      <c r="A112" s="6" t="s">
        <v>364</v>
      </c>
      <c r="B112" s="6" t="s">
        <v>364</v>
      </c>
      <c r="C112" s="6" t="s">
        <v>349</v>
      </c>
      <c r="D112" s="6" t="s">
        <v>229</v>
      </c>
      <c r="E112" s="6" t="s">
        <v>355</v>
      </c>
      <c r="F112" s="6" t="s">
        <v>353</v>
      </c>
      <c r="G112" s="6"/>
    </row>
    <row r="113">
      <c r="A113" s="6" t="s">
        <v>365</v>
      </c>
      <c r="B113" s="6" t="s">
        <v>365</v>
      </c>
      <c r="C113" s="6" t="s">
        <v>349</v>
      </c>
      <c r="D113" s="6" t="s">
        <v>229</v>
      </c>
      <c r="E113" s="6" t="s">
        <v>355</v>
      </c>
      <c r="F113" s="6" t="s">
        <v>353</v>
      </c>
      <c r="G113" s="6"/>
    </row>
    <row r="114">
      <c r="A114" s="6" t="s">
        <v>366</v>
      </c>
      <c r="B114" s="6" t="s">
        <v>366</v>
      </c>
      <c r="C114" s="6" t="s">
        <v>322</v>
      </c>
      <c r="D114" s="6" t="s">
        <v>229</v>
      </c>
      <c r="E114" s="6" t="s">
        <v>367</v>
      </c>
      <c r="F114" s="6" t="s">
        <v>368</v>
      </c>
      <c r="G114" s="6"/>
    </row>
    <row r="115">
      <c r="A115" s="6" t="s">
        <v>369</v>
      </c>
      <c r="B115" s="6" t="s">
        <v>369</v>
      </c>
      <c r="C115" s="6" t="s">
        <v>322</v>
      </c>
      <c r="D115" s="6" t="s">
        <v>229</v>
      </c>
      <c r="F115" s="6" t="s">
        <v>370</v>
      </c>
      <c r="G115" s="6"/>
    </row>
    <row r="116">
      <c r="A116" s="6" t="s">
        <v>371</v>
      </c>
      <c r="B116" s="6" t="s">
        <v>371</v>
      </c>
      <c r="C116" s="6" t="s">
        <v>322</v>
      </c>
      <c r="D116" s="6" t="s">
        <v>229</v>
      </c>
      <c r="F116" s="6" t="s">
        <v>372</v>
      </c>
      <c r="G116" s="6"/>
    </row>
    <row r="117">
      <c r="A117" s="6" t="s">
        <v>373</v>
      </c>
      <c r="B117" s="6" t="s">
        <v>373</v>
      </c>
      <c r="C117" s="6" t="s">
        <v>228</v>
      </c>
      <c r="D117" s="6" t="s">
        <v>229</v>
      </c>
      <c r="E117" s="6" t="s">
        <v>374</v>
      </c>
      <c r="F117" s="6" t="s">
        <v>375</v>
      </c>
      <c r="G117" s="6"/>
    </row>
    <row r="118">
      <c r="A118" s="6" t="s">
        <v>376</v>
      </c>
      <c r="B118" s="6" t="s">
        <v>376</v>
      </c>
      <c r="C118" s="6" t="s">
        <v>228</v>
      </c>
      <c r="D118" s="6" t="s">
        <v>229</v>
      </c>
      <c r="E118" s="6" t="s">
        <v>374</v>
      </c>
      <c r="F118" s="6" t="s">
        <v>375</v>
      </c>
      <c r="G118" s="6"/>
    </row>
    <row r="119">
      <c r="A119" s="6" t="s">
        <v>377</v>
      </c>
      <c r="B119" s="6" t="s">
        <v>377</v>
      </c>
      <c r="C119" s="6" t="s">
        <v>228</v>
      </c>
      <c r="D119" s="6" t="s">
        <v>229</v>
      </c>
      <c r="F119" s="6" t="s">
        <v>378</v>
      </c>
      <c r="G119" s="6"/>
    </row>
    <row r="120">
      <c r="A120" s="6" t="s">
        <v>379</v>
      </c>
      <c r="B120" s="6" t="s">
        <v>379</v>
      </c>
      <c r="C120" s="6" t="s">
        <v>228</v>
      </c>
      <c r="D120" s="6" t="s">
        <v>229</v>
      </c>
      <c r="F120" s="6" t="s">
        <v>380</v>
      </c>
      <c r="G120" s="6"/>
    </row>
    <row r="121">
      <c r="A121" s="6" t="s">
        <v>381</v>
      </c>
      <c r="B121" s="6" t="s">
        <v>381</v>
      </c>
      <c r="C121" s="6" t="s">
        <v>233</v>
      </c>
      <c r="D121" s="6" t="s">
        <v>229</v>
      </c>
      <c r="F121" s="6" t="s">
        <v>382</v>
      </c>
      <c r="G121" s="6"/>
    </row>
    <row r="122">
      <c r="A122" s="6" t="s">
        <v>383</v>
      </c>
      <c r="B122" s="6" t="s">
        <v>383</v>
      </c>
      <c r="C122" s="6" t="s">
        <v>233</v>
      </c>
      <c r="D122" s="6" t="s">
        <v>229</v>
      </c>
      <c r="F122" s="6" t="s">
        <v>384</v>
      </c>
      <c r="G122" s="6"/>
    </row>
    <row r="123">
      <c r="A123" s="6" t="s">
        <v>385</v>
      </c>
      <c r="B123" s="6" t="s">
        <v>385</v>
      </c>
      <c r="C123" s="6" t="s">
        <v>233</v>
      </c>
      <c r="D123" s="6" t="s">
        <v>229</v>
      </c>
      <c r="F123" s="6" t="s">
        <v>386</v>
      </c>
      <c r="G123" s="6"/>
    </row>
    <row r="124">
      <c r="A124" s="6" t="s">
        <v>387</v>
      </c>
      <c r="B124" s="6" t="s">
        <v>387</v>
      </c>
      <c r="C124" s="6" t="s">
        <v>233</v>
      </c>
      <c r="D124" s="6" t="s">
        <v>229</v>
      </c>
      <c r="F124" s="6" t="s">
        <v>388</v>
      </c>
      <c r="G124" s="6"/>
    </row>
    <row r="125">
      <c r="A125" s="6" t="s">
        <v>389</v>
      </c>
      <c r="B125" s="6" t="s">
        <v>389</v>
      </c>
      <c r="C125" s="6" t="s">
        <v>233</v>
      </c>
      <c r="D125" s="6" t="s">
        <v>229</v>
      </c>
      <c r="F125" s="6" t="s">
        <v>390</v>
      </c>
      <c r="G125" s="6"/>
    </row>
    <row r="126">
      <c r="A126" s="6" t="s">
        <v>391</v>
      </c>
      <c r="B126" s="6" t="s">
        <v>392</v>
      </c>
      <c r="C126" s="6" t="s">
        <v>233</v>
      </c>
      <c r="D126" s="6" t="s">
        <v>229</v>
      </c>
      <c r="F126" s="6" t="s">
        <v>393</v>
      </c>
      <c r="G126" s="6"/>
    </row>
    <row r="127">
      <c r="A127" s="6" t="s">
        <v>394</v>
      </c>
      <c r="B127" s="6" t="s">
        <v>394</v>
      </c>
      <c r="C127" s="6" t="s">
        <v>233</v>
      </c>
      <c r="D127" s="6" t="s">
        <v>229</v>
      </c>
      <c r="F127" s="6" t="s">
        <v>395</v>
      </c>
      <c r="G127" s="6"/>
    </row>
    <row r="128">
      <c r="A128" s="6" t="s">
        <v>396</v>
      </c>
      <c r="B128" s="6" t="s">
        <v>396</v>
      </c>
      <c r="C128" s="6" t="s">
        <v>233</v>
      </c>
      <c r="D128" s="6" t="s">
        <v>229</v>
      </c>
      <c r="F128" s="6" t="s">
        <v>397</v>
      </c>
      <c r="G128" s="6"/>
    </row>
    <row r="129">
      <c r="A129" s="6" t="s">
        <v>398</v>
      </c>
      <c r="B129" s="6" t="s">
        <v>398</v>
      </c>
      <c r="C129" s="6" t="s">
        <v>233</v>
      </c>
      <c r="D129" s="6" t="s">
        <v>229</v>
      </c>
      <c r="F129" s="6" t="s">
        <v>399</v>
      </c>
      <c r="G129" s="6"/>
    </row>
    <row r="130">
      <c r="A130" s="6" t="s">
        <v>400</v>
      </c>
      <c r="B130" s="6" t="s">
        <v>400</v>
      </c>
      <c r="C130" s="6" t="s">
        <v>228</v>
      </c>
      <c r="D130" s="6" t="s">
        <v>229</v>
      </c>
      <c r="F130" s="6" t="s">
        <v>401</v>
      </c>
      <c r="G130" s="6"/>
    </row>
    <row r="131">
      <c r="A131" s="6" t="s">
        <v>402</v>
      </c>
      <c r="B131" s="6" t="s">
        <v>402</v>
      </c>
      <c r="C131" s="6" t="s">
        <v>228</v>
      </c>
      <c r="D131" s="6" t="s">
        <v>229</v>
      </c>
      <c r="F131" s="6" t="s">
        <v>403</v>
      </c>
      <c r="G131" s="6"/>
    </row>
    <row r="132">
      <c r="A132" s="6" t="s">
        <v>404</v>
      </c>
      <c r="B132" s="6" t="s">
        <v>404</v>
      </c>
      <c r="C132" s="6" t="s">
        <v>228</v>
      </c>
      <c r="D132" s="6" t="s">
        <v>229</v>
      </c>
      <c r="F132" s="6" t="s">
        <v>405</v>
      </c>
      <c r="G132" s="6"/>
    </row>
    <row r="133">
      <c r="A133" s="6" t="s">
        <v>406</v>
      </c>
      <c r="B133" s="6" t="s">
        <v>407</v>
      </c>
      <c r="C133" s="6" t="s">
        <v>228</v>
      </c>
      <c r="D133" s="6" t="s">
        <v>229</v>
      </c>
      <c r="F133" s="6" t="s">
        <v>408</v>
      </c>
      <c r="G133" s="6"/>
    </row>
    <row r="134">
      <c r="A134" s="6" t="s">
        <v>409</v>
      </c>
      <c r="B134" s="6" t="s">
        <v>409</v>
      </c>
      <c r="C134" s="6" t="s">
        <v>322</v>
      </c>
      <c r="D134" s="6" t="s">
        <v>229</v>
      </c>
      <c r="E134" s="6" t="s">
        <v>410</v>
      </c>
      <c r="F134" s="6" t="s">
        <v>411</v>
      </c>
      <c r="G134" s="6"/>
    </row>
    <row r="135">
      <c r="A135" s="6" t="s">
        <v>412</v>
      </c>
      <c r="B135" s="6" t="s">
        <v>413</v>
      </c>
      <c r="C135" s="6" t="s">
        <v>414</v>
      </c>
      <c r="D135" s="6" t="s">
        <v>229</v>
      </c>
      <c r="E135" s="6" t="s">
        <v>415</v>
      </c>
      <c r="F135" s="6" t="s">
        <v>416</v>
      </c>
      <c r="G135" s="6"/>
    </row>
    <row r="136">
      <c r="A136" s="6" t="s">
        <v>412</v>
      </c>
      <c r="B136" s="6" t="s">
        <v>413</v>
      </c>
      <c r="C136" s="6" t="s">
        <v>414</v>
      </c>
      <c r="D136" s="6" t="s">
        <v>229</v>
      </c>
      <c r="E136" s="6" t="s">
        <v>415</v>
      </c>
      <c r="F136" s="6" t="s">
        <v>416</v>
      </c>
      <c r="G136" s="6"/>
    </row>
    <row r="137">
      <c r="A137" s="6" t="s">
        <v>412</v>
      </c>
      <c r="B137" s="6" t="s">
        <v>413</v>
      </c>
      <c r="C137" s="6" t="s">
        <v>414</v>
      </c>
      <c r="D137" s="6" t="s">
        <v>229</v>
      </c>
      <c r="E137" s="6" t="s">
        <v>415</v>
      </c>
      <c r="F137" s="6" t="s">
        <v>416</v>
      </c>
      <c r="G137" s="6"/>
    </row>
    <row r="138">
      <c r="A138" s="6" t="s">
        <v>412</v>
      </c>
      <c r="B138" s="6" t="s">
        <v>413</v>
      </c>
      <c r="C138" s="6" t="s">
        <v>414</v>
      </c>
      <c r="D138" s="6" t="s">
        <v>229</v>
      </c>
      <c r="E138" s="6" t="s">
        <v>415</v>
      </c>
      <c r="F138" s="6" t="s">
        <v>416</v>
      </c>
      <c r="G138" s="6"/>
    </row>
    <row r="139">
      <c r="A139" s="6" t="s">
        <v>412</v>
      </c>
      <c r="B139" s="6" t="s">
        <v>413</v>
      </c>
      <c r="C139" s="6" t="s">
        <v>414</v>
      </c>
      <c r="D139" s="6" t="s">
        <v>229</v>
      </c>
      <c r="E139" s="6" t="s">
        <v>415</v>
      </c>
      <c r="F139" s="6" t="s">
        <v>416</v>
      </c>
      <c r="G139" s="6"/>
    </row>
    <row r="140">
      <c r="A140" s="6" t="s">
        <v>417</v>
      </c>
      <c r="B140" s="6" t="s">
        <v>417</v>
      </c>
      <c r="C140" s="6" t="s">
        <v>322</v>
      </c>
      <c r="D140" s="6" t="s">
        <v>229</v>
      </c>
      <c r="F140" s="6" t="s">
        <v>418</v>
      </c>
      <c r="G140" s="6"/>
    </row>
    <row r="141">
      <c r="A141" s="6" t="s">
        <v>419</v>
      </c>
      <c r="B141" s="6" t="s">
        <v>419</v>
      </c>
      <c r="C141" s="6" t="s">
        <v>322</v>
      </c>
      <c r="D141" s="6" t="s">
        <v>229</v>
      </c>
      <c r="F141" s="6" t="s">
        <v>420</v>
      </c>
      <c r="G141" s="6"/>
    </row>
    <row r="142">
      <c r="A142" s="6" t="s">
        <v>421</v>
      </c>
      <c r="B142" s="6" t="s">
        <v>421</v>
      </c>
      <c r="C142" s="6" t="s">
        <v>322</v>
      </c>
      <c r="D142" s="6" t="s">
        <v>229</v>
      </c>
      <c r="F142" s="6" t="s">
        <v>422</v>
      </c>
      <c r="G142" s="6"/>
    </row>
    <row r="143">
      <c r="A143" s="6" t="s">
        <v>423</v>
      </c>
      <c r="B143" s="6" t="s">
        <v>423</v>
      </c>
      <c r="C143" s="6" t="s">
        <v>322</v>
      </c>
      <c r="D143" s="6" t="s">
        <v>229</v>
      </c>
      <c r="F143" s="6" t="s">
        <v>424</v>
      </c>
      <c r="G143" s="6"/>
    </row>
    <row r="144">
      <c r="A144" s="6" t="s">
        <v>425</v>
      </c>
      <c r="B144" s="6" t="s">
        <v>425</v>
      </c>
      <c r="C144" s="6" t="s">
        <v>322</v>
      </c>
      <c r="D144" s="6" t="s">
        <v>229</v>
      </c>
      <c r="F144" s="6" t="s">
        <v>426</v>
      </c>
      <c r="G144" s="6"/>
    </row>
    <row r="145">
      <c r="A145" s="6" t="s">
        <v>427</v>
      </c>
      <c r="B145" s="6" t="s">
        <v>427</v>
      </c>
      <c r="C145" s="6" t="s">
        <v>322</v>
      </c>
      <c r="D145" s="6" t="s">
        <v>229</v>
      </c>
      <c r="F145" s="6" t="s">
        <v>428</v>
      </c>
      <c r="G145" s="6"/>
    </row>
    <row r="146">
      <c r="A146" s="6" t="s">
        <v>429</v>
      </c>
      <c r="B146" s="6" t="s">
        <v>429</v>
      </c>
      <c r="C146" s="6" t="s">
        <v>322</v>
      </c>
      <c r="D146" s="6" t="s">
        <v>229</v>
      </c>
      <c r="F146" s="6" t="s">
        <v>430</v>
      </c>
      <c r="G146" s="6"/>
    </row>
    <row r="147">
      <c r="A147" s="6" t="s">
        <v>431</v>
      </c>
      <c r="B147" s="6" t="s">
        <v>431</v>
      </c>
      <c r="C147" s="4" t="s">
        <v>322</v>
      </c>
      <c r="D147" s="4" t="s">
        <v>229</v>
      </c>
      <c r="F147" s="6" t="s">
        <v>432</v>
      </c>
      <c r="G147" s="6"/>
    </row>
    <row r="148">
      <c r="A148" s="6" t="s">
        <v>433</v>
      </c>
      <c r="B148" s="6" t="s">
        <v>433</v>
      </c>
      <c r="C148" s="4" t="s">
        <v>322</v>
      </c>
      <c r="D148" s="4" t="s">
        <v>229</v>
      </c>
      <c r="F148" s="6" t="s">
        <v>434</v>
      </c>
      <c r="G148" s="6"/>
    </row>
    <row r="149">
      <c r="A149" s="6" t="s">
        <v>435</v>
      </c>
      <c r="B149" s="6" t="s">
        <v>435</v>
      </c>
      <c r="C149" s="4" t="s">
        <v>322</v>
      </c>
      <c r="D149" s="4" t="s">
        <v>229</v>
      </c>
      <c r="F149" s="6" t="s">
        <v>436</v>
      </c>
      <c r="G149" s="6"/>
    </row>
    <row r="150">
      <c r="A150" s="6" t="s">
        <v>435</v>
      </c>
      <c r="B150" s="6" t="s">
        <v>435</v>
      </c>
      <c r="C150" s="4" t="s">
        <v>322</v>
      </c>
      <c r="D150" s="4" t="s">
        <v>229</v>
      </c>
      <c r="F150" s="6" t="s">
        <v>436</v>
      </c>
      <c r="G150" s="6"/>
    </row>
    <row r="151">
      <c r="A151" s="6" t="s">
        <v>437</v>
      </c>
      <c r="B151" s="6" t="s">
        <v>437</v>
      </c>
      <c r="C151" s="4" t="s">
        <v>322</v>
      </c>
      <c r="D151" s="4" t="s">
        <v>229</v>
      </c>
      <c r="F151" s="6" t="s">
        <v>438</v>
      </c>
      <c r="G151" s="6"/>
    </row>
    <row r="152">
      <c r="A152" s="6" t="s">
        <v>437</v>
      </c>
      <c r="B152" s="6" t="s">
        <v>437</v>
      </c>
      <c r="C152" s="4" t="s">
        <v>322</v>
      </c>
      <c r="D152" s="4" t="s">
        <v>229</v>
      </c>
      <c r="F152" s="6" t="s">
        <v>438</v>
      </c>
      <c r="G152" s="6"/>
    </row>
    <row r="153">
      <c r="A153" s="6" t="s">
        <v>412</v>
      </c>
      <c r="B153" s="6" t="s">
        <v>413</v>
      </c>
      <c r="C153" s="6" t="s">
        <v>414</v>
      </c>
      <c r="D153" s="4" t="s">
        <v>229</v>
      </c>
      <c r="E153" s="6" t="s">
        <v>415</v>
      </c>
      <c r="F153" s="6" t="s">
        <v>416</v>
      </c>
      <c r="G153" s="6"/>
    </row>
    <row r="154">
      <c r="A154" s="6" t="s">
        <v>412</v>
      </c>
      <c r="B154" s="6" t="s">
        <v>413</v>
      </c>
      <c r="C154" s="6" t="s">
        <v>414</v>
      </c>
      <c r="D154" s="4" t="s">
        <v>229</v>
      </c>
      <c r="E154" s="6" t="s">
        <v>415</v>
      </c>
      <c r="F154" s="6" t="s">
        <v>416</v>
      </c>
      <c r="G154" s="6"/>
    </row>
    <row r="155">
      <c r="A155" s="6" t="s">
        <v>439</v>
      </c>
      <c r="B155" s="6" t="s">
        <v>440</v>
      </c>
      <c r="C155" s="6" t="s">
        <v>441</v>
      </c>
      <c r="D155" s="4" t="s">
        <v>229</v>
      </c>
      <c r="F155" s="6" t="s">
        <v>442</v>
      </c>
      <c r="G155" s="6"/>
    </row>
    <row r="156">
      <c r="A156" s="6" t="s">
        <v>443</v>
      </c>
      <c r="B156" s="6" t="s">
        <v>443</v>
      </c>
      <c r="C156" s="6" t="s">
        <v>444</v>
      </c>
      <c r="D156" s="4" t="s">
        <v>229</v>
      </c>
      <c r="F156" s="6" t="s">
        <v>445</v>
      </c>
      <c r="G156" s="6"/>
    </row>
    <row r="157">
      <c r="A157" s="6" t="s">
        <v>446</v>
      </c>
      <c r="B157" s="6" t="s">
        <v>446</v>
      </c>
      <c r="C157" s="4" t="s">
        <v>322</v>
      </c>
      <c r="D157" s="4" t="s">
        <v>229</v>
      </c>
      <c r="F157" s="6" t="s">
        <v>447</v>
      </c>
      <c r="G157" s="6"/>
    </row>
    <row r="158">
      <c r="A158" s="6" t="s">
        <v>448</v>
      </c>
      <c r="B158" s="6" t="s">
        <v>448</v>
      </c>
      <c r="C158" s="6" t="s">
        <v>449</v>
      </c>
      <c r="D158" s="6" t="s">
        <v>147</v>
      </c>
      <c r="E158" s="6" t="s">
        <v>450</v>
      </c>
      <c r="F158" s="6" t="s">
        <v>451</v>
      </c>
      <c r="G158" s="6"/>
    </row>
    <row r="159">
      <c r="A159" s="6" t="s">
        <v>452</v>
      </c>
      <c r="B159" s="6" t="s">
        <v>453</v>
      </c>
      <c r="C159" s="6" t="s">
        <v>454</v>
      </c>
      <c r="D159" s="6" t="s">
        <v>455</v>
      </c>
      <c r="E159" s="6" t="s">
        <v>456</v>
      </c>
      <c r="F159" s="6" t="s">
        <v>457</v>
      </c>
      <c r="G159" s="6"/>
    </row>
    <row r="160">
      <c r="A160" s="6" t="s">
        <v>458</v>
      </c>
      <c r="B160" s="6" t="s">
        <v>459</v>
      </c>
      <c r="C160" s="6" t="s">
        <v>460</v>
      </c>
      <c r="D160" s="6" t="s">
        <v>455</v>
      </c>
      <c r="E160" s="6" t="s">
        <v>461</v>
      </c>
      <c r="F160" s="6" t="s">
        <v>462</v>
      </c>
      <c r="G160" s="6"/>
    </row>
    <row r="161">
      <c r="A161" s="6" t="s">
        <v>463</v>
      </c>
      <c r="B161" s="6" t="s">
        <v>464</v>
      </c>
      <c r="C161" s="6" t="s">
        <v>465</v>
      </c>
      <c r="D161" s="6" t="s">
        <v>466</v>
      </c>
      <c r="E161" s="6" t="s">
        <v>467</v>
      </c>
      <c r="F161" s="6" t="s">
        <v>468</v>
      </c>
      <c r="G161" s="6"/>
    </row>
    <row r="162">
      <c r="A162" s="6" t="s">
        <v>469</v>
      </c>
      <c r="B162" s="6" t="s">
        <v>470</v>
      </c>
      <c r="C162" s="6" t="s">
        <v>471</v>
      </c>
      <c r="D162" s="6" t="s">
        <v>466</v>
      </c>
      <c r="E162" s="6" t="s">
        <v>472</v>
      </c>
      <c r="F162" s="6" t="s">
        <v>473</v>
      </c>
      <c r="G162" s="6"/>
    </row>
    <row r="163">
      <c r="A163" s="6" t="s">
        <v>474</v>
      </c>
      <c r="B163" s="6" t="s">
        <v>475</v>
      </c>
      <c r="C163" s="6" t="s">
        <v>476</v>
      </c>
      <c r="D163" s="6" t="s">
        <v>466</v>
      </c>
      <c r="E163" s="6" t="s">
        <v>477</v>
      </c>
      <c r="F163" s="6" t="s">
        <v>478</v>
      </c>
      <c r="G163" s="6"/>
    </row>
    <row r="164">
      <c r="A164" s="6" t="s">
        <v>479</v>
      </c>
      <c r="B164" s="6" t="s">
        <v>480</v>
      </c>
      <c r="C164" s="6" t="s">
        <v>481</v>
      </c>
      <c r="D164" s="6" t="s">
        <v>345</v>
      </c>
      <c r="E164" s="6" t="s">
        <v>482</v>
      </c>
      <c r="F164" s="6" t="s">
        <v>483</v>
      </c>
      <c r="G164" s="6"/>
    </row>
    <row r="165">
      <c r="A165" s="6" t="s">
        <v>484</v>
      </c>
      <c r="B165" s="6" t="s">
        <v>485</v>
      </c>
      <c r="C165" s="6" t="s">
        <v>486</v>
      </c>
      <c r="D165" s="6" t="s">
        <v>75</v>
      </c>
      <c r="F165" s="6" t="s">
        <v>487</v>
      </c>
      <c r="G165" s="6"/>
    </row>
    <row r="166">
      <c r="A166" s="6" t="s">
        <v>488</v>
      </c>
      <c r="B166" s="6" t="s">
        <v>489</v>
      </c>
      <c r="C166" s="6" t="s">
        <v>490</v>
      </c>
      <c r="D166" s="6" t="s">
        <v>75</v>
      </c>
      <c r="F166" s="6"/>
      <c r="G166" s="6"/>
    </row>
    <row r="167">
      <c r="A167" s="6" t="s">
        <v>491</v>
      </c>
      <c r="B167" s="6" t="s">
        <v>491</v>
      </c>
      <c r="C167" s="6" t="s">
        <v>492</v>
      </c>
      <c r="D167" s="6" t="s">
        <v>229</v>
      </c>
      <c r="E167" s="6" t="s">
        <v>493</v>
      </c>
      <c r="F167" s="6" t="s">
        <v>494</v>
      </c>
      <c r="G167" s="6"/>
    </row>
    <row r="168">
      <c r="A168" s="6" t="s">
        <v>495</v>
      </c>
      <c r="B168" s="6" t="s">
        <v>495</v>
      </c>
      <c r="C168" s="6" t="s">
        <v>496</v>
      </c>
      <c r="D168" s="6" t="s">
        <v>497</v>
      </c>
      <c r="E168" s="6" t="s">
        <v>498</v>
      </c>
      <c r="F168" s="6" t="s">
        <v>499</v>
      </c>
      <c r="G168" s="6"/>
    </row>
    <row r="169">
      <c r="A169" s="6" t="s">
        <v>500</v>
      </c>
      <c r="B169" s="6" t="s">
        <v>500</v>
      </c>
      <c r="C169" s="6" t="s">
        <v>501</v>
      </c>
      <c r="D169" s="6" t="s">
        <v>229</v>
      </c>
      <c r="E169" s="6" t="s">
        <v>502</v>
      </c>
      <c r="F169" s="6" t="s">
        <v>503</v>
      </c>
      <c r="G169" s="6"/>
    </row>
    <row r="170">
      <c r="A170" s="6" t="s">
        <v>504</v>
      </c>
      <c r="B170" s="6" t="s">
        <v>504</v>
      </c>
      <c r="C170" s="6" t="s">
        <v>505</v>
      </c>
      <c r="D170" s="6" t="s">
        <v>229</v>
      </c>
      <c r="E170" s="12" t="s">
        <v>506</v>
      </c>
      <c r="F170" s="6" t="s">
        <v>507</v>
      </c>
      <c r="G170" s="6"/>
    </row>
    <row r="171">
      <c r="A171" s="6" t="s">
        <v>508</v>
      </c>
      <c r="B171" s="6" t="s">
        <v>508</v>
      </c>
      <c r="C171" s="6" t="s">
        <v>509</v>
      </c>
      <c r="D171" s="6" t="s">
        <v>345</v>
      </c>
      <c r="E171" s="6" t="s">
        <v>510</v>
      </c>
      <c r="F171" s="6" t="s">
        <v>511</v>
      </c>
      <c r="G171" s="6"/>
    </row>
    <row r="172">
      <c r="A172" s="6" t="s">
        <v>512</v>
      </c>
      <c r="B172" s="6" t="s">
        <v>512</v>
      </c>
      <c r="C172" s="6" t="s">
        <v>513</v>
      </c>
      <c r="D172" s="6" t="s">
        <v>92</v>
      </c>
      <c r="E172" s="6" t="s">
        <v>514</v>
      </c>
      <c r="F172" s="6" t="s">
        <v>515</v>
      </c>
      <c r="G172" s="6"/>
    </row>
    <row r="173">
      <c r="A173" s="6" t="s">
        <v>516</v>
      </c>
      <c r="B173" s="6" t="s">
        <v>516</v>
      </c>
      <c r="C173" s="6" t="s">
        <v>223</v>
      </c>
      <c r="D173" s="6" t="s">
        <v>345</v>
      </c>
      <c r="E173" s="6" t="s">
        <v>517</v>
      </c>
      <c r="F173" s="6" t="s">
        <v>518</v>
      </c>
      <c r="G173" s="6"/>
    </row>
    <row r="174">
      <c r="A174" s="6" t="s">
        <v>519</v>
      </c>
      <c r="B174" s="6" t="s">
        <v>519</v>
      </c>
      <c r="C174" s="6" t="s">
        <v>223</v>
      </c>
      <c r="D174" s="6" t="s">
        <v>345</v>
      </c>
      <c r="F174" s="6" t="s">
        <v>520</v>
      </c>
      <c r="G174" s="6"/>
    </row>
    <row r="175">
      <c r="A175" s="6" t="s">
        <v>521</v>
      </c>
      <c r="B175" s="6" t="s">
        <v>522</v>
      </c>
      <c r="C175" s="6" t="s">
        <v>523</v>
      </c>
      <c r="D175" s="6" t="s">
        <v>229</v>
      </c>
      <c r="E175" s="6" t="s">
        <v>524</v>
      </c>
      <c r="F175" s="6" t="s">
        <v>525</v>
      </c>
      <c r="G175" s="6"/>
    </row>
    <row r="176">
      <c r="A176" s="6" t="s">
        <v>526</v>
      </c>
      <c r="B176" s="6" t="s">
        <v>526</v>
      </c>
      <c r="C176" s="6" t="s">
        <v>213</v>
      </c>
      <c r="D176" s="6" t="s">
        <v>345</v>
      </c>
      <c r="F176" s="6" t="s">
        <v>527</v>
      </c>
      <c r="G176" s="6"/>
    </row>
    <row r="177">
      <c r="A177" s="6" t="s">
        <v>528</v>
      </c>
      <c r="B177" s="6" t="s">
        <v>528</v>
      </c>
      <c r="C177" s="6" t="s">
        <v>529</v>
      </c>
      <c r="D177" s="6" t="s">
        <v>229</v>
      </c>
      <c r="F177" s="6" t="s">
        <v>530</v>
      </c>
      <c r="G177" s="6"/>
    </row>
    <row r="178">
      <c r="A178" s="6" t="s">
        <v>531</v>
      </c>
      <c r="B178" s="6" t="s">
        <v>531</v>
      </c>
      <c r="C178" s="6" t="s">
        <v>233</v>
      </c>
      <c r="D178" s="6" t="s">
        <v>229</v>
      </c>
      <c r="F178" s="6" t="s">
        <v>532</v>
      </c>
      <c r="G178" s="6"/>
    </row>
    <row r="179">
      <c r="A179" s="6" t="s">
        <v>533</v>
      </c>
      <c r="B179" s="6" t="s">
        <v>533</v>
      </c>
      <c r="C179" s="6" t="s">
        <v>534</v>
      </c>
      <c r="D179" s="6" t="s">
        <v>229</v>
      </c>
      <c r="F179" s="6" t="s">
        <v>535</v>
      </c>
      <c r="G179" s="6"/>
    </row>
    <row r="180">
      <c r="A180" s="6" t="s">
        <v>536</v>
      </c>
      <c r="B180" s="6" t="s">
        <v>536</v>
      </c>
      <c r="C180" s="6" t="s">
        <v>537</v>
      </c>
      <c r="D180" s="6" t="s">
        <v>229</v>
      </c>
      <c r="F180" s="6" t="s">
        <v>538</v>
      </c>
      <c r="G180" s="6"/>
    </row>
    <row r="181">
      <c r="A181" s="6" t="s">
        <v>539</v>
      </c>
      <c r="B181" s="6" t="s">
        <v>539</v>
      </c>
      <c r="C181" s="6" t="s">
        <v>540</v>
      </c>
      <c r="D181" s="6" t="s">
        <v>229</v>
      </c>
      <c r="F181" s="6" t="s">
        <v>541</v>
      </c>
      <c r="G181" s="6"/>
    </row>
    <row r="182">
      <c r="A182" s="6" t="s">
        <v>542</v>
      </c>
      <c r="B182" s="6" t="s">
        <v>542</v>
      </c>
      <c r="C182" s="6" t="s">
        <v>543</v>
      </c>
      <c r="D182" s="6" t="s">
        <v>229</v>
      </c>
      <c r="E182" s="6" t="s">
        <v>544</v>
      </c>
      <c r="F182" s="6" t="s">
        <v>545</v>
      </c>
      <c r="G182" s="6"/>
    </row>
    <row r="183">
      <c r="A183" s="6" t="s">
        <v>546</v>
      </c>
      <c r="B183" s="6" t="s">
        <v>546</v>
      </c>
      <c r="C183" s="6" t="s">
        <v>543</v>
      </c>
      <c r="D183" s="6" t="s">
        <v>547</v>
      </c>
      <c r="E183" s="6" t="s">
        <v>544</v>
      </c>
      <c r="F183" s="6" t="s">
        <v>545</v>
      </c>
      <c r="G183" s="6"/>
    </row>
    <row r="184">
      <c r="A184" s="6" t="s">
        <v>548</v>
      </c>
      <c r="B184" s="6" t="s">
        <v>548</v>
      </c>
      <c r="C184" s="6" t="s">
        <v>543</v>
      </c>
      <c r="D184" s="6" t="s">
        <v>147</v>
      </c>
      <c r="E184" s="6" t="s">
        <v>544</v>
      </c>
      <c r="F184" s="6" t="s">
        <v>545</v>
      </c>
      <c r="G184" s="6"/>
    </row>
    <row r="185">
      <c r="A185" s="6" t="s">
        <v>549</v>
      </c>
      <c r="B185" s="6" t="s">
        <v>549</v>
      </c>
      <c r="C185" s="6" t="s">
        <v>543</v>
      </c>
      <c r="D185" s="6" t="s">
        <v>60</v>
      </c>
      <c r="E185" s="6" t="s">
        <v>544</v>
      </c>
      <c r="F185" s="6" t="s">
        <v>545</v>
      </c>
      <c r="G185" s="6"/>
    </row>
    <row r="186">
      <c r="A186" s="6" t="s">
        <v>550</v>
      </c>
      <c r="B186" s="6" t="s">
        <v>550</v>
      </c>
      <c r="C186" s="6" t="s">
        <v>551</v>
      </c>
      <c r="D186" s="6" t="s">
        <v>229</v>
      </c>
      <c r="E186" s="6" t="s">
        <v>552</v>
      </c>
      <c r="F186" s="6" t="s">
        <v>553</v>
      </c>
      <c r="G186" s="6"/>
    </row>
    <row r="187">
      <c r="A187" s="6" t="s">
        <v>554</v>
      </c>
      <c r="B187" s="6" t="s">
        <v>554</v>
      </c>
      <c r="C187" s="6" t="s">
        <v>555</v>
      </c>
      <c r="D187" s="6" t="s">
        <v>229</v>
      </c>
      <c r="E187" s="6" t="s">
        <v>556</v>
      </c>
      <c r="F187" s="6" t="s">
        <v>557</v>
      </c>
      <c r="G187" s="6"/>
    </row>
    <row r="188">
      <c r="A188" s="6" t="s">
        <v>558</v>
      </c>
      <c r="B188" s="6" t="s">
        <v>558</v>
      </c>
      <c r="C188" s="6" t="s">
        <v>559</v>
      </c>
      <c r="D188" s="6" t="s">
        <v>229</v>
      </c>
      <c r="E188" s="6" t="s">
        <v>560</v>
      </c>
      <c r="F188" s="6" t="s">
        <v>561</v>
      </c>
      <c r="G188" s="6"/>
    </row>
    <row r="189">
      <c r="A189" s="6" t="s">
        <v>562</v>
      </c>
      <c r="B189" s="6" t="s">
        <v>562</v>
      </c>
      <c r="C189" s="6" t="s">
        <v>563</v>
      </c>
      <c r="D189" s="6" t="s">
        <v>229</v>
      </c>
      <c r="E189" s="6" t="s">
        <v>564</v>
      </c>
      <c r="F189" s="6" t="s">
        <v>565</v>
      </c>
      <c r="G189" s="6"/>
    </row>
    <row r="190">
      <c r="A190" s="6" t="s">
        <v>566</v>
      </c>
      <c r="B190" s="6" t="s">
        <v>566</v>
      </c>
      <c r="C190" s="6" t="s">
        <v>567</v>
      </c>
      <c r="D190" s="6" t="s">
        <v>229</v>
      </c>
      <c r="E190" s="6" t="s">
        <v>568</v>
      </c>
      <c r="F190" s="6" t="s">
        <v>569</v>
      </c>
      <c r="G190" s="6"/>
    </row>
    <row r="191">
      <c r="A191" s="6" t="s">
        <v>570</v>
      </c>
      <c r="B191" s="6" t="s">
        <v>570</v>
      </c>
      <c r="C191" s="6" t="s">
        <v>571</v>
      </c>
      <c r="D191" s="6" t="s">
        <v>229</v>
      </c>
      <c r="F191" s="6" t="s">
        <v>572</v>
      </c>
      <c r="G191" s="6"/>
    </row>
    <row r="192">
      <c r="A192" s="6" t="s">
        <v>573</v>
      </c>
      <c r="B192" s="6" t="s">
        <v>573</v>
      </c>
      <c r="C192" s="6" t="s">
        <v>574</v>
      </c>
      <c r="D192" s="6" t="s">
        <v>229</v>
      </c>
      <c r="F192" s="6" t="s">
        <v>575</v>
      </c>
      <c r="G192" s="6"/>
    </row>
    <row r="193">
      <c r="A193" s="6" t="s">
        <v>576</v>
      </c>
      <c r="B193" s="6" t="s">
        <v>576</v>
      </c>
      <c r="C193" s="6" t="s">
        <v>577</v>
      </c>
      <c r="D193" s="6" t="s">
        <v>229</v>
      </c>
      <c r="E193" s="6" t="s">
        <v>578</v>
      </c>
      <c r="F193" s="6" t="s">
        <v>579</v>
      </c>
      <c r="G193" s="6"/>
    </row>
    <row r="194">
      <c r="A194" s="6" t="s">
        <v>580</v>
      </c>
      <c r="B194" s="6" t="s">
        <v>581</v>
      </c>
      <c r="C194" s="6" t="s">
        <v>582</v>
      </c>
      <c r="D194" s="6" t="s">
        <v>229</v>
      </c>
      <c r="E194" s="6" t="s">
        <v>583</v>
      </c>
      <c r="F194" s="6" t="s">
        <v>584</v>
      </c>
      <c r="G194" s="6"/>
    </row>
    <row r="195">
      <c r="A195" s="6" t="s">
        <v>585</v>
      </c>
      <c r="B195" s="6" t="s">
        <v>586</v>
      </c>
      <c r="C195" s="6" t="s">
        <v>587</v>
      </c>
      <c r="D195" s="6" t="s">
        <v>229</v>
      </c>
      <c r="E195" s="6" t="s">
        <v>588</v>
      </c>
      <c r="F195" s="6"/>
      <c r="G195" s="6"/>
    </row>
    <row r="196">
      <c r="A196" s="6" t="s">
        <v>589</v>
      </c>
      <c r="B196" s="6" t="s">
        <v>590</v>
      </c>
      <c r="C196" s="6" t="s">
        <v>591</v>
      </c>
      <c r="D196" s="6" t="s">
        <v>229</v>
      </c>
      <c r="E196" s="6" t="s">
        <v>592</v>
      </c>
      <c r="F196" s="6" t="s">
        <v>593</v>
      </c>
      <c r="G196" s="6"/>
    </row>
    <row r="197">
      <c r="A197" s="6" t="s">
        <v>594</v>
      </c>
      <c r="B197" s="6" t="s">
        <v>594</v>
      </c>
      <c r="C197" s="6" t="s">
        <v>595</v>
      </c>
      <c r="D197" s="6" t="s">
        <v>229</v>
      </c>
      <c r="E197" s="6" t="s">
        <v>596</v>
      </c>
      <c r="F197" s="6" t="s">
        <v>597</v>
      </c>
      <c r="G197" s="6"/>
    </row>
    <row r="198">
      <c r="A198" s="6" t="s">
        <v>598</v>
      </c>
      <c r="B198" s="6" t="s">
        <v>598</v>
      </c>
      <c r="C198" s="6" t="s">
        <v>599</v>
      </c>
      <c r="D198" s="6" t="s">
        <v>229</v>
      </c>
      <c r="E198" s="6" t="s">
        <v>600</v>
      </c>
      <c r="F198" s="6" t="s">
        <v>601</v>
      </c>
      <c r="G198" s="6"/>
    </row>
    <row r="199">
      <c r="A199" s="6" t="s">
        <v>602</v>
      </c>
      <c r="B199" s="6" t="s">
        <v>603</v>
      </c>
      <c r="C199" s="6" t="s">
        <v>604</v>
      </c>
      <c r="D199" s="6" t="s">
        <v>229</v>
      </c>
      <c r="E199" s="6" t="s">
        <v>605</v>
      </c>
      <c r="F199" s="6" t="s">
        <v>606</v>
      </c>
      <c r="G199" s="6"/>
    </row>
    <row r="200">
      <c r="A200" s="6" t="s">
        <v>607</v>
      </c>
      <c r="B200" s="6" t="s">
        <v>607</v>
      </c>
      <c r="C200" s="6" t="s">
        <v>608</v>
      </c>
      <c r="D200" s="6" t="s">
        <v>60</v>
      </c>
      <c r="E200" s="6" t="s">
        <v>609</v>
      </c>
      <c r="F200" s="6" t="s">
        <v>610</v>
      </c>
      <c r="G200" s="6"/>
    </row>
    <row r="201">
      <c r="A201" s="6" t="s">
        <v>611</v>
      </c>
      <c r="B201" s="6" t="s">
        <v>611</v>
      </c>
      <c r="C201" s="6" t="s">
        <v>612</v>
      </c>
      <c r="D201" s="6" t="s">
        <v>229</v>
      </c>
      <c r="E201" s="6" t="s">
        <v>613</v>
      </c>
      <c r="F201" s="6" t="s">
        <v>614</v>
      </c>
      <c r="G201" s="6"/>
    </row>
    <row r="202">
      <c r="A202" s="6" t="s">
        <v>615</v>
      </c>
      <c r="B202" s="6" t="s">
        <v>615</v>
      </c>
      <c r="C202" s="6" t="s">
        <v>616</v>
      </c>
      <c r="D202" s="6" t="s">
        <v>229</v>
      </c>
      <c r="E202" s="6" t="s">
        <v>617</v>
      </c>
      <c r="F202" s="6" t="s">
        <v>618</v>
      </c>
      <c r="G202" s="6"/>
    </row>
    <row r="203">
      <c r="A203" s="6" t="s">
        <v>619</v>
      </c>
      <c r="B203" s="6" t="s">
        <v>620</v>
      </c>
      <c r="C203" s="6" t="s">
        <v>621</v>
      </c>
      <c r="D203" s="6" t="s">
        <v>229</v>
      </c>
      <c r="E203" s="6" t="s">
        <v>622</v>
      </c>
      <c r="F203" s="6" t="s">
        <v>623</v>
      </c>
      <c r="G203" s="6"/>
    </row>
    <row r="204">
      <c r="A204" s="6" t="s">
        <v>624</v>
      </c>
      <c r="B204" s="6" t="s">
        <v>624</v>
      </c>
      <c r="C204" s="6" t="s">
        <v>625</v>
      </c>
      <c r="D204" s="6" t="s">
        <v>229</v>
      </c>
      <c r="E204" s="6" t="s">
        <v>626</v>
      </c>
      <c r="F204" s="6" t="s">
        <v>627</v>
      </c>
      <c r="G204" s="6"/>
    </row>
    <row r="205">
      <c r="A205" s="6" t="s">
        <v>628</v>
      </c>
      <c r="B205" s="6" t="s">
        <v>629</v>
      </c>
      <c r="C205" s="6" t="s">
        <v>625</v>
      </c>
      <c r="D205" s="6" t="s">
        <v>229</v>
      </c>
      <c r="E205" s="6" t="s">
        <v>630</v>
      </c>
      <c r="F205" s="6" t="s">
        <v>631</v>
      </c>
      <c r="G205" s="6"/>
    </row>
    <row r="206">
      <c r="A206" s="6" t="s">
        <v>632</v>
      </c>
      <c r="B206" s="6" t="s">
        <v>632</v>
      </c>
      <c r="C206" s="6" t="s">
        <v>492</v>
      </c>
      <c r="D206" s="6" t="s">
        <v>229</v>
      </c>
      <c r="E206" s="6" t="s">
        <v>633</v>
      </c>
      <c r="F206" s="6" t="s">
        <v>634</v>
      </c>
      <c r="G206" s="6"/>
    </row>
    <row r="207">
      <c r="A207" s="16" t="s">
        <v>635</v>
      </c>
      <c r="B207" s="16" t="s">
        <v>636</v>
      </c>
      <c r="C207" s="17" t="s">
        <v>637</v>
      </c>
      <c r="D207" s="6" t="s">
        <v>229</v>
      </c>
      <c r="E207" s="17" t="s">
        <v>638</v>
      </c>
      <c r="F207" s="6" t="s">
        <v>639</v>
      </c>
      <c r="G207" s="6"/>
    </row>
    <row r="208">
      <c r="A208" s="6" t="s">
        <v>640</v>
      </c>
      <c r="B208" s="6" t="s">
        <v>640</v>
      </c>
      <c r="C208" s="6" t="s">
        <v>641</v>
      </c>
      <c r="D208" s="6" t="s">
        <v>229</v>
      </c>
      <c r="E208" s="6" t="s">
        <v>642</v>
      </c>
      <c r="F208" s="6" t="s">
        <v>643</v>
      </c>
      <c r="G208" s="6"/>
    </row>
    <row r="209">
      <c r="A209" s="6" t="s">
        <v>644</v>
      </c>
      <c r="B209" s="6" t="s">
        <v>644</v>
      </c>
      <c r="C209" s="6" t="s">
        <v>645</v>
      </c>
      <c r="D209" s="6" t="s">
        <v>229</v>
      </c>
      <c r="E209" s="6" t="s">
        <v>646</v>
      </c>
      <c r="F209" s="6" t="s">
        <v>647</v>
      </c>
      <c r="G209" s="6"/>
    </row>
    <row r="210">
      <c r="A210" s="18" t="s">
        <v>648</v>
      </c>
      <c r="B210" s="18" t="s">
        <v>648</v>
      </c>
      <c r="C210" s="19" t="s">
        <v>649</v>
      </c>
      <c r="D210" s="6" t="s">
        <v>229</v>
      </c>
      <c r="E210" s="19" t="s">
        <v>650</v>
      </c>
      <c r="F210" s="6" t="s">
        <v>651</v>
      </c>
      <c r="G210" s="6"/>
    </row>
    <row r="211">
      <c r="A211" s="6" t="s">
        <v>652</v>
      </c>
      <c r="B211" s="6" t="s">
        <v>652</v>
      </c>
      <c r="C211" s="6" t="s">
        <v>653</v>
      </c>
      <c r="D211" s="6" t="s">
        <v>229</v>
      </c>
      <c r="E211" s="6" t="s">
        <v>654</v>
      </c>
      <c r="F211" s="6" t="s">
        <v>655</v>
      </c>
      <c r="G211" s="6"/>
    </row>
    <row r="212">
      <c r="A212" s="6" t="s">
        <v>656</v>
      </c>
      <c r="B212" s="6" t="s">
        <v>656</v>
      </c>
      <c r="C212" s="6" t="s">
        <v>657</v>
      </c>
      <c r="D212" s="6" t="s">
        <v>229</v>
      </c>
      <c r="E212" s="6" t="s">
        <v>658</v>
      </c>
      <c r="F212" s="6" t="s">
        <v>659</v>
      </c>
      <c r="G212" s="6"/>
    </row>
    <row r="213">
      <c r="A213" s="6" t="s">
        <v>660</v>
      </c>
      <c r="B213" s="6" t="s">
        <v>660</v>
      </c>
      <c r="C213" s="6" t="s">
        <v>661</v>
      </c>
      <c r="D213" s="6" t="s">
        <v>147</v>
      </c>
      <c r="E213" s="6" t="s">
        <v>662</v>
      </c>
      <c r="F213" s="6" t="s">
        <v>663</v>
      </c>
      <c r="G213" s="6"/>
    </row>
    <row r="214">
      <c r="A214" s="6" t="s">
        <v>664</v>
      </c>
      <c r="B214" s="6" t="s">
        <v>664</v>
      </c>
      <c r="C214" s="6" t="s">
        <v>492</v>
      </c>
      <c r="D214" s="6" t="s">
        <v>229</v>
      </c>
      <c r="E214" s="6" t="s">
        <v>665</v>
      </c>
      <c r="F214" s="6" t="s">
        <v>666</v>
      </c>
      <c r="G214" s="6"/>
    </row>
    <row r="215">
      <c r="A215" s="6" t="s">
        <v>667</v>
      </c>
      <c r="B215" s="6" t="s">
        <v>667</v>
      </c>
      <c r="C215" s="6" t="s">
        <v>668</v>
      </c>
      <c r="D215" s="6" t="s">
        <v>229</v>
      </c>
      <c r="E215" s="6" t="s">
        <v>669</v>
      </c>
      <c r="F215" s="6" t="s">
        <v>670</v>
      </c>
      <c r="G215" s="6"/>
    </row>
    <row r="216">
      <c r="A216" s="6" t="s">
        <v>671</v>
      </c>
      <c r="B216" s="6" t="s">
        <v>671</v>
      </c>
      <c r="C216" s="6" t="s">
        <v>668</v>
      </c>
      <c r="D216" s="6" t="s">
        <v>229</v>
      </c>
      <c r="E216" s="6" t="s">
        <v>669</v>
      </c>
      <c r="F216" s="6" t="s">
        <v>670</v>
      </c>
      <c r="G216" s="6"/>
    </row>
    <row r="217">
      <c r="A217" s="6" t="s">
        <v>672</v>
      </c>
      <c r="B217" s="6" t="s">
        <v>672</v>
      </c>
      <c r="C217" s="6" t="s">
        <v>673</v>
      </c>
      <c r="D217" s="6" t="s">
        <v>229</v>
      </c>
      <c r="E217" s="20" t="s">
        <v>674</v>
      </c>
      <c r="F217" s="6" t="s">
        <v>675</v>
      </c>
      <c r="G217" s="6"/>
    </row>
    <row r="218">
      <c r="A218" s="6" t="s">
        <v>676</v>
      </c>
      <c r="B218" s="6" t="s">
        <v>676</v>
      </c>
      <c r="C218" s="6" t="s">
        <v>668</v>
      </c>
      <c r="D218" s="6" t="s">
        <v>229</v>
      </c>
      <c r="E218" s="6" t="s">
        <v>669</v>
      </c>
      <c r="F218" s="6" t="s">
        <v>670</v>
      </c>
      <c r="G218" s="6"/>
    </row>
    <row r="219">
      <c r="A219" s="6" t="s">
        <v>677</v>
      </c>
      <c r="B219" s="6" t="s">
        <v>677</v>
      </c>
      <c r="C219" s="6" t="s">
        <v>678</v>
      </c>
      <c r="D219" s="6" t="s">
        <v>229</v>
      </c>
      <c r="E219" s="6" t="s">
        <v>679</v>
      </c>
      <c r="F219" s="6" t="s">
        <v>680</v>
      </c>
      <c r="G219" s="6"/>
    </row>
    <row r="220">
      <c r="A220" s="6" t="s">
        <v>681</v>
      </c>
      <c r="B220" s="6" t="s">
        <v>681</v>
      </c>
      <c r="C220" s="6" t="s">
        <v>668</v>
      </c>
      <c r="D220" s="6" t="s">
        <v>229</v>
      </c>
      <c r="E220" s="6" t="s">
        <v>669</v>
      </c>
      <c r="F220" s="6" t="s">
        <v>670</v>
      </c>
      <c r="G220" s="6"/>
    </row>
    <row r="221">
      <c r="A221" s="6" t="s">
        <v>682</v>
      </c>
      <c r="B221" s="6" t="s">
        <v>682</v>
      </c>
      <c r="C221" s="6" t="s">
        <v>683</v>
      </c>
      <c r="D221" s="6" t="s">
        <v>229</v>
      </c>
      <c r="E221" s="21" t="s">
        <v>684</v>
      </c>
      <c r="F221" s="6" t="s">
        <v>685</v>
      </c>
      <c r="G221" s="6"/>
    </row>
    <row r="222">
      <c r="A222" s="6" t="s">
        <v>686</v>
      </c>
      <c r="B222" s="6" t="s">
        <v>686</v>
      </c>
      <c r="C222" s="6" t="s">
        <v>668</v>
      </c>
      <c r="D222" s="6" t="s">
        <v>229</v>
      </c>
      <c r="E222" s="6" t="s">
        <v>669</v>
      </c>
      <c r="F222" s="6" t="s">
        <v>670</v>
      </c>
      <c r="G222" s="6"/>
    </row>
    <row r="223">
      <c r="A223" s="6" t="s">
        <v>687</v>
      </c>
      <c r="B223" s="6" t="s">
        <v>687</v>
      </c>
      <c r="C223" s="6" t="s">
        <v>668</v>
      </c>
      <c r="D223" s="6" t="s">
        <v>229</v>
      </c>
      <c r="E223" s="6" t="s">
        <v>669</v>
      </c>
      <c r="F223" s="6" t="s">
        <v>670</v>
      </c>
      <c r="G223" s="6"/>
    </row>
    <row r="224">
      <c r="A224" s="6" t="s">
        <v>688</v>
      </c>
      <c r="B224" s="6" t="s">
        <v>688</v>
      </c>
      <c r="C224" s="6" t="s">
        <v>668</v>
      </c>
      <c r="D224" s="6" t="s">
        <v>229</v>
      </c>
      <c r="E224" s="6" t="s">
        <v>669</v>
      </c>
      <c r="F224" s="6" t="s">
        <v>670</v>
      </c>
      <c r="G224" s="6"/>
    </row>
    <row r="225">
      <c r="A225" s="6" t="s">
        <v>689</v>
      </c>
      <c r="B225" s="6" t="s">
        <v>689</v>
      </c>
      <c r="C225" s="6" t="s">
        <v>690</v>
      </c>
      <c r="D225" s="6" t="s">
        <v>229</v>
      </c>
      <c r="E225" s="22" t="s">
        <v>691</v>
      </c>
      <c r="F225" s="6" t="s">
        <v>692</v>
      </c>
      <c r="G225" s="6"/>
    </row>
    <row r="226">
      <c r="A226" s="6" t="s">
        <v>693</v>
      </c>
      <c r="B226" s="6" t="s">
        <v>693</v>
      </c>
      <c r="C226" s="6" t="s">
        <v>668</v>
      </c>
      <c r="D226" s="6" t="s">
        <v>229</v>
      </c>
      <c r="E226" s="6" t="s">
        <v>669</v>
      </c>
      <c r="F226" s="6" t="s">
        <v>670</v>
      </c>
      <c r="G226" s="6"/>
    </row>
    <row r="227">
      <c r="A227" s="6" t="s">
        <v>694</v>
      </c>
      <c r="B227" s="6" t="s">
        <v>694</v>
      </c>
      <c r="C227" s="6" t="s">
        <v>668</v>
      </c>
      <c r="D227" s="6" t="s">
        <v>229</v>
      </c>
      <c r="E227" s="6" t="s">
        <v>669</v>
      </c>
      <c r="F227" s="6" t="s">
        <v>670</v>
      </c>
      <c r="G227" s="6"/>
    </row>
    <row r="228">
      <c r="A228" s="6" t="s">
        <v>695</v>
      </c>
      <c r="B228" s="6" t="s">
        <v>695</v>
      </c>
      <c r="C228" s="6" t="s">
        <v>668</v>
      </c>
      <c r="D228" s="6" t="s">
        <v>229</v>
      </c>
      <c r="E228" s="6" t="s">
        <v>669</v>
      </c>
      <c r="F228" s="6" t="s">
        <v>670</v>
      </c>
      <c r="G228" s="6"/>
    </row>
    <row r="229">
      <c r="A229" s="6" t="s">
        <v>696</v>
      </c>
      <c r="B229" s="6" t="s">
        <v>696</v>
      </c>
      <c r="C229" s="23" t="s">
        <v>697</v>
      </c>
      <c r="D229" s="6" t="s">
        <v>229</v>
      </c>
      <c r="E229" s="24" t="s">
        <v>698</v>
      </c>
      <c r="F229" s="6" t="s">
        <v>699</v>
      </c>
      <c r="G229" s="6"/>
    </row>
    <row r="230">
      <c r="A230" s="6" t="s">
        <v>700</v>
      </c>
      <c r="B230" s="6" t="s">
        <v>700</v>
      </c>
      <c r="C230" s="6" t="s">
        <v>701</v>
      </c>
      <c r="D230" s="6" t="s">
        <v>229</v>
      </c>
      <c r="E230" s="6" t="s">
        <v>669</v>
      </c>
      <c r="F230" s="6" t="s">
        <v>670</v>
      </c>
      <c r="G230" s="6"/>
    </row>
    <row r="231">
      <c r="A231" s="6" t="s">
        <v>702</v>
      </c>
      <c r="B231" s="6" t="s">
        <v>702</v>
      </c>
      <c r="C231" s="6" t="s">
        <v>668</v>
      </c>
      <c r="D231" s="6" t="s">
        <v>229</v>
      </c>
      <c r="E231" s="6" t="s">
        <v>669</v>
      </c>
      <c r="F231" s="6" t="s">
        <v>670</v>
      </c>
      <c r="G231" s="6"/>
    </row>
    <row r="232">
      <c r="A232" s="6" t="s">
        <v>703</v>
      </c>
      <c r="B232" s="6" t="s">
        <v>703</v>
      </c>
      <c r="C232" s="23" t="s">
        <v>704</v>
      </c>
      <c r="D232" s="6" t="s">
        <v>229</v>
      </c>
      <c r="E232" s="25" t="s">
        <v>705</v>
      </c>
      <c r="F232" s="6" t="s">
        <v>706</v>
      </c>
      <c r="G232" s="6"/>
    </row>
    <row r="233">
      <c r="A233" s="6" t="s">
        <v>707</v>
      </c>
      <c r="B233" s="6" t="s">
        <v>707</v>
      </c>
      <c r="C233" s="6" t="s">
        <v>668</v>
      </c>
      <c r="D233" s="6" t="s">
        <v>229</v>
      </c>
      <c r="E233" s="6" t="s">
        <v>669</v>
      </c>
      <c r="F233" s="6" t="s">
        <v>670</v>
      </c>
      <c r="G233" s="6"/>
    </row>
    <row r="234">
      <c r="A234" s="6" t="s">
        <v>708</v>
      </c>
      <c r="B234" s="6" t="s">
        <v>708</v>
      </c>
      <c r="C234" s="23" t="s">
        <v>709</v>
      </c>
      <c r="D234" s="6" t="s">
        <v>229</v>
      </c>
      <c r="E234" s="24" t="s">
        <v>705</v>
      </c>
      <c r="F234" s="6" t="s">
        <v>710</v>
      </c>
      <c r="G234" s="6"/>
    </row>
    <row r="235">
      <c r="A235" s="6" t="s">
        <v>711</v>
      </c>
      <c r="B235" s="6" t="s">
        <v>711</v>
      </c>
      <c r="C235" s="23" t="s">
        <v>697</v>
      </c>
      <c r="D235" s="6" t="s">
        <v>229</v>
      </c>
      <c r="E235" s="26" t="s">
        <v>712</v>
      </c>
      <c r="F235" s="6" t="s">
        <v>713</v>
      </c>
      <c r="G235" s="6"/>
    </row>
    <row r="236">
      <c r="A236" s="6" t="s">
        <v>714</v>
      </c>
      <c r="B236" s="6" t="s">
        <v>714</v>
      </c>
      <c r="C236" s="23" t="s">
        <v>715</v>
      </c>
      <c r="D236" s="6" t="s">
        <v>229</v>
      </c>
      <c r="E236" s="26" t="s">
        <v>716</v>
      </c>
      <c r="F236" s="6" t="s">
        <v>717</v>
      </c>
      <c r="G236" s="6"/>
    </row>
    <row r="237">
      <c r="A237" s="6" t="s">
        <v>718</v>
      </c>
      <c r="B237" s="6" t="s">
        <v>718</v>
      </c>
      <c r="C237" s="6" t="s">
        <v>719</v>
      </c>
      <c r="D237" s="6" t="s">
        <v>229</v>
      </c>
      <c r="E237" s="26" t="s">
        <v>720</v>
      </c>
      <c r="F237" s="6" t="s">
        <v>721</v>
      </c>
      <c r="G237" s="6"/>
    </row>
    <row r="238">
      <c r="A238" s="6" t="s">
        <v>722</v>
      </c>
      <c r="B238" s="6" t="s">
        <v>722</v>
      </c>
      <c r="C238" s="6" t="s">
        <v>723</v>
      </c>
      <c r="D238" s="6" t="s">
        <v>229</v>
      </c>
      <c r="E238" s="6" t="s">
        <v>669</v>
      </c>
      <c r="F238" s="6" t="s">
        <v>670</v>
      </c>
      <c r="G238" s="6"/>
    </row>
    <row r="239">
      <c r="A239" s="6" t="s">
        <v>724</v>
      </c>
      <c r="B239" s="6" t="s">
        <v>724</v>
      </c>
      <c r="C239" s="6" t="s">
        <v>719</v>
      </c>
      <c r="D239" s="6" t="s">
        <v>229</v>
      </c>
      <c r="E239" s="26" t="s">
        <v>725</v>
      </c>
      <c r="F239" s="6" t="s">
        <v>726</v>
      </c>
      <c r="G239" s="6"/>
    </row>
    <row r="240">
      <c r="A240" s="6" t="s">
        <v>727</v>
      </c>
      <c r="B240" s="6" t="s">
        <v>727</v>
      </c>
      <c r="C240" s="6" t="s">
        <v>668</v>
      </c>
      <c r="D240" s="6" t="s">
        <v>229</v>
      </c>
      <c r="E240" s="6" t="s">
        <v>669</v>
      </c>
      <c r="F240" s="6" t="s">
        <v>670</v>
      </c>
      <c r="G240" s="6"/>
    </row>
    <row r="241">
      <c r="A241" s="6" t="s">
        <v>728</v>
      </c>
      <c r="B241" s="6" t="s">
        <v>729</v>
      </c>
      <c r="C241" s="6" t="s">
        <v>730</v>
      </c>
      <c r="D241" s="6" t="s">
        <v>229</v>
      </c>
      <c r="E241" s="6" t="s">
        <v>731</v>
      </c>
      <c r="F241" s="6" t="s">
        <v>732</v>
      </c>
      <c r="G241" s="6"/>
    </row>
    <row r="242">
      <c r="A242" s="6" t="s">
        <v>733</v>
      </c>
      <c r="B242" s="6" t="s">
        <v>733</v>
      </c>
      <c r="C242" s="6" t="s">
        <v>734</v>
      </c>
      <c r="D242" s="6" t="s">
        <v>229</v>
      </c>
      <c r="E242" s="26" t="s">
        <v>735</v>
      </c>
      <c r="F242" s="6" t="s">
        <v>736</v>
      </c>
      <c r="G242" s="6"/>
    </row>
    <row r="243">
      <c r="A243" s="6" t="s">
        <v>737</v>
      </c>
      <c r="B243" s="6" t="s">
        <v>737</v>
      </c>
      <c r="C243" s="6" t="s">
        <v>668</v>
      </c>
      <c r="D243" s="6" t="s">
        <v>229</v>
      </c>
      <c r="E243" s="6" t="s">
        <v>669</v>
      </c>
      <c r="F243" s="6" t="s">
        <v>670</v>
      </c>
      <c r="G243" s="6"/>
    </row>
    <row r="244">
      <c r="A244" s="6" t="s">
        <v>738</v>
      </c>
      <c r="B244" s="6" t="s">
        <v>738</v>
      </c>
      <c r="C244" s="6" t="s">
        <v>668</v>
      </c>
      <c r="D244" s="6" t="s">
        <v>229</v>
      </c>
      <c r="E244" s="6" t="s">
        <v>669</v>
      </c>
      <c r="F244" s="6" t="s">
        <v>670</v>
      </c>
      <c r="G244" s="6"/>
    </row>
    <row r="245">
      <c r="A245" s="6" t="s">
        <v>739</v>
      </c>
      <c r="B245" s="6" t="s">
        <v>739</v>
      </c>
      <c r="C245" s="6" t="s">
        <v>668</v>
      </c>
      <c r="D245" s="6" t="s">
        <v>229</v>
      </c>
      <c r="E245" s="6" t="s">
        <v>669</v>
      </c>
      <c r="F245" s="6" t="s">
        <v>670</v>
      </c>
      <c r="G245" s="6"/>
    </row>
    <row r="246">
      <c r="A246" s="6" t="s">
        <v>740</v>
      </c>
      <c r="B246" s="6" t="s">
        <v>740</v>
      </c>
      <c r="C246" s="6" t="s">
        <v>741</v>
      </c>
      <c r="D246" s="6" t="s">
        <v>60</v>
      </c>
      <c r="E246" s="6" t="s">
        <v>742</v>
      </c>
      <c r="F246" s="6" t="s">
        <v>743</v>
      </c>
      <c r="G246" s="6"/>
    </row>
    <row r="247">
      <c r="A247" s="6" t="s">
        <v>744</v>
      </c>
      <c r="B247" s="6" t="s">
        <v>744</v>
      </c>
      <c r="C247" s="6" t="s">
        <v>745</v>
      </c>
      <c r="D247" s="6" t="s">
        <v>229</v>
      </c>
      <c r="E247" s="6" t="s">
        <v>746</v>
      </c>
      <c r="F247" s="6" t="s">
        <v>747</v>
      </c>
      <c r="G247" s="6"/>
    </row>
    <row r="248">
      <c r="A248" s="6" t="s">
        <v>748</v>
      </c>
      <c r="B248" s="6" t="s">
        <v>748</v>
      </c>
      <c r="C248" s="6" t="s">
        <v>749</v>
      </c>
      <c r="D248" s="6" t="s">
        <v>229</v>
      </c>
      <c r="E248" s="6" t="s">
        <v>750</v>
      </c>
      <c r="F248" s="6" t="s">
        <v>751</v>
      </c>
      <c r="G248" s="6"/>
    </row>
    <row r="249">
      <c r="A249" s="6" t="s">
        <v>752</v>
      </c>
      <c r="B249" s="6" t="s">
        <v>752</v>
      </c>
      <c r="C249" s="6" t="s">
        <v>753</v>
      </c>
      <c r="D249" s="6" t="s">
        <v>229</v>
      </c>
      <c r="E249" s="6" t="s">
        <v>754</v>
      </c>
      <c r="F249" s="6" t="s">
        <v>755</v>
      </c>
      <c r="G249" s="6"/>
    </row>
    <row r="250">
      <c r="A250" s="6" t="s">
        <v>756</v>
      </c>
      <c r="B250" s="6" t="s">
        <v>756</v>
      </c>
      <c r="C250" s="6" t="s">
        <v>757</v>
      </c>
      <c r="D250" s="6" t="s">
        <v>229</v>
      </c>
      <c r="E250" s="6" t="s">
        <v>758</v>
      </c>
      <c r="F250" s="6" t="s">
        <v>759</v>
      </c>
      <c r="G250" s="6"/>
    </row>
    <row r="251">
      <c r="A251" s="6" t="s">
        <v>760</v>
      </c>
      <c r="B251" s="6" t="s">
        <v>760</v>
      </c>
      <c r="C251" s="6" t="s">
        <v>761</v>
      </c>
      <c r="D251" s="6" t="s">
        <v>762</v>
      </c>
      <c r="E251" s="6" t="s">
        <v>763</v>
      </c>
      <c r="F251" s="6" t="s">
        <v>764</v>
      </c>
      <c r="G251" s="6"/>
    </row>
    <row r="252">
      <c r="A252" s="6" t="s">
        <v>765</v>
      </c>
      <c r="B252" s="6" t="s">
        <v>765</v>
      </c>
      <c r="C252" s="6" t="s">
        <v>661</v>
      </c>
      <c r="D252" s="6" t="s">
        <v>766</v>
      </c>
      <c r="E252" s="6" t="s">
        <v>662</v>
      </c>
      <c r="F252" s="10" t="s">
        <v>767</v>
      </c>
      <c r="G252" s="6"/>
    </row>
    <row r="253">
      <c r="A253" s="6" t="s">
        <v>768</v>
      </c>
      <c r="B253" s="6" t="s">
        <v>768</v>
      </c>
      <c r="C253" s="6" t="s">
        <v>769</v>
      </c>
      <c r="D253" s="6" t="s">
        <v>229</v>
      </c>
      <c r="F253" s="6" t="s">
        <v>770</v>
      </c>
      <c r="G253" s="6"/>
    </row>
    <row r="254">
      <c r="A254" s="6" t="s">
        <v>771</v>
      </c>
      <c r="B254" s="6" t="s">
        <v>771</v>
      </c>
      <c r="C254" s="6" t="s">
        <v>772</v>
      </c>
      <c r="D254" s="6" t="s">
        <v>229</v>
      </c>
      <c r="F254" s="27" t="s">
        <v>773</v>
      </c>
    </row>
    <row r="255">
      <c r="A255" s="6" t="s">
        <v>774</v>
      </c>
      <c r="B255" s="6" t="s">
        <v>774</v>
      </c>
      <c r="C255" s="6" t="s">
        <v>769</v>
      </c>
      <c r="D255" s="6" t="s">
        <v>229</v>
      </c>
    </row>
    <row r="256">
      <c r="A256" s="6" t="s">
        <v>775</v>
      </c>
      <c r="B256" s="6" t="s">
        <v>775</v>
      </c>
      <c r="C256" s="6" t="s">
        <v>776</v>
      </c>
      <c r="D256" s="6" t="s">
        <v>229</v>
      </c>
    </row>
    <row r="257">
      <c r="A257" s="6" t="s">
        <v>777</v>
      </c>
      <c r="B257" s="6" t="s">
        <v>777</v>
      </c>
      <c r="C257" s="6" t="s">
        <v>769</v>
      </c>
      <c r="D257" s="6" t="s">
        <v>229</v>
      </c>
      <c r="F257" s="6"/>
      <c r="G257" s="6"/>
    </row>
    <row r="258">
      <c r="A258" s="6" t="s">
        <v>778</v>
      </c>
      <c r="B258" s="6" t="s">
        <v>778</v>
      </c>
      <c r="C258" s="6" t="s">
        <v>779</v>
      </c>
      <c r="D258" s="6" t="s">
        <v>229</v>
      </c>
      <c r="F258" s="6"/>
      <c r="G258" s="6"/>
    </row>
    <row r="259">
      <c r="A259" s="6" t="s">
        <v>780</v>
      </c>
      <c r="B259" s="6" t="s">
        <v>780</v>
      </c>
      <c r="C259" s="6" t="s">
        <v>781</v>
      </c>
      <c r="D259" s="6" t="s">
        <v>229</v>
      </c>
      <c r="E259" s="6" t="s">
        <v>782</v>
      </c>
      <c r="F259" s="6" t="s">
        <v>783</v>
      </c>
      <c r="G259" s="6"/>
    </row>
    <row r="260">
      <c r="A260" s="6" t="s">
        <v>784</v>
      </c>
      <c r="B260" s="6" t="s">
        <v>785</v>
      </c>
      <c r="C260" s="6" t="s">
        <v>781</v>
      </c>
      <c r="D260" s="6" t="s">
        <v>229</v>
      </c>
      <c r="E260" s="6" t="s">
        <v>782</v>
      </c>
      <c r="F260" s="6" t="s">
        <v>783</v>
      </c>
      <c r="G260" s="6"/>
    </row>
    <row r="261">
      <c r="A261" s="6" t="s">
        <v>786</v>
      </c>
      <c r="B261" s="6" t="s">
        <v>786</v>
      </c>
      <c r="C261" s="6" t="s">
        <v>787</v>
      </c>
      <c r="D261" s="6" t="s">
        <v>229</v>
      </c>
      <c r="E261" s="6" t="s">
        <v>788</v>
      </c>
      <c r="F261" s="6" t="s">
        <v>789</v>
      </c>
      <c r="G261" s="6"/>
    </row>
    <row r="262">
      <c r="A262" s="6" t="s">
        <v>790</v>
      </c>
      <c r="B262" s="6" t="s">
        <v>790</v>
      </c>
      <c r="C262" s="6" t="s">
        <v>791</v>
      </c>
      <c r="D262" s="6" t="s">
        <v>229</v>
      </c>
    </row>
    <row r="263">
      <c r="A263" s="6" t="s">
        <v>792</v>
      </c>
      <c r="B263" s="6" t="s">
        <v>792</v>
      </c>
      <c r="C263" s="28" t="s">
        <v>793</v>
      </c>
      <c r="D263" s="6" t="s">
        <v>229</v>
      </c>
      <c r="E263" s="6" t="s">
        <v>794</v>
      </c>
      <c r="F263" s="6" t="s">
        <v>795</v>
      </c>
    </row>
    <row r="264">
      <c r="A264" s="6" t="s">
        <v>796</v>
      </c>
      <c r="B264" s="6" t="s">
        <v>796</v>
      </c>
      <c r="C264" s="6" t="s">
        <v>797</v>
      </c>
      <c r="D264" s="6" t="s">
        <v>130</v>
      </c>
      <c r="F264" s="6" t="s">
        <v>798</v>
      </c>
    </row>
    <row r="265">
      <c r="F265" s="6"/>
    </row>
    <row r="266">
      <c r="F266" s="6"/>
    </row>
  </sheetData>
  <hyperlinks>
    <hyperlink r:id="rId1" ref="F5"/>
    <hyperlink r:id="rId2" ref="F25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3"/>
    <col customWidth="1" min="2" max="2" width="86.75"/>
    <col customWidth="1" min="3" max="3" width="22.63"/>
    <col customWidth="1" min="4" max="4" width="19.0"/>
    <col customWidth="1" min="5" max="5" width="28.5"/>
    <col customWidth="1" min="6" max="6" width="26.25"/>
    <col customWidth="1" min="7" max="7" width="16.75"/>
    <col customWidth="1" min="8" max="8" width="60.63"/>
    <col customWidth="1" min="9" max="9" width="377.38"/>
  </cols>
  <sheetData>
    <row r="1">
      <c r="A1" s="29" t="s">
        <v>799</v>
      </c>
      <c r="B1" s="29" t="s">
        <v>800</v>
      </c>
      <c r="C1" s="30" t="s">
        <v>801</v>
      </c>
      <c r="D1" s="29" t="s">
        <v>802</v>
      </c>
      <c r="E1" s="29" t="s">
        <v>803</v>
      </c>
      <c r="F1" s="29" t="s">
        <v>804</v>
      </c>
      <c r="G1" s="29" t="s">
        <v>805</v>
      </c>
      <c r="H1" s="29" t="s">
        <v>806</v>
      </c>
      <c r="I1" s="29" t="s">
        <v>807</v>
      </c>
      <c r="J1" s="31"/>
      <c r="K1" s="31"/>
      <c r="L1" s="31"/>
      <c r="M1" s="31"/>
      <c r="N1" s="31"/>
      <c r="O1" s="31"/>
      <c r="P1" s="31"/>
      <c r="Q1" s="31"/>
      <c r="R1" s="31"/>
      <c r="S1" s="31"/>
      <c r="T1" s="31"/>
      <c r="U1" s="31"/>
      <c r="V1" s="31"/>
      <c r="W1" s="31"/>
      <c r="X1" s="31"/>
      <c r="Y1" s="31"/>
      <c r="Z1" s="31"/>
      <c r="AA1" s="31"/>
      <c r="AB1" s="31"/>
    </row>
    <row r="2">
      <c r="A2" s="5"/>
      <c r="B2" s="32"/>
      <c r="C2" s="33"/>
      <c r="D2" s="11"/>
      <c r="E2" s="11"/>
      <c r="F2" s="11"/>
      <c r="G2" s="11"/>
      <c r="H2" s="11"/>
      <c r="I2" s="4"/>
    </row>
    <row r="3">
      <c r="A3" s="4"/>
      <c r="B3" s="4"/>
      <c r="C3" s="33"/>
      <c r="D3" s="11"/>
      <c r="E3" s="11"/>
      <c r="F3" s="11"/>
      <c r="G3" s="11"/>
      <c r="H3" s="11"/>
      <c r="I3" s="4"/>
    </row>
    <row r="4">
      <c r="A4" s="4">
        <v>3.0</v>
      </c>
      <c r="B4" s="5" t="s">
        <v>808</v>
      </c>
      <c r="C4" s="33" t="s">
        <v>809</v>
      </c>
      <c r="D4" s="11"/>
      <c r="E4" s="6" t="s">
        <v>810</v>
      </c>
      <c r="F4" s="6" t="s">
        <v>811</v>
      </c>
      <c r="G4" s="6" t="s">
        <v>812</v>
      </c>
      <c r="H4" s="6" t="s">
        <v>6</v>
      </c>
      <c r="I4" s="6" t="s">
        <v>813</v>
      </c>
    </row>
    <row r="5">
      <c r="A5" s="4">
        <v>4.0</v>
      </c>
      <c r="B5" s="6" t="s">
        <v>814</v>
      </c>
      <c r="C5" s="34" t="s">
        <v>815</v>
      </c>
      <c r="D5" s="11"/>
      <c r="E5" s="6" t="s">
        <v>810</v>
      </c>
      <c r="F5" s="6" t="s">
        <v>811</v>
      </c>
      <c r="G5" s="6" t="s">
        <v>812</v>
      </c>
      <c r="H5" s="6" t="s">
        <v>11</v>
      </c>
      <c r="I5" s="6" t="s">
        <v>816</v>
      </c>
    </row>
    <row r="6">
      <c r="A6" s="4">
        <v>5.0</v>
      </c>
      <c r="B6" s="6" t="s">
        <v>16</v>
      </c>
      <c r="C6" s="34" t="s">
        <v>817</v>
      </c>
      <c r="D6" s="11"/>
      <c r="E6" s="6" t="s">
        <v>810</v>
      </c>
      <c r="F6" s="6" t="s">
        <v>811</v>
      </c>
      <c r="G6" s="6" t="s">
        <v>812</v>
      </c>
      <c r="H6" s="6" t="s">
        <v>15</v>
      </c>
      <c r="I6" s="6" t="s">
        <v>818</v>
      </c>
    </row>
    <row r="7">
      <c r="A7" s="4">
        <v>6.0</v>
      </c>
      <c r="B7" s="5" t="s">
        <v>20</v>
      </c>
      <c r="C7" s="34" t="s">
        <v>819</v>
      </c>
      <c r="D7" s="11"/>
      <c r="E7" s="6" t="s">
        <v>810</v>
      </c>
      <c r="F7" s="6" t="s">
        <v>811</v>
      </c>
      <c r="G7" s="6" t="s">
        <v>812</v>
      </c>
      <c r="H7" s="6" t="s">
        <v>20</v>
      </c>
      <c r="I7" s="6" t="s">
        <v>820</v>
      </c>
    </row>
    <row r="8">
      <c r="A8" s="4">
        <v>7.0</v>
      </c>
      <c r="B8" s="6" t="s">
        <v>821</v>
      </c>
      <c r="C8" s="35" t="s">
        <v>822</v>
      </c>
      <c r="D8" s="11"/>
      <c r="E8" s="6" t="s">
        <v>810</v>
      </c>
      <c r="F8" s="6" t="s">
        <v>811</v>
      </c>
      <c r="G8" s="6" t="s">
        <v>812</v>
      </c>
      <c r="H8" s="6" t="s">
        <v>24</v>
      </c>
      <c r="I8" s="6" t="s">
        <v>823</v>
      </c>
    </row>
    <row r="9">
      <c r="A9" s="4">
        <v>8.0</v>
      </c>
      <c r="B9" s="6" t="s">
        <v>824</v>
      </c>
      <c r="C9" s="34" t="s">
        <v>825</v>
      </c>
      <c r="D9" s="11"/>
      <c r="E9" s="6" t="s">
        <v>810</v>
      </c>
      <c r="F9" s="6" t="s">
        <v>811</v>
      </c>
      <c r="G9" s="6" t="s">
        <v>812</v>
      </c>
      <c r="H9" s="6" t="s">
        <v>28</v>
      </c>
      <c r="I9" s="6" t="s">
        <v>826</v>
      </c>
    </row>
    <row r="10">
      <c r="A10" s="4">
        <v>9.0</v>
      </c>
      <c r="B10" s="6" t="s">
        <v>827</v>
      </c>
      <c r="C10" s="34" t="s">
        <v>828</v>
      </c>
      <c r="D10" s="11"/>
      <c r="E10" s="6" t="s">
        <v>810</v>
      </c>
      <c r="F10" s="6" t="s">
        <v>811</v>
      </c>
      <c r="G10" s="6" t="s">
        <v>812</v>
      </c>
      <c r="H10" s="6" t="s">
        <v>32</v>
      </c>
      <c r="I10" s="6" t="s">
        <v>829</v>
      </c>
    </row>
    <row r="11">
      <c r="A11" s="4">
        <v>10.0</v>
      </c>
      <c r="B11" s="6" t="s">
        <v>830</v>
      </c>
      <c r="C11" s="34" t="s">
        <v>825</v>
      </c>
      <c r="D11" s="11"/>
      <c r="E11" s="6" t="s">
        <v>810</v>
      </c>
      <c r="F11" s="6" t="s">
        <v>811</v>
      </c>
      <c r="G11" s="6" t="s">
        <v>812</v>
      </c>
      <c r="H11" s="6" t="s">
        <v>36</v>
      </c>
      <c r="I11" s="6" t="s">
        <v>831</v>
      </c>
    </row>
    <row r="12">
      <c r="A12" s="4">
        <v>11.0</v>
      </c>
      <c r="B12" s="6" t="s">
        <v>832</v>
      </c>
      <c r="C12" s="34" t="s">
        <v>833</v>
      </c>
      <c r="D12" s="11"/>
      <c r="E12" s="6" t="s">
        <v>810</v>
      </c>
      <c r="F12" s="6" t="s">
        <v>811</v>
      </c>
      <c r="G12" s="6" t="s">
        <v>812</v>
      </c>
      <c r="H12" s="6" t="s">
        <v>40</v>
      </c>
      <c r="I12" s="6" t="s">
        <v>834</v>
      </c>
    </row>
    <row r="13">
      <c r="A13" s="4">
        <v>12.0</v>
      </c>
      <c r="B13" s="6" t="s">
        <v>835</v>
      </c>
      <c r="C13" s="34" t="s">
        <v>836</v>
      </c>
      <c r="D13" s="11"/>
      <c r="E13" s="6" t="s">
        <v>810</v>
      </c>
      <c r="F13" s="6" t="s">
        <v>811</v>
      </c>
      <c r="G13" s="6" t="s">
        <v>812</v>
      </c>
      <c r="H13" s="6" t="s">
        <v>44</v>
      </c>
      <c r="I13" s="6" t="s">
        <v>837</v>
      </c>
    </row>
    <row r="14">
      <c r="A14" s="4">
        <v>13.0</v>
      </c>
      <c r="B14" s="9" t="s">
        <v>48</v>
      </c>
      <c r="C14" s="34" t="s">
        <v>838</v>
      </c>
      <c r="D14" s="11"/>
      <c r="E14" s="6" t="s">
        <v>810</v>
      </c>
      <c r="F14" s="6" t="s">
        <v>811</v>
      </c>
      <c r="G14" s="6" t="s">
        <v>812</v>
      </c>
      <c r="H14" s="6" t="s">
        <v>48</v>
      </c>
      <c r="I14" s="6" t="s">
        <v>839</v>
      </c>
    </row>
    <row r="15">
      <c r="A15" s="4">
        <v>14.0</v>
      </c>
      <c r="B15" s="6" t="s">
        <v>53</v>
      </c>
      <c r="C15" s="34" t="s">
        <v>840</v>
      </c>
      <c r="D15" s="11"/>
      <c r="E15" s="6" t="s">
        <v>810</v>
      </c>
      <c r="F15" s="6" t="s">
        <v>811</v>
      </c>
      <c r="G15" s="6" t="s">
        <v>812</v>
      </c>
      <c r="H15" s="6" t="s">
        <v>53</v>
      </c>
      <c r="I15" s="6" t="s">
        <v>841</v>
      </c>
    </row>
    <row r="16">
      <c r="A16" s="4">
        <v>15.0</v>
      </c>
      <c r="B16" s="6" t="s">
        <v>842</v>
      </c>
      <c r="C16" s="34" t="s">
        <v>843</v>
      </c>
      <c r="D16" s="11"/>
      <c r="E16" s="6" t="s">
        <v>810</v>
      </c>
      <c r="F16" s="6" t="s">
        <v>811</v>
      </c>
      <c r="G16" s="6" t="s">
        <v>812</v>
      </c>
      <c r="H16" s="6" t="s">
        <v>58</v>
      </c>
      <c r="I16" s="6" t="s">
        <v>844</v>
      </c>
    </row>
    <row r="17">
      <c r="A17" s="4">
        <v>16.0</v>
      </c>
      <c r="B17" s="6" t="s">
        <v>845</v>
      </c>
      <c r="C17" s="34" t="s">
        <v>846</v>
      </c>
      <c r="D17" s="11"/>
      <c r="E17" s="6" t="s">
        <v>810</v>
      </c>
      <c r="F17" s="6" t="s">
        <v>811</v>
      </c>
      <c r="G17" s="6" t="s">
        <v>812</v>
      </c>
      <c r="H17" s="6" t="s">
        <v>63</v>
      </c>
      <c r="I17" s="6" t="s">
        <v>847</v>
      </c>
    </row>
    <row r="18">
      <c r="A18" s="4">
        <v>17.0</v>
      </c>
      <c r="B18" s="6" t="s">
        <v>848</v>
      </c>
      <c r="C18" s="34" t="s">
        <v>849</v>
      </c>
      <c r="D18" s="11"/>
      <c r="E18" s="6" t="s">
        <v>810</v>
      </c>
      <c r="F18" s="6" t="s">
        <v>811</v>
      </c>
      <c r="G18" s="6" t="s">
        <v>812</v>
      </c>
      <c r="H18" s="6" t="s">
        <v>67</v>
      </c>
      <c r="I18" s="6" t="s">
        <v>850</v>
      </c>
    </row>
    <row r="19">
      <c r="A19" s="4">
        <v>18.0</v>
      </c>
      <c r="B19" s="6" t="s">
        <v>73</v>
      </c>
      <c r="C19" s="34" t="s">
        <v>851</v>
      </c>
      <c r="D19" s="11"/>
      <c r="E19" s="6" t="s">
        <v>810</v>
      </c>
      <c r="F19" s="6" t="s">
        <v>811</v>
      </c>
      <c r="G19" s="6" t="s">
        <v>812</v>
      </c>
      <c r="H19" s="6" t="s">
        <v>72</v>
      </c>
      <c r="I19" s="6" t="s">
        <v>852</v>
      </c>
    </row>
    <row r="20">
      <c r="A20" s="4">
        <v>19.0</v>
      </c>
      <c r="B20" s="6" t="s">
        <v>78</v>
      </c>
      <c r="C20" s="34" t="s">
        <v>853</v>
      </c>
      <c r="D20" s="11"/>
      <c r="E20" s="6" t="s">
        <v>810</v>
      </c>
      <c r="F20" s="6" t="s">
        <v>811</v>
      </c>
      <c r="G20" s="6" t="s">
        <v>812</v>
      </c>
      <c r="H20" s="6" t="s">
        <v>20</v>
      </c>
      <c r="I20" s="6" t="s">
        <v>854</v>
      </c>
    </row>
    <row r="21">
      <c r="A21" s="4">
        <v>20.0</v>
      </c>
      <c r="B21" s="6" t="s">
        <v>82</v>
      </c>
      <c r="C21" s="34" t="s">
        <v>828</v>
      </c>
      <c r="D21" s="11"/>
      <c r="E21" s="6" t="s">
        <v>810</v>
      </c>
      <c r="F21" s="6" t="s">
        <v>811</v>
      </c>
      <c r="G21" s="6" t="s">
        <v>812</v>
      </c>
      <c r="H21" s="6" t="s">
        <v>82</v>
      </c>
      <c r="I21" s="6" t="s">
        <v>855</v>
      </c>
    </row>
    <row r="22">
      <c r="A22" s="4">
        <v>21.0</v>
      </c>
      <c r="B22" s="6" t="s">
        <v>856</v>
      </c>
      <c r="C22" s="34" t="s">
        <v>857</v>
      </c>
      <c r="D22" s="11"/>
      <c r="E22" s="6" t="s">
        <v>810</v>
      </c>
      <c r="F22" s="6" t="s">
        <v>811</v>
      </c>
      <c r="G22" s="6" t="s">
        <v>812</v>
      </c>
      <c r="H22" s="6" t="s">
        <v>86</v>
      </c>
      <c r="I22" s="6" t="s">
        <v>858</v>
      </c>
    </row>
    <row r="23">
      <c r="A23" s="4">
        <v>22.0</v>
      </c>
      <c r="B23" s="6" t="s">
        <v>90</v>
      </c>
      <c r="C23" s="34" t="s">
        <v>859</v>
      </c>
      <c r="D23" s="11"/>
      <c r="E23" s="6" t="s">
        <v>810</v>
      </c>
      <c r="F23" s="6" t="s">
        <v>811</v>
      </c>
      <c r="G23" s="6" t="s">
        <v>812</v>
      </c>
      <c r="H23" s="6" t="s">
        <v>90</v>
      </c>
      <c r="I23" s="6" t="s">
        <v>860</v>
      </c>
    </row>
    <row r="24">
      <c r="A24" s="4">
        <v>23.0</v>
      </c>
      <c r="B24" s="6" t="s">
        <v>861</v>
      </c>
      <c r="C24" s="34" t="s">
        <v>862</v>
      </c>
      <c r="D24" s="11"/>
      <c r="E24" s="6" t="s">
        <v>810</v>
      </c>
      <c r="F24" s="6" t="s">
        <v>811</v>
      </c>
      <c r="G24" s="6" t="s">
        <v>812</v>
      </c>
      <c r="H24" s="6" t="s">
        <v>95</v>
      </c>
      <c r="I24" s="6" t="s">
        <v>863</v>
      </c>
    </row>
    <row r="25">
      <c r="A25" s="4">
        <v>24.0</v>
      </c>
      <c r="B25" s="6" t="s">
        <v>864</v>
      </c>
      <c r="C25" s="34" t="s">
        <v>865</v>
      </c>
      <c r="D25" s="11"/>
      <c r="E25" s="6" t="s">
        <v>810</v>
      </c>
      <c r="F25" s="6" t="s">
        <v>811</v>
      </c>
      <c r="G25" s="6" t="s">
        <v>812</v>
      </c>
      <c r="H25" s="6" t="s">
        <v>99</v>
      </c>
      <c r="I25" s="6" t="s">
        <v>866</v>
      </c>
    </row>
    <row r="26">
      <c r="A26" s="4">
        <v>25.0</v>
      </c>
      <c r="B26" s="6" t="s">
        <v>103</v>
      </c>
      <c r="C26" s="34" t="s">
        <v>867</v>
      </c>
      <c r="D26" s="11"/>
      <c r="E26" s="6" t="s">
        <v>810</v>
      </c>
      <c r="F26" s="6" t="s">
        <v>811</v>
      </c>
      <c r="G26" s="6" t="s">
        <v>812</v>
      </c>
      <c r="H26" s="6" t="s">
        <v>103</v>
      </c>
      <c r="I26" s="6" t="s">
        <v>868</v>
      </c>
    </row>
    <row r="27">
      <c r="A27" s="4">
        <v>26.0</v>
      </c>
      <c r="B27" s="6" t="s">
        <v>869</v>
      </c>
      <c r="C27" s="34" t="s">
        <v>862</v>
      </c>
      <c r="D27" s="11"/>
      <c r="E27" s="6" t="s">
        <v>810</v>
      </c>
      <c r="F27" s="6" t="s">
        <v>811</v>
      </c>
      <c r="G27" s="6" t="s">
        <v>812</v>
      </c>
      <c r="H27" s="6" t="s">
        <v>107</v>
      </c>
      <c r="I27" s="6" t="s">
        <v>870</v>
      </c>
    </row>
    <row r="28">
      <c r="A28" s="4">
        <v>27.0</v>
      </c>
      <c r="B28" s="6" t="s">
        <v>871</v>
      </c>
      <c r="C28" s="34" t="s">
        <v>872</v>
      </c>
      <c r="D28" s="11"/>
      <c r="E28" s="6" t="s">
        <v>810</v>
      </c>
      <c r="F28" s="6" t="s">
        <v>811</v>
      </c>
      <c r="G28" s="6" t="s">
        <v>812</v>
      </c>
      <c r="H28" s="6" t="s">
        <v>111</v>
      </c>
      <c r="I28" s="6" t="s">
        <v>873</v>
      </c>
    </row>
    <row r="29">
      <c r="A29" s="4">
        <v>28.0</v>
      </c>
      <c r="B29" s="6" t="s">
        <v>874</v>
      </c>
      <c r="C29" s="34" t="s">
        <v>875</v>
      </c>
      <c r="D29" s="11"/>
      <c r="E29" s="6" t="s">
        <v>810</v>
      </c>
      <c r="F29" s="6" t="s">
        <v>811</v>
      </c>
      <c r="G29" s="6" t="s">
        <v>812</v>
      </c>
      <c r="H29" s="6" t="s">
        <v>115</v>
      </c>
      <c r="I29" s="6" t="s">
        <v>876</v>
      </c>
    </row>
    <row r="30">
      <c r="A30" s="4">
        <v>29.0</v>
      </c>
      <c r="B30" s="6" t="s">
        <v>119</v>
      </c>
      <c r="C30" s="34" t="s">
        <v>877</v>
      </c>
      <c r="D30" s="11"/>
      <c r="E30" s="6" t="s">
        <v>810</v>
      </c>
      <c r="F30" s="6" t="s">
        <v>811</v>
      </c>
      <c r="G30" s="6" t="s">
        <v>812</v>
      </c>
      <c r="H30" s="6" t="s">
        <v>119</v>
      </c>
      <c r="I30" s="6" t="s">
        <v>878</v>
      </c>
    </row>
    <row r="31">
      <c r="A31" s="4">
        <v>30.0</v>
      </c>
      <c r="B31" s="6" t="s">
        <v>123</v>
      </c>
      <c r="C31" s="34" t="s">
        <v>879</v>
      </c>
      <c r="D31" s="11"/>
      <c r="E31" s="6" t="s">
        <v>810</v>
      </c>
      <c r="F31" s="6" t="s">
        <v>811</v>
      </c>
      <c r="G31" s="6" t="s">
        <v>812</v>
      </c>
      <c r="H31" s="6" t="s">
        <v>123</v>
      </c>
      <c r="I31" s="6" t="s">
        <v>880</v>
      </c>
    </row>
    <row r="32">
      <c r="A32" s="4">
        <v>31.0</v>
      </c>
      <c r="B32" s="6" t="s">
        <v>881</v>
      </c>
      <c r="C32" s="34" t="s">
        <v>833</v>
      </c>
      <c r="D32" s="11"/>
      <c r="E32" s="6" t="s">
        <v>810</v>
      </c>
      <c r="F32" s="6" t="s">
        <v>811</v>
      </c>
      <c r="G32" s="6" t="s">
        <v>812</v>
      </c>
      <c r="H32" s="6" t="s">
        <v>128</v>
      </c>
      <c r="I32" s="36" t="s">
        <v>882</v>
      </c>
    </row>
    <row r="33">
      <c r="A33" s="4">
        <v>32.0</v>
      </c>
      <c r="B33" s="6" t="s">
        <v>883</v>
      </c>
      <c r="C33" s="34" t="s">
        <v>884</v>
      </c>
      <c r="D33" s="11"/>
      <c r="E33" s="6" t="s">
        <v>810</v>
      </c>
      <c r="F33" s="6" t="s">
        <v>811</v>
      </c>
      <c r="G33" s="6" t="s">
        <v>812</v>
      </c>
      <c r="H33" s="6" t="s">
        <v>133</v>
      </c>
      <c r="I33" s="6" t="s">
        <v>885</v>
      </c>
    </row>
    <row r="34">
      <c r="A34" s="4">
        <v>33.0</v>
      </c>
      <c r="B34" s="6" t="s">
        <v>886</v>
      </c>
      <c r="C34" s="34" t="s">
        <v>887</v>
      </c>
      <c r="D34" s="11"/>
      <c r="E34" s="6" t="s">
        <v>810</v>
      </c>
      <c r="F34" s="6" t="s">
        <v>811</v>
      </c>
      <c r="G34" s="6" t="s">
        <v>812</v>
      </c>
      <c r="H34" s="6" t="s">
        <v>137</v>
      </c>
      <c r="I34" s="36" t="s">
        <v>888</v>
      </c>
    </row>
    <row r="35">
      <c r="A35" s="4">
        <v>34.0</v>
      </c>
      <c r="B35" s="6" t="s">
        <v>889</v>
      </c>
      <c r="C35" s="34" t="s">
        <v>890</v>
      </c>
      <c r="D35" s="11"/>
      <c r="E35" s="6" t="s">
        <v>810</v>
      </c>
      <c r="F35" s="6" t="s">
        <v>811</v>
      </c>
      <c r="G35" s="6" t="s">
        <v>812</v>
      </c>
      <c r="H35" s="6" t="s">
        <v>141</v>
      </c>
      <c r="I35" s="6" t="s">
        <v>891</v>
      </c>
    </row>
    <row r="36">
      <c r="A36" s="4">
        <v>35.0</v>
      </c>
      <c r="B36" s="6" t="s">
        <v>145</v>
      </c>
      <c r="C36" s="34" t="s">
        <v>892</v>
      </c>
      <c r="D36" s="11"/>
      <c r="E36" s="6" t="s">
        <v>810</v>
      </c>
      <c r="F36" s="6" t="s">
        <v>811</v>
      </c>
      <c r="G36" s="6" t="s">
        <v>812</v>
      </c>
      <c r="H36" s="6" t="s">
        <v>145</v>
      </c>
      <c r="I36" s="6" t="s">
        <v>893</v>
      </c>
    </row>
    <row r="37">
      <c r="A37" s="4">
        <v>36.0</v>
      </c>
      <c r="B37" s="6" t="s">
        <v>894</v>
      </c>
      <c r="C37" s="34" t="s">
        <v>895</v>
      </c>
      <c r="D37" s="11"/>
      <c r="E37" s="6" t="s">
        <v>810</v>
      </c>
      <c r="F37" s="6" t="s">
        <v>811</v>
      </c>
      <c r="G37" s="6" t="s">
        <v>812</v>
      </c>
      <c r="H37" s="6" t="s">
        <v>150</v>
      </c>
      <c r="I37" s="6" t="s">
        <v>896</v>
      </c>
    </row>
    <row r="38">
      <c r="A38" s="4">
        <v>37.0</v>
      </c>
      <c r="B38" s="6" t="s">
        <v>897</v>
      </c>
      <c r="C38" s="34" t="s">
        <v>898</v>
      </c>
      <c r="D38" s="11"/>
      <c r="E38" s="6" t="s">
        <v>810</v>
      </c>
      <c r="F38" s="6" t="s">
        <v>811</v>
      </c>
      <c r="G38" s="6" t="s">
        <v>812</v>
      </c>
      <c r="H38" s="6" t="s">
        <v>156</v>
      </c>
      <c r="I38" s="6" t="s">
        <v>899</v>
      </c>
    </row>
    <row r="39">
      <c r="A39" s="4">
        <v>38.0</v>
      </c>
      <c r="B39" s="6" t="s">
        <v>900</v>
      </c>
      <c r="C39" s="34" t="s">
        <v>901</v>
      </c>
      <c r="D39" s="6">
        <v>37.0</v>
      </c>
      <c r="E39" s="6" t="s">
        <v>902</v>
      </c>
      <c r="F39" s="6" t="s">
        <v>811</v>
      </c>
      <c r="G39" s="6" t="s">
        <v>812</v>
      </c>
      <c r="H39" s="6" t="s">
        <v>160</v>
      </c>
      <c r="I39" s="6" t="s">
        <v>899</v>
      </c>
    </row>
    <row r="40">
      <c r="A40" s="4">
        <v>39.0</v>
      </c>
      <c r="B40" s="6" t="s">
        <v>903</v>
      </c>
      <c r="C40" s="34" t="s">
        <v>904</v>
      </c>
      <c r="D40" s="11"/>
      <c r="E40" s="6" t="s">
        <v>810</v>
      </c>
      <c r="F40" s="6" t="s">
        <v>811</v>
      </c>
      <c r="G40" s="6" t="s">
        <v>812</v>
      </c>
      <c r="H40" s="6" t="s">
        <v>161</v>
      </c>
      <c r="I40" s="6" t="s">
        <v>905</v>
      </c>
    </row>
    <row r="41">
      <c r="A41" s="4">
        <v>40.0</v>
      </c>
      <c r="B41" s="6" t="s">
        <v>166</v>
      </c>
      <c r="C41" s="34" t="s">
        <v>906</v>
      </c>
      <c r="D41" s="11"/>
      <c r="E41" s="6" t="s">
        <v>810</v>
      </c>
      <c r="F41" s="6" t="s">
        <v>811</v>
      </c>
      <c r="G41" s="6" t="s">
        <v>812</v>
      </c>
      <c r="H41" s="6" t="s">
        <v>166</v>
      </c>
      <c r="I41" s="6" t="s">
        <v>907</v>
      </c>
    </row>
    <row r="42">
      <c r="A42" s="4">
        <v>41.0</v>
      </c>
      <c r="B42" s="6" t="s">
        <v>908</v>
      </c>
      <c r="C42" s="34" t="s">
        <v>909</v>
      </c>
      <c r="D42" s="11"/>
      <c r="E42" s="6" t="s">
        <v>810</v>
      </c>
      <c r="F42" s="6" t="s">
        <v>811</v>
      </c>
      <c r="G42" s="6" t="s">
        <v>812</v>
      </c>
      <c r="H42" s="6" t="s">
        <v>171</v>
      </c>
      <c r="I42" s="6" t="s">
        <v>910</v>
      </c>
    </row>
    <row r="43">
      <c r="A43" s="4">
        <v>42.0</v>
      </c>
      <c r="B43" s="6" t="s">
        <v>911</v>
      </c>
      <c r="C43" s="34" t="s">
        <v>912</v>
      </c>
      <c r="D43" s="11"/>
      <c r="E43" s="6" t="s">
        <v>810</v>
      </c>
      <c r="F43" s="6" t="s">
        <v>811</v>
      </c>
      <c r="G43" s="6" t="s">
        <v>812</v>
      </c>
      <c r="H43" s="6" t="s">
        <v>175</v>
      </c>
      <c r="I43" s="6" t="s">
        <v>913</v>
      </c>
    </row>
    <row r="44">
      <c r="A44" s="4">
        <v>43.0</v>
      </c>
      <c r="B44" s="6" t="s">
        <v>914</v>
      </c>
      <c r="C44" s="34" t="s">
        <v>915</v>
      </c>
      <c r="D44" s="11"/>
      <c r="E44" s="6" t="s">
        <v>810</v>
      </c>
      <c r="F44" s="6" t="s">
        <v>811</v>
      </c>
      <c r="G44" s="6" t="s">
        <v>812</v>
      </c>
      <c r="H44" s="6" t="s">
        <v>179</v>
      </c>
      <c r="I44" s="6" t="s">
        <v>916</v>
      </c>
    </row>
    <row r="45">
      <c r="A45" s="4">
        <v>44.0</v>
      </c>
      <c r="B45" s="6" t="s">
        <v>917</v>
      </c>
      <c r="C45" s="34" t="s">
        <v>918</v>
      </c>
      <c r="D45" s="11"/>
      <c r="E45" s="6" t="s">
        <v>810</v>
      </c>
      <c r="F45" s="6" t="s">
        <v>811</v>
      </c>
      <c r="G45" s="6" t="s">
        <v>812</v>
      </c>
      <c r="H45" s="6" t="s">
        <v>183</v>
      </c>
      <c r="I45" s="6" t="s">
        <v>919</v>
      </c>
    </row>
    <row r="46">
      <c r="A46" s="4">
        <v>45.0</v>
      </c>
      <c r="B46" s="6" t="s">
        <v>920</v>
      </c>
      <c r="C46" s="34" t="s">
        <v>921</v>
      </c>
      <c r="D46" s="11"/>
      <c r="E46" s="6" t="s">
        <v>810</v>
      </c>
      <c r="F46" s="6" t="s">
        <v>811</v>
      </c>
      <c r="G46" s="6" t="s">
        <v>812</v>
      </c>
      <c r="H46" s="6" t="s">
        <v>188</v>
      </c>
      <c r="I46" s="6" t="s">
        <v>922</v>
      </c>
    </row>
    <row r="47">
      <c r="A47" s="4">
        <v>46.0</v>
      </c>
      <c r="B47" s="6" t="s">
        <v>192</v>
      </c>
      <c r="C47" s="34" t="s">
        <v>923</v>
      </c>
      <c r="D47" s="11"/>
      <c r="E47" s="6" t="s">
        <v>810</v>
      </c>
      <c r="F47" s="6" t="s">
        <v>811</v>
      </c>
      <c r="G47" s="6" t="s">
        <v>812</v>
      </c>
      <c r="H47" s="6" t="s">
        <v>192</v>
      </c>
      <c r="I47" s="6" t="s">
        <v>924</v>
      </c>
    </row>
    <row r="48">
      <c r="A48" s="4">
        <v>47.0</v>
      </c>
      <c r="B48" s="6" t="s">
        <v>925</v>
      </c>
      <c r="C48" s="34" t="s">
        <v>926</v>
      </c>
      <c r="D48" s="11"/>
      <c r="E48" s="6" t="s">
        <v>810</v>
      </c>
      <c r="F48" s="6" t="s">
        <v>811</v>
      </c>
      <c r="G48" s="6" t="s">
        <v>812</v>
      </c>
      <c r="H48" s="6" t="s">
        <v>198</v>
      </c>
      <c r="I48" s="6" t="s">
        <v>927</v>
      </c>
    </row>
    <row r="49">
      <c r="A49" s="4">
        <v>48.0</v>
      </c>
      <c r="B49" s="6" t="s">
        <v>928</v>
      </c>
      <c r="C49" s="34" t="s">
        <v>929</v>
      </c>
      <c r="D49" s="11"/>
      <c r="E49" s="6" t="s">
        <v>810</v>
      </c>
      <c r="F49" s="6" t="s">
        <v>811</v>
      </c>
      <c r="G49" s="6" t="s">
        <v>812</v>
      </c>
      <c r="H49" s="6" t="s">
        <v>207</v>
      </c>
      <c r="I49" s="6" t="s">
        <v>930</v>
      </c>
    </row>
    <row r="50">
      <c r="A50" s="4">
        <v>49.0</v>
      </c>
      <c r="B50" s="6" t="s">
        <v>931</v>
      </c>
      <c r="C50" s="34" t="s">
        <v>932</v>
      </c>
      <c r="D50" s="11"/>
      <c r="E50" s="6" t="s">
        <v>810</v>
      </c>
      <c r="F50" s="6" t="s">
        <v>811</v>
      </c>
      <c r="G50" s="6" t="s">
        <v>812</v>
      </c>
      <c r="H50" s="6" t="s">
        <v>526</v>
      </c>
      <c r="I50" s="6" t="s">
        <v>933</v>
      </c>
    </row>
    <row r="51">
      <c r="A51" s="4">
        <v>50.0</v>
      </c>
      <c r="B51" s="6" t="s">
        <v>934</v>
      </c>
      <c r="C51" s="34" t="s">
        <v>935</v>
      </c>
      <c r="D51" s="11"/>
      <c r="E51" s="6" t="s">
        <v>810</v>
      </c>
      <c r="F51" s="6" t="s">
        <v>811</v>
      </c>
      <c r="G51" s="6" t="s">
        <v>812</v>
      </c>
      <c r="H51" s="6" t="s">
        <v>203</v>
      </c>
      <c r="I51" s="6" t="s">
        <v>936</v>
      </c>
    </row>
    <row r="52">
      <c r="A52" s="4">
        <v>51.0</v>
      </c>
      <c r="B52" s="6" t="s">
        <v>937</v>
      </c>
      <c r="C52" s="34" t="s">
        <v>938</v>
      </c>
      <c r="D52" s="11"/>
      <c r="E52" s="6" t="s">
        <v>810</v>
      </c>
      <c r="F52" s="6" t="s">
        <v>811</v>
      </c>
      <c r="G52" s="6" t="s">
        <v>812</v>
      </c>
      <c r="H52" s="6" t="s">
        <v>216</v>
      </c>
      <c r="I52" s="6" t="s">
        <v>939</v>
      </c>
    </row>
    <row r="53">
      <c r="A53" s="4">
        <v>52.0</v>
      </c>
      <c r="B53" s="6" t="s">
        <v>940</v>
      </c>
      <c r="C53" s="34" t="s">
        <v>941</v>
      </c>
      <c r="D53" s="11"/>
      <c r="E53" s="6" t="s">
        <v>810</v>
      </c>
      <c r="F53" s="6" t="s">
        <v>811</v>
      </c>
      <c r="G53" s="6" t="s">
        <v>812</v>
      </c>
      <c r="H53" s="6" t="s">
        <v>221</v>
      </c>
      <c r="I53" s="6" t="s">
        <v>942</v>
      </c>
    </row>
    <row r="54">
      <c r="A54" s="4">
        <v>53.0</v>
      </c>
      <c r="B54" s="6" t="s">
        <v>943</v>
      </c>
      <c r="C54" s="34" t="s">
        <v>944</v>
      </c>
      <c r="D54" s="11"/>
      <c r="E54" s="6" t="s">
        <v>810</v>
      </c>
      <c r="F54" s="6" t="s">
        <v>811</v>
      </c>
      <c r="G54" s="6" t="s">
        <v>812</v>
      </c>
      <c r="H54" s="6" t="s">
        <v>221</v>
      </c>
      <c r="I54" s="6" t="s">
        <v>945</v>
      </c>
    </row>
    <row r="55">
      <c r="A55" s="4">
        <v>54.0</v>
      </c>
      <c r="B55" s="37" t="s">
        <v>226</v>
      </c>
      <c r="C55" s="34" t="s">
        <v>946</v>
      </c>
      <c r="D55" s="11"/>
      <c r="E55" s="6" t="s">
        <v>810</v>
      </c>
      <c r="F55" s="6" t="s">
        <v>811</v>
      </c>
      <c r="G55" s="6" t="s">
        <v>812</v>
      </c>
      <c r="H55" s="6" t="s">
        <v>226</v>
      </c>
      <c r="I55" s="6" t="s">
        <v>947</v>
      </c>
    </row>
    <row r="56">
      <c r="A56" s="4">
        <v>55.0</v>
      </c>
      <c r="B56" s="6" t="s">
        <v>231</v>
      </c>
      <c r="C56" s="34" t="s">
        <v>948</v>
      </c>
      <c r="D56" s="11"/>
      <c r="E56" s="6" t="s">
        <v>810</v>
      </c>
      <c r="F56" s="6" t="s">
        <v>811</v>
      </c>
      <c r="G56" s="6" t="s">
        <v>812</v>
      </c>
      <c r="H56" s="6" t="s">
        <v>231</v>
      </c>
      <c r="I56" s="6" t="s">
        <v>949</v>
      </c>
    </row>
    <row r="57">
      <c r="A57" s="4">
        <v>56.0</v>
      </c>
      <c r="B57" s="6" t="s">
        <v>950</v>
      </c>
      <c r="C57" s="34" t="s">
        <v>951</v>
      </c>
      <c r="D57" s="11"/>
      <c r="E57" s="6" t="s">
        <v>810</v>
      </c>
      <c r="F57" s="6" t="s">
        <v>811</v>
      </c>
      <c r="G57" s="6" t="s">
        <v>812</v>
      </c>
      <c r="H57" s="6" t="s">
        <v>236</v>
      </c>
      <c r="I57" s="6" t="s">
        <v>947</v>
      </c>
    </row>
    <row r="58">
      <c r="A58" s="4">
        <v>57.0</v>
      </c>
      <c r="B58" s="6" t="s">
        <v>952</v>
      </c>
      <c r="C58" s="34" t="s">
        <v>953</v>
      </c>
      <c r="D58" s="11"/>
      <c r="E58" s="6" t="s">
        <v>810</v>
      </c>
      <c r="F58" s="6" t="s">
        <v>811</v>
      </c>
      <c r="G58" s="6" t="s">
        <v>812</v>
      </c>
      <c r="H58" s="6" t="s">
        <v>236</v>
      </c>
      <c r="I58" s="6" t="s">
        <v>947</v>
      </c>
    </row>
    <row r="59">
      <c r="A59" s="4">
        <v>58.0</v>
      </c>
      <c r="B59" s="6" t="s">
        <v>239</v>
      </c>
      <c r="C59" s="34" t="s">
        <v>954</v>
      </c>
      <c r="D59" s="11"/>
      <c r="E59" s="6" t="s">
        <v>810</v>
      </c>
      <c r="F59" s="6" t="s">
        <v>811</v>
      </c>
      <c r="G59" s="6" t="s">
        <v>812</v>
      </c>
      <c r="H59" s="6" t="s">
        <v>238</v>
      </c>
      <c r="I59" s="6" t="s">
        <v>955</v>
      </c>
    </row>
    <row r="60">
      <c r="A60" s="4">
        <v>59.0</v>
      </c>
      <c r="B60" s="6" t="s">
        <v>243</v>
      </c>
      <c r="C60" s="34" t="s">
        <v>956</v>
      </c>
      <c r="D60" s="11"/>
      <c r="E60" s="6" t="s">
        <v>810</v>
      </c>
      <c r="F60" s="6" t="s">
        <v>811</v>
      </c>
      <c r="G60" s="6" t="s">
        <v>812</v>
      </c>
      <c r="H60" s="6" t="s">
        <v>243</v>
      </c>
      <c r="I60" s="6" t="s">
        <v>957</v>
      </c>
    </row>
    <row r="61">
      <c r="A61" s="4">
        <v>60.0</v>
      </c>
      <c r="B61" s="6" t="s">
        <v>958</v>
      </c>
      <c r="C61" s="34" t="s">
        <v>959</v>
      </c>
      <c r="D61" s="11"/>
      <c r="E61" s="6" t="s">
        <v>810</v>
      </c>
      <c r="F61" s="6" t="s">
        <v>811</v>
      </c>
      <c r="G61" s="6" t="s">
        <v>812</v>
      </c>
      <c r="H61" s="6" t="s">
        <v>251</v>
      </c>
      <c r="I61" s="6" t="s">
        <v>947</v>
      </c>
    </row>
    <row r="62">
      <c r="A62" s="4">
        <v>61.0</v>
      </c>
      <c r="B62" s="6" t="s">
        <v>247</v>
      </c>
      <c r="C62" s="34" t="s">
        <v>960</v>
      </c>
      <c r="D62" s="11"/>
      <c r="E62" s="6" t="s">
        <v>810</v>
      </c>
      <c r="F62" s="6" t="s">
        <v>811</v>
      </c>
      <c r="G62" s="6" t="s">
        <v>812</v>
      </c>
      <c r="H62" s="6" t="s">
        <v>247</v>
      </c>
      <c r="I62" s="6" t="s">
        <v>961</v>
      </c>
    </row>
    <row r="63">
      <c r="A63" s="4">
        <v>62.0</v>
      </c>
      <c r="B63" s="13" t="s">
        <v>253</v>
      </c>
      <c r="C63" s="38" t="s">
        <v>962</v>
      </c>
      <c r="D63" s="11"/>
      <c r="E63" s="6" t="s">
        <v>810</v>
      </c>
      <c r="F63" s="6" t="s">
        <v>811</v>
      </c>
      <c r="G63" s="6" t="s">
        <v>812</v>
      </c>
      <c r="H63" s="6" t="s">
        <v>238</v>
      </c>
      <c r="I63" s="6" t="s">
        <v>963</v>
      </c>
    </row>
    <row r="64">
      <c r="A64" s="4">
        <v>63.0</v>
      </c>
      <c r="B64" s="6" t="s">
        <v>255</v>
      </c>
      <c r="C64" s="34" t="s">
        <v>964</v>
      </c>
      <c r="D64" s="11"/>
      <c r="E64" s="6" t="s">
        <v>810</v>
      </c>
      <c r="F64" s="6" t="s">
        <v>811</v>
      </c>
      <c r="G64" s="6" t="s">
        <v>812</v>
      </c>
      <c r="H64" s="6" t="s">
        <v>238</v>
      </c>
      <c r="I64" s="6" t="s">
        <v>965</v>
      </c>
    </row>
    <row r="65">
      <c r="A65" s="4">
        <v>64.0</v>
      </c>
      <c r="B65" s="6" t="s">
        <v>257</v>
      </c>
      <c r="C65" s="34" t="s">
        <v>966</v>
      </c>
      <c r="D65" s="11"/>
      <c r="E65" s="6" t="s">
        <v>810</v>
      </c>
      <c r="F65" s="6" t="s">
        <v>811</v>
      </c>
      <c r="G65" s="6" t="s">
        <v>812</v>
      </c>
      <c r="H65" s="6" t="s">
        <v>257</v>
      </c>
      <c r="I65" s="6" t="s">
        <v>947</v>
      </c>
    </row>
    <row r="66">
      <c r="A66" s="4">
        <v>65.0</v>
      </c>
      <c r="B66" s="6" t="s">
        <v>259</v>
      </c>
      <c r="C66" s="34" t="s">
        <v>967</v>
      </c>
      <c r="D66" s="11"/>
      <c r="E66" s="6" t="s">
        <v>810</v>
      </c>
      <c r="F66" s="6" t="s">
        <v>811</v>
      </c>
      <c r="G66" s="6" t="s">
        <v>812</v>
      </c>
      <c r="H66" s="6" t="s">
        <v>259</v>
      </c>
      <c r="I66" s="6" t="s">
        <v>968</v>
      </c>
    </row>
    <row r="67">
      <c r="A67" s="4">
        <v>66.0</v>
      </c>
      <c r="B67" s="6" t="s">
        <v>263</v>
      </c>
      <c r="C67" s="34" t="s">
        <v>969</v>
      </c>
      <c r="D67" s="11"/>
      <c r="E67" s="6" t="s">
        <v>810</v>
      </c>
      <c r="F67" s="6" t="s">
        <v>811</v>
      </c>
      <c r="G67" s="6" t="s">
        <v>812</v>
      </c>
      <c r="H67" s="6" t="s">
        <v>263</v>
      </c>
      <c r="I67" s="6" t="s">
        <v>970</v>
      </c>
    </row>
    <row r="68">
      <c r="A68" s="4">
        <v>67.0</v>
      </c>
      <c r="B68" s="6" t="s">
        <v>267</v>
      </c>
      <c r="C68" s="34" t="s">
        <v>971</v>
      </c>
      <c r="D68" s="11"/>
      <c r="E68" s="6" t="s">
        <v>810</v>
      </c>
      <c r="F68" s="6" t="s">
        <v>811</v>
      </c>
      <c r="G68" s="6" t="s">
        <v>812</v>
      </c>
      <c r="H68" s="6" t="s">
        <v>238</v>
      </c>
      <c r="I68" s="6" t="s">
        <v>972</v>
      </c>
    </row>
    <row r="69">
      <c r="A69" s="4">
        <v>68.0</v>
      </c>
      <c r="B69" s="6" t="s">
        <v>973</v>
      </c>
      <c r="C69" s="34" t="s">
        <v>974</v>
      </c>
      <c r="D69" s="11"/>
      <c r="E69" s="6" t="s">
        <v>810</v>
      </c>
      <c r="F69" s="6" t="s">
        <v>811</v>
      </c>
      <c r="G69" s="6" t="s">
        <v>812</v>
      </c>
      <c r="H69" s="6" t="s">
        <v>238</v>
      </c>
      <c r="I69" s="6" t="s">
        <v>975</v>
      </c>
    </row>
    <row r="70">
      <c r="A70" s="4">
        <v>69.0</v>
      </c>
      <c r="B70" s="6" t="s">
        <v>976</v>
      </c>
      <c r="C70" s="34" t="s">
        <v>977</v>
      </c>
      <c r="D70" s="11"/>
      <c r="E70" s="6" t="s">
        <v>810</v>
      </c>
      <c r="F70" s="6" t="s">
        <v>811</v>
      </c>
      <c r="G70" s="6" t="s">
        <v>812</v>
      </c>
      <c r="H70" s="6" t="s">
        <v>238</v>
      </c>
      <c r="I70" s="6" t="s">
        <v>978</v>
      </c>
    </row>
    <row r="71">
      <c r="A71" s="4">
        <v>70.0</v>
      </c>
      <c r="B71" s="6" t="s">
        <v>271</v>
      </c>
      <c r="C71" s="34" t="s">
        <v>979</v>
      </c>
      <c r="D71" s="11"/>
      <c r="E71" s="6" t="s">
        <v>810</v>
      </c>
      <c r="F71" s="6" t="s">
        <v>811</v>
      </c>
      <c r="G71" s="6" t="s">
        <v>812</v>
      </c>
      <c r="H71" s="6" t="s">
        <v>271</v>
      </c>
      <c r="I71" s="6" t="s">
        <v>970</v>
      </c>
    </row>
    <row r="72">
      <c r="A72" s="4">
        <v>71.0</v>
      </c>
      <c r="B72" s="6" t="s">
        <v>273</v>
      </c>
      <c r="C72" s="34" t="s">
        <v>980</v>
      </c>
      <c r="D72" s="11"/>
      <c r="E72" s="6" t="s">
        <v>810</v>
      </c>
      <c r="F72" s="6" t="s">
        <v>811</v>
      </c>
      <c r="G72" s="6" t="s">
        <v>812</v>
      </c>
      <c r="H72" s="6" t="s">
        <v>273</v>
      </c>
      <c r="I72" s="6" t="s">
        <v>970</v>
      </c>
    </row>
    <row r="73">
      <c r="A73" s="4">
        <v>72.0</v>
      </c>
      <c r="B73" s="6" t="s">
        <v>275</v>
      </c>
      <c r="C73" s="34" t="s">
        <v>981</v>
      </c>
      <c r="D73" s="11"/>
      <c r="E73" s="6" t="s">
        <v>810</v>
      </c>
      <c r="F73" s="6" t="s">
        <v>811</v>
      </c>
      <c r="G73" s="6" t="s">
        <v>812</v>
      </c>
      <c r="H73" s="6" t="s">
        <v>275</v>
      </c>
      <c r="I73" s="6" t="s">
        <v>970</v>
      </c>
    </row>
    <row r="74">
      <c r="A74" s="4">
        <v>73.0</v>
      </c>
      <c r="B74" s="6" t="s">
        <v>277</v>
      </c>
      <c r="C74" s="34" t="s">
        <v>982</v>
      </c>
      <c r="D74" s="11"/>
      <c r="E74" s="6" t="s">
        <v>810</v>
      </c>
      <c r="F74" s="6" t="s">
        <v>811</v>
      </c>
      <c r="G74" s="6" t="s">
        <v>812</v>
      </c>
      <c r="H74" s="6" t="s">
        <v>277</v>
      </c>
      <c r="I74" s="6" t="s">
        <v>970</v>
      </c>
    </row>
    <row r="75">
      <c r="A75" s="4">
        <v>74.0</v>
      </c>
      <c r="B75" s="6" t="s">
        <v>278</v>
      </c>
      <c r="C75" s="34" t="s">
        <v>983</v>
      </c>
      <c r="D75" s="11"/>
      <c r="E75" s="6" t="s">
        <v>810</v>
      </c>
      <c r="F75" s="6" t="s">
        <v>811</v>
      </c>
      <c r="G75" s="6" t="s">
        <v>812</v>
      </c>
      <c r="H75" s="6" t="s">
        <v>278</v>
      </c>
      <c r="I75" s="6" t="s">
        <v>984</v>
      </c>
    </row>
    <row r="76">
      <c r="A76" s="4">
        <v>75.0</v>
      </c>
      <c r="B76" s="6" t="s">
        <v>282</v>
      </c>
      <c r="C76" s="34" t="s">
        <v>985</v>
      </c>
      <c r="D76" s="11"/>
      <c r="E76" s="6" t="s">
        <v>810</v>
      </c>
      <c r="F76" s="6" t="s">
        <v>811</v>
      </c>
      <c r="G76" s="6" t="s">
        <v>812</v>
      </c>
      <c r="H76" s="6" t="s">
        <v>282</v>
      </c>
      <c r="I76" s="6" t="s">
        <v>986</v>
      </c>
    </row>
    <row r="77">
      <c r="A77" s="4">
        <v>76.0</v>
      </c>
      <c r="B77" s="6" t="s">
        <v>286</v>
      </c>
      <c r="C77" s="34" t="s">
        <v>987</v>
      </c>
      <c r="D77" s="11"/>
      <c r="E77" s="6" t="s">
        <v>810</v>
      </c>
      <c r="F77" s="6" t="s">
        <v>811</v>
      </c>
      <c r="G77" s="6" t="s">
        <v>812</v>
      </c>
      <c r="H77" s="6" t="s">
        <v>286</v>
      </c>
      <c r="I77" s="6" t="s">
        <v>986</v>
      </c>
    </row>
    <row r="78">
      <c r="A78" s="4">
        <v>77.0</v>
      </c>
      <c r="B78" s="6" t="s">
        <v>289</v>
      </c>
      <c r="C78" s="34" t="s">
        <v>988</v>
      </c>
      <c r="D78" s="11"/>
      <c r="E78" s="6" t="s">
        <v>810</v>
      </c>
      <c r="F78" s="6" t="s">
        <v>811</v>
      </c>
      <c r="G78" s="6" t="s">
        <v>812</v>
      </c>
      <c r="H78" s="6" t="s">
        <v>289</v>
      </c>
      <c r="I78" s="6" t="s">
        <v>986</v>
      </c>
    </row>
    <row r="79">
      <c r="A79" s="4">
        <v>78.0</v>
      </c>
      <c r="B79" s="6" t="s">
        <v>293</v>
      </c>
      <c r="C79" s="34" t="s">
        <v>989</v>
      </c>
      <c r="D79" s="11"/>
      <c r="E79" s="6" t="s">
        <v>810</v>
      </c>
      <c r="F79" s="6" t="s">
        <v>811</v>
      </c>
      <c r="G79" s="6" t="s">
        <v>812</v>
      </c>
      <c r="H79" s="6" t="s">
        <v>293</v>
      </c>
      <c r="I79" s="6" t="s">
        <v>986</v>
      </c>
    </row>
    <row r="80">
      <c r="A80" s="4">
        <v>79.0</v>
      </c>
      <c r="B80" s="6" t="s">
        <v>296</v>
      </c>
      <c r="C80" s="34" t="s">
        <v>990</v>
      </c>
      <c r="D80" s="11"/>
      <c r="E80" s="6" t="s">
        <v>810</v>
      </c>
      <c r="F80" s="6" t="s">
        <v>811</v>
      </c>
      <c r="G80" s="6" t="s">
        <v>812</v>
      </c>
      <c r="H80" s="6" t="s">
        <v>296</v>
      </c>
      <c r="I80" s="6" t="s">
        <v>986</v>
      </c>
    </row>
    <row r="81">
      <c r="A81" s="4">
        <v>80.0</v>
      </c>
      <c r="B81" s="6" t="s">
        <v>298</v>
      </c>
      <c r="C81" s="34" t="s">
        <v>991</v>
      </c>
      <c r="D81" s="11"/>
      <c r="E81" s="6" t="s">
        <v>810</v>
      </c>
      <c r="F81" s="6" t="s">
        <v>811</v>
      </c>
      <c r="G81" s="6" t="s">
        <v>812</v>
      </c>
      <c r="H81" s="6" t="s">
        <v>298</v>
      </c>
      <c r="I81" s="6" t="s">
        <v>986</v>
      </c>
    </row>
    <row r="82">
      <c r="A82" s="4">
        <v>82.0</v>
      </c>
      <c r="B82" s="6" t="s">
        <v>300</v>
      </c>
      <c r="C82" s="34" t="s">
        <v>992</v>
      </c>
      <c r="D82" s="11"/>
      <c r="E82" s="6" t="s">
        <v>810</v>
      </c>
      <c r="F82" s="6" t="s">
        <v>811</v>
      </c>
      <c r="G82" s="6" t="s">
        <v>812</v>
      </c>
      <c r="H82" s="6" t="s">
        <v>300</v>
      </c>
      <c r="I82" s="6" t="s">
        <v>986</v>
      </c>
    </row>
    <row r="83">
      <c r="A83" s="4">
        <v>83.0</v>
      </c>
      <c r="B83" s="6" t="s">
        <v>302</v>
      </c>
      <c r="C83" s="34" t="s">
        <v>993</v>
      </c>
      <c r="D83" s="11"/>
      <c r="E83" s="6" t="s">
        <v>810</v>
      </c>
      <c r="F83" s="6" t="s">
        <v>811</v>
      </c>
      <c r="G83" s="6" t="s">
        <v>812</v>
      </c>
      <c r="H83" s="6" t="s">
        <v>302</v>
      </c>
      <c r="I83" s="6" t="s">
        <v>947</v>
      </c>
    </row>
    <row r="84">
      <c r="A84" s="4">
        <v>84.0</v>
      </c>
      <c r="B84" s="6" t="s">
        <v>303</v>
      </c>
      <c r="C84" s="34" t="s">
        <v>994</v>
      </c>
      <c r="D84" s="11"/>
      <c r="E84" s="6" t="s">
        <v>810</v>
      </c>
      <c r="F84" s="6" t="s">
        <v>811</v>
      </c>
      <c r="G84" s="6" t="s">
        <v>812</v>
      </c>
      <c r="H84" s="6" t="s">
        <v>303</v>
      </c>
      <c r="I84" s="6" t="s">
        <v>986</v>
      </c>
    </row>
    <row r="85">
      <c r="A85" s="4">
        <v>85.0</v>
      </c>
      <c r="B85" s="6" t="s">
        <v>306</v>
      </c>
      <c r="C85" s="34" t="s">
        <v>995</v>
      </c>
      <c r="D85" s="11"/>
      <c r="E85" s="6" t="s">
        <v>810</v>
      </c>
      <c r="F85" s="6" t="s">
        <v>811</v>
      </c>
      <c r="G85" s="6" t="s">
        <v>812</v>
      </c>
      <c r="H85" s="6" t="s">
        <v>306</v>
      </c>
      <c r="I85" s="6" t="s">
        <v>986</v>
      </c>
    </row>
    <row r="86">
      <c r="A86" s="4">
        <v>86.0</v>
      </c>
      <c r="B86" s="6" t="s">
        <v>309</v>
      </c>
      <c r="C86" s="34" t="s">
        <v>996</v>
      </c>
      <c r="D86" s="11"/>
      <c r="E86" s="6" t="s">
        <v>810</v>
      </c>
      <c r="F86" s="6" t="s">
        <v>811</v>
      </c>
      <c r="G86" s="6" t="s">
        <v>812</v>
      </c>
      <c r="H86" s="6" t="s">
        <v>238</v>
      </c>
      <c r="I86" s="6" t="s">
        <v>997</v>
      </c>
    </row>
    <row r="87">
      <c r="A87" s="4">
        <v>87.0</v>
      </c>
      <c r="B87" s="6" t="s">
        <v>311</v>
      </c>
      <c r="C87" s="34" t="s">
        <v>998</v>
      </c>
      <c r="D87" s="11"/>
      <c r="E87" s="6" t="s">
        <v>810</v>
      </c>
      <c r="F87" s="6" t="s">
        <v>811</v>
      </c>
      <c r="G87" s="6" t="s">
        <v>812</v>
      </c>
      <c r="H87" s="6" t="s">
        <v>238</v>
      </c>
    </row>
    <row r="88">
      <c r="A88" s="4">
        <v>88.0</v>
      </c>
      <c r="B88" s="6" t="s">
        <v>313</v>
      </c>
      <c r="C88" s="34" t="s">
        <v>999</v>
      </c>
      <c r="D88" s="11"/>
      <c r="E88" s="6" t="s">
        <v>810</v>
      </c>
      <c r="F88" s="6" t="s">
        <v>811</v>
      </c>
      <c r="G88" s="6" t="s">
        <v>812</v>
      </c>
      <c r="H88" s="6" t="s">
        <v>238</v>
      </c>
      <c r="I88" s="6" t="s">
        <v>1000</v>
      </c>
    </row>
    <row r="89">
      <c r="A89" s="4">
        <v>89.0</v>
      </c>
      <c r="B89" s="6" t="s">
        <v>315</v>
      </c>
      <c r="C89" s="34" t="s">
        <v>1001</v>
      </c>
      <c r="D89" s="11"/>
      <c r="E89" s="6" t="s">
        <v>810</v>
      </c>
      <c r="F89" s="6" t="s">
        <v>811</v>
      </c>
      <c r="G89" s="6" t="s">
        <v>812</v>
      </c>
      <c r="H89" s="6" t="s">
        <v>315</v>
      </c>
      <c r="I89" s="6" t="s">
        <v>1002</v>
      </c>
    </row>
    <row r="90">
      <c r="A90" s="4">
        <v>90.0</v>
      </c>
      <c r="B90" s="6" t="s">
        <v>319</v>
      </c>
      <c r="C90" s="34" t="s">
        <v>1003</v>
      </c>
      <c r="D90" s="11"/>
      <c r="E90" s="6" t="s">
        <v>810</v>
      </c>
      <c r="F90" s="6" t="s">
        <v>811</v>
      </c>
      <c r="G90" s="6" t="s">
        <v>812</v>
      </c>
      <c r="H90" s="6" t="s">
        <v>319</v>
      </c>
      <c r="I90" s="6" t="s">
        <v>947</v>
      </c>
    </row>
    <row r="91">
      <c r="A91" s="4">
        <v>91.0</v>
      </c>
      <c r="B91" s="6" t="s">
        <v>321</v>
      </c>
      <c r="C91" s="34" t="s">
        <v>1004</v>
      </c>
      <c r="D91" s="11"/>
      <c r="E91" s="6" t="s">
        <v>810</v>
      </c>
      <c r="F91" s="6" t="s">
        <v>811</v>
      </c>
      <c r="G91" s="6" t="s">
        <v>812</v>
      </c>
      <c r="H91" s="6" t="s">
        <v>321</v>
      </c>
      <c r="I91" s="6" t="s">
        <v>1005</v>
      </c>
    </row>
    <row r="92">
      <c r="A92" s="4">
        <v>92.0</v>
      </c>
      <c r="B92" s="6" t="s">
        <v>324</v>
      </c>
      <c r="C92" s="34" t="s">
        <v>1006</v>
      </c>
      <c r="D92" s="11"/>
      <c r="E92" s="6" t="s">
        <v>810</v>
      </c>
      <c r="F92" s="6" t="s">
        <v>811</v>
      </c>
      <c r="G92" s="6" t="s">
        <v>812</v>
      </c>
      <c r="H92" s="6" t="s">
        <v>324</v>
      </c>
      <c r="I92" s="6" t="s">
        <v>1005</v>
      </c>
    </row>
    <row r="93">
      <c r="A93" s="4">
        <v>93.0</v>
      </c>
      <c r="B93" s="6" t="s">
        <v>327</v>
      </c>
      <c r="C93" s="34" t="s">
        <v>1007</v>
      </c>
      <c r="D93" s="11"/>
      <c r="E93" s="6" t="s">
        <v>810</v>
      </c>
      <c r="F93" s="6" t="s">
        <v>811</v>
      </c>
      <c r="G93" s="6" t="s">
        <v>812</v>
      </c>
      <c r="H93" s="6" t="s">
        <v>327</v>
      </c>
      <c r="I93" s="6" t="s">
        <v>947</v>
      </c>
    </row>
    <row r="94">
      <c r="A94" s="4">
        <v>94.0</v>
      </c>
      <c r="B94" s="6" t="s">
        <v>329</v>
      </c>
      <c r="C94" s="34" t="s">
        <v>1008</v>
      </c>
      <c r="D94" s="11"/>
      <c r="E94" s="6" t="s">
        <v>810</v>
      </c>
      <c r="F94" s="6" t="s">
        <v>811</v>
      </c>
      <c r="G94" s="6" t="s">
        <v>812</v>
      </c>
      <c r="H94" s="6" t="s">
        <v>329</v>
      </c>
      <c r="I94" s="6" t="s">
        <v>1005</v>
      </c>
    </row>
    <row r="95">
      <c r="A95" s="4">
        <v>95.0</v>
      </c>
      <c r="B95" s="6" t="s">
        <v>333</v>
      </c>
      <c r="C95" s="34" t="s">
        <v>948</v>
      </c>
      <c r="D95" s="11"/>
      <c r="E95" s="6" t="s">
        <v>810</v>
      </c>
      <c r="F95" s="6" t="s">
        <v>811</v>
      </c>
      <c r="G95" s="6" t="s">
        <v>812</v>
      </c>
      <c r="H95" s="6" t="s">
        <v>333</v>
      </c>
    </row>
    <row r="96">
      <c r="A96" s="4">
        <v>96.0</v>
      </c>
      <c r="B96" s="6" t="s">
        <v>335</v>
      </c>
      <c r="C96" s="34" t="s">
        <v>1009</v>
      </c>
      <c r="D96" s="11"/>
      <c r="E96" s="6" t="s">
        <v>810</v>
      </c>
      <c r="F96" s="6" t="s">
        <v>811</v>
      </c>
      <c r="G96" s="6" t="s">
        <v>812</v>
      </c>
      <c r="H96" s="6" t="s">
        <v>335</v>
      </c>
      <c r="I96" s="6" t="s">
        <v>947</v>
      </c>
    </row>
    <row r="97">
      <c r="A97" s="4">
        <v>97.0</v>
      </c>
      <c r="B97" s="6" t="s">
        <v>337</v>
      </c>
      <c r="C97" s="34" t="s">
        <v>1010</v>
      </c>
      <c r="D97" s="11"/>
      <c r="E97" s="6" t="s">
        <v>810</v>
      </c>
      <c r="F97" s="6" t="s">
        <v>811</v>
      </c>
      <c r="G97" s="6" t="s">
        <v>812</v>
      </c>
      <c r="H97" s="6" t="s">
        <v>337</v>
      </c>
      <c r="I97" s="6" t="s">
        <v>947</v>
      </c>
    </row>
    <row r="98">
      <c r="A98" s="4">
        <v>98.0</v>
      </c>
      <c r="B98" s="6" t="s">
        <v>339</v>
      </c>
      <c r="C98" s="34" t="s">
        <v>1011</v>
      </c>
      <c r="D98" s="11"/>
      <c r="E98" s="6" t="s">
        <v>810</v>
      </c>
      <c r="F98" s="6" t="s">
        <v>811</v>
      </c>
      <c r="G98" s="6" t="s">
        <v>812</v>
      </c>
      <c r="H98" s="6" t="s">
        <v>339</v>
      </c>
      <c r="I98" s="6" t="s">
        <v>947</v>
      </c>
    </row>
    <row r="99">
      <c r="A99" s="4">
        <v>99.0</v>
      </c>
      <c r="B99" s="6" t="s">
        <v>341</v>
      </c>
      <c r="C99" s="34" t="s">
        <v>1012</v>
      </c>
      <c r="D99" s="11"/>
      <c r="E99" s="6" t="s">
        <v>810</v>
      </c>
      <c r="F99" s="6" t="s">
        <v>811</v>
      </c>
      <c r="G99" s="6" t="s">
        <v>812</v>
      </c>
      <c r="H99" s="6" t="s">
        <v>341</v>
      </c>
      <c r="I99" s="6" t="s">
        <v>947</v>
      </c>
    </row>
    <row r="100">
      <c r="A100" s="4">
        <v>100.0</v>
      </c>
      <c r="B100" s="6" t="s">
        <v>344</v>
      </c>
      <c r="C100" s="34" t="s">
        <v>1013</v>
      </c>
      <c r="D100" s="11"/>
      <c r="E100" s="6" t="s">
        <v>810</v>
      </c>
      <c r="F100" s="6" t="s">
        <v>811</v>
      </c>
      <c r="G100" s="6" t="s">
        <v>812</v>
      </c>
      <c r="H100" s="6" t="s">
        <v>343</v>
      </c>
      <c r="I100" s="6" t="s">
        <v>1014</v>
      </c>
    </row>
    <row r="101">
      <c r="A101" s="4">
        <v>101.0</v>
      </c>
      <c r="B101" s="6" t="s">
        <v>348</v>
      </c>
      <c r="C101" s="34" t="s">
        <v>1015</v>
      </c>
      <c r="D101" s="11"/>
      <c r="E101" s="6" t="s">
        <v>810</v>
      </c>
      <c r="F101" s="6" t="s">
        <v>811</v>
      </c>
      <c r="G101" s="6" t="s">
        <v>812</v>
      </c>
      <c r="H101" s="6" t="s">
        <v>348</v>
      </c>
      <c r="I101" s="6" t="s">
        <v>1016</v>
      </c>
    </row>
    <row r="102">
      <c r="A102" s="4">
        <v>102.0</v>
      </c>
      <c r="B102" s="6" t="s">
        <v>352</v>
      </c>
      <c r="C102" s="34" t="s">
        <v>1017</v>
      </c>
      <c r="D102" s="11"/>
      <c r="E102" s="6" t="s">
        <v>810</v>
      </c>
      <c r="F102" s="6" t="s">
        <v>811</v>
      </c>
      <c r="G102" s="6" t="s">
        <v>812</v>
      </c>
      <c r="H102" s="6" t="s">
        <v>352</v>
      </c>
      <c r="I102" s="6" t="s">
        <v>1016</v>
      </c>
    </row>
    <row r="103">
      <c r="A103" s="4">
        <v>103.0</v>
      </c>
      <c r="B103" s="6" t="s">
        <v>354</v>
      </c>
      <c r="C103" s="34" t="s">
        <v>1018</v>
      </c>
      <c r="D103" s="11"/>
      <c r="E103" s="6" t="s">
        <v>810</v>
      </c>
      <c r="F103" s="6" t="s">
        <v>811</v>
      </c>
      <c r="G103" s="6" t="s">
        <v>812</v>
      </c>
      <c r="H103" s="6" t="s">
        <v>354</v>
      </c>
      <c r="I103" s="6" t="s">
        <v>1016</v>
      </c>
    </row>
    <row r="104">
      <c r="A104" s="4">
        <v>104.0</v>
      </c>
      <c r="B104" s="6" t="s">
        <v>356</v>
      </c>
      <c r="C104" s="34" t="s">
        <v>1019</v>
      </c>
      <c r="D104" s="11"/>
      <c r="E104" s="6" t="s">
        <v>810</v>
      </c>
      <c r="F104" s="6" t="s">
        <v>811</v>
      </c>
      <c r="G104" s="6" t="s">
        <v>812</v>
      </c>
      <c r="H104" s="6" t="s">
        <v>356</v>
      </c>
      <c r="I104" s="6" t="s">
        <v>1016</v>
      </c>
    </row>
    <row r="105">
      <c r="A105" s="4">
        <v>105.0</v>
      </c>
      <c r="B105" s="6" t="s">
        <v>357</v>
      </c>
      <c r="C105" s="34" t="s">
        <v>1020</v>
      </c>
      <c r="D105" s="11"/>
      <c r="E105" s="6" t="s">
        <v>810</v>
      </c>
      <c r="F105" s="6" t="s">
        <v>811</v>
      </c>
      <c r="G105" s="6" t="s">
        <v>812</v>
      </c>
      <c r="H105" s="6" t="s">
        <v>357</v>
      </c>
      <c r="I105" s="6" t="s">
        <v>1016</v>
      </c>
    </row>
    <row r="106">
      <c r="A106" s="4">
        <v>106.0</v>
      </c>
      <c r="B106" s="6" t="s">
        <v>358</v>
      </c>
      <c r="C106" s="34" t="s">
        <v>1021</v>
      </c>
      <c r="D106" s="11"/>
      <c r="E106" s="6" t="s">
        <v>810</v>
      </c>
      <c r="F106" s="6" t="s">
        <v>811</v>
      </c>
      <c r="G106" s="6" t="s">
        <v>812</v>
      </c>
      <c r="H106" s="6" t="s">
        <v>358</v>
      </c>
      <c r="I106" s="6" t="s">
        <v>1016</v>
      </c>
    </row>
    <row r="107">
      <c r="A107" s="4">
        <v>107.0</v>
      </c>
      <c r="B107" s="6" t="s">
        <v>359</v>
      </c>
      <c r="C107" s="34" t="s">
        <v>1022</v>
      </c>
      <c r="D107" s="11"/>
      <c r="E107" s="6" t="s">
        <v>810</v>
      </c>
      <c r="F107" s="6" t="s">
        <v>811</v>
      </c>
      <c r="G107" s="6" t="s">
        <v>812</v>
      </c>
      <c r="H107" s="6" t="s">
        <v>359</v>
      </c>
      <c r="I107" s="6" t="s">
        <v>1016</v>
      </c>
    </row>
    <row r="108">
      <c r="A108" s="4">
        <v>108.0</v>
      </c>
      <c r="B108" s="6" t="s">
        <v>360</v>
      </c>
      <c r="C108" s="34" t="s">
        <v>1023</v>
      </c>
      <c r="D108" s="11"/>
      <c r="E108" s="6" t="s">
        <v>810</v>
      </c>
      <c r="F108" s="6" t="s">
        <v>811</v>
      </c>
      <c r="G108" s="6" t="s">
        <v>812</v>
      </c>
      <c r="H108" s="6" t="s">
        <v>360</v>
      </c>
      <c r="I108" s="6" t="s">
        <v>1016</v>
      </c>
    </row>
    <row r="109">
      <c r="A109" s="4">
        <v>109.0</v>
      </c>
      <c r="B109" s="6" t="s">
        <v>361</v>
      </c>
      <c r="C109" s="34" t="s">
        <v>1024</v>
      </c>
      <c r="D109" s="11"/>
      <c r="E109" s="6" t="s">
        <v>810</v>
      </c>
      <c r="F109" s="6" t="s">
        <v>811</v>
      </c>
      <c r="G109" s="6" t="s">
        <v>812</v>
      </c>
      <c r="H109" s="6" t="s">
        <v>361</v>
      </c>
      <c r="I109" s="6" t="s">
        <v>1016</v>
      </c>
    </row>
    <row r="110">
      <c r="A110" s="4">
        <v>110.0</v>
      </c>
      <c r="B110" s="6" t="s">
        <v>362</v>
      </c>
      <c r="C110" s="34" t="s">
        <v>1025</v>
      </c>
      <c r="D110" s="11"/>
      <c r="E110" s="6" t="s">
        <v>810</v>
      </c>
      <c r="F110" s="6" t="s">
        <v>811</v>
      </c>
      <c r="G110" s="6" t="s">
        <v>812</v>
      </c>
      <c r="H110" s="6" t="s">
        <v>362</v>
      </c>
      <c r="I110" s="6" t="s">
        <v>1016</v>
      </c>
    </row>
    <row r="111">
      <c r="A111" s="4">
        <v>111.0</v>
      </c>
      <c r="B111" s="6" t="s">
        <v>363</v>
      </c>
      <c r="C111" s="34" t="s">
        <v>1026</v>
      </c>
      <c r="D111" s="11"/>
      <c r="E111" s="6" t="s">
        <v>810</v>
      </c>
      <c r="F111" s="6" t="s">
        <v>811</v>
      </c>
      <c r="G111" s="6" t="s">
        <v>812</v>
      </c>
      <c r="H111" s="6" t="s">
        <v>363</v>
      </c>
      <c r="I111" s="6" t="s">
        <v>1016</v>
      </c>
    </row>
    <row r="112">
      <c r="A112" s="4">
        <v>112.0</v>
      </c>
      <c r="B112" s="6" t="s">
        <v>364</v>
      </c>
      <c r="C112" s="34" t="s">
        <v>1027</v>
      </c>
      <c r="D112" s="11"/>
      <c r="E112" s="6" t="s">
        <v>810</v>
      </c>
      <c r="F112" s="6" t="s">
        <v>811</v>
      </c>
      <c r="G112" s="6" t="s">
        <v>812</v>
      </c>
      <c r="H112" s="6" t="s">
        <v>364</v>
      </c>
      <c r="I112" s="6" t="s">
        <v>1016</v>
      </c>
    </row>
    <row r="113">
      <c r="A113" s="4">
        <v>113.0</v>
      </c>
      <c r="B113" s="6" t="s">
        <v>366</v>
      </c>
      <c r="C113" s="34" t="s">
        <v>1028</v>
      </c>
      <c r="D113" s="11"/>
      <c r="E113" s="6" t="s">
        <v>810</v>
      </c>
      <c r="F113" s="6" t="s">
        <v>811</v>
      </c>
      <c r="G113" s="6" t="s">
        <v>812</v>
      </c>
      <c r="H113" s="6" t="s">
        <v>366</v>
      </c>
      <c r="I113" s="6" t="s">
        <v>1029</v>
      </c>
    </row>
    <row r="114">
      <c r="A114" s="4">
        <v>114.0</v>
      </c>
      <c r="B114" s="6" t="s">
        <v>369</v>
      </c>
      <c r="C114" s="34" t="s">
        <v>1030</v>
      </c>
      <c r="D114" s="11"/>
      <c r="E114" s="6" t="s">
        <v>810</v>
      </c>
      <c r="F114" s="6" t="s">
        <v>811</v>
      </c>
      <c r="G114" s="6" t="s">
        <v>812</v>
      </c>
      <c r="H114" s="6" t="s">
        <v>369</v>
      </c>
      <c r="I114" s="6" t="s">
        <v>1031</v>
      </c>
    </row>
    <row r="115">
      <c r="A115" s="4">
        <v>115.0</v>
      </c>
      <c r="B115" s="6" t="s">
        <v>365</v>
      </c>
      <c r="C115" s="34" t="s">
        <v>1032</v>
      </c>
      <c r="D115" s="11"/>
      <c r="E115" s="6" t="s">
        <v>810</v>
      </c>
      <c r="F115" s="6" t="s">
        <v>811</v>
      </c>
      <c r="G115" s="6" t="s">
        <v>812</v>
      </c>
      <c r="H115" s="6" t="s">
        <v>365</v>
      </c>
      <c r="I115" s="6" t="s">
        <v>1016</v>
      </c>
    </row>
    <row r="116">
      <c r="A116" s="4">
        <v>116.0</v>
      </c>
      <c r="B116" s="6" t="s">
        <v>371</v>
      </c>
      <c r="C116" s="34" t="s">
        <v>1033</v>
      </c>
      <c r="D116" s="11"/>
      <c r="E116" s="6" t="s">
        <v>810</v>
      </c>
      <c r="F116" s="6" t="s">
        <v>811</v>
      </c>
      <c r="G116" s="6" t="s">
        <v>812</v>
      </c>
      <c r="H116" s="6" t="s">
        <v>371</v>
      </c>
      <c r="I116" s="6" t="s">
        <v>1034</v>
      </c>
    </row>
    <row r="117">
      <c r="A117" s="4">
        <v>117.0</v>
      </c>
      <c r="B117" s="6" t="s">
        <v>373</v>
      </c>
      <c r="C117" s="34" t="s">
        <v>1035</v>
      </c>
      <c r="D117" s="11"/>
      <c r="E117" s="6" t="s">
        <v>810</v>
      </c>
      <c r="F117" s="6" t="s">
        <v>811</v>
      </c>
      <c r="G117" s="6" t="s">
        <v>812</v>
      </c>
      <c r="H117" s="6" t="s">
        <v>373</v>
      </c>
      <c r="I117" s="6" t="s">
        <v>1034</v>
      </c>
    </row>
    <row r="118">
      <c r="A118" s="4">
        <v>118.0</v>
      </c>
      <c r="B118" s="6" t="s">
        <v>376</v>
      </c>
      <c r="C118" s="34" t="s">
        <v>1036</v>
      </c>
      <c r="D118" s="11"/>
      <c r="E118" s="6" t="s">
        <v>810</v>
      </c>
      <c r="F118" s="6" t="s">
        <v>811</v>
      </c>
      <c r="G118" s="6" t="s">
        <v>812</v>
      </c>
      <c r="H118" s="6" t="s">
        <v>376</v>
      </c>
      <c r="I118" s="6" t="s">
        <v>1034</v>
      </c>
    </row>
    <row r="119">
      <c r="A119" s="4">
        <v>119.0</v>
      </c>
      <c r="B119" s="6" t="s">
        <v>377</v>
      </c>
      <c r="C119" s="34" t="s">
        <v>1037</v>
      </c>
      <c r="D119" s="11"/>
      <c r="E119" s="6" t="s">
        <v>810</v>
      </c>
      <c r="F119" s="6" t="s">
        <v>811</v>
      </c>
      <c r="G119" s="6" t="s">
        <v>812</v>
      </c>
      <c r="H119" s="6" t="s">
        <v>377</v>
      </c>
      <c r="I119" s="6" t="s">
        <v>1034</v>
      </c>
    </row>
    <row r="120">
      <c r="A120" s="4">
        <v>120.0</v>
      </c>
      <c r="B120" s="6" t="s">
        <v>379</v>
      </c>
      <c r="C120" s="34" t="s">
        <v>1038</v>
      </c>
      <c r="D120" s="11"/>
      <c r="E120" s="6" t="s">
        <v>810</v>
      </c>
      <c r="F120" s="6" t="s">
        <v>811</v>
      </c>
      <c r="G120" s="6" t="s">
        <v>812</v>
      </c>
      <c r="H120" s="6" t="s">
        <v>379</v>
      </c>
      <c r="I120" s="6" t="s">
        <v>1034</v>
      </c>
    </row>
    <row r="121">
      <c r="A121" s="4">
        <v>121.0</v>
      </c>
      <c r="B121" s="6" t="s">
        <v>1039</v>
      </c>
      <c r="C121" s="34" t="s">
        <v>1040</v>
      </c>
      <c r="D121" s="11"/>
      <c r="E121" s="6" t="s">
        <v>810</v>
      </c>
      <c r="F121" s="6" t="s">
        <v>811</v>
      </c>
      <c r="G121" s="6" t="s">
        <v>812</v>
      </c>
      <c r="H121" s="6" t="s">
        <v>1039</v>
      </c>
      <c r="I121" s="6" t="s">
        <v>1041</v>
      </c>
    </row>
    <row r="122">
      <c r="A122" s="4">
        <v>122.0</v>
      </c>
      <c r="B122" s="6" t="s">
        <v>383</v>
      </c>
      <c r="C122" s="34" t="s">
        <v>1042</v>
      </c>
      <c r="D122" s="11"/>
      <c r="E122" s="6" t="s">
        <v>810</v>
      </c>
      <c r="F122" s="6" t="s">
        <v>811</v>
      </c>
      <c r="G122" s="6" t="s">
        <v>812</v>
      </c>
      <c r="H122" s="6" t="s">
        <v>383</v>
      </c>
      <c r="I122" s="6" t="s">
        <v>1043</v>
      </c>
    </row>
    <row r="123">
      <c r="A123" s="4">
        <v>123.0</v>
      </c>
      <c r="B123" s="6" t="s">
        <v>1044</v>
      </c>
      <c r="C123" s="34" t="s">
        <v>1045</v>
      </c>
      <c r="D123" s="11"/>
      <c r="E123" s="6" t="s">
        <v>810</v>
      </c>
      <c r="F123" s="6" t="s">
        <v>811</v>
      </c>
      <c r="G123" s="6" t="s">
        <v>812</v>
      </c>
      <c r="H123" s="6" t="s">
        <v>385</v>
      </c>
      <c r="I123" s="6" t="s">
        <v>1046</v>
      </c>
    </row>
    <row r="124">
      <c r="A124" s="4">
        <v>124.0</v>
      </c>
      <c r="B124" s="6" t="s">
        <v>387</v>
      </c>
      <c r="C124" s="34" t="s">
        <v>1047</v>
      </c>
      <c r="D124" s="11"/>
      <c r="E124" s="6" t="s">
        <v>810</v>
      </c>
      <c r="F124" s="6" t="s">
        <v>811</v>
      </c>
      <c r="G124" s="6" t="s">
        <v>812</v>
      </c>
      <c r="H124" s="6" t="s">
        <v>387</v>
      </c>
      <c r="I124" s="6" t="s">
        <v>1048</v>
      </c>
    </row>
    <row r="125">
      <c r="A125" s="4">
        <v>125.0</v>
      </c>
      <c r="B125" s="6" t="s">
        <v>389</v>
      </c>
      <c r="C125" s="34" t="s">
        <v>1049</v>
      </c>
      <c r="D125" s="11"/>
      <c r="E125" s="6" t="s">
        <v>810</v>
      </c>
      <c r="F125" s="6" t="s">
        <v>811</v>
      </c>
      <c r="G125" s="6" t="s">
        <v>812</v>
      </c>
      <c r="H125" s="6" t="s">
        <v>389</v>
      </c>
      <c r="I125" s="6" t="s">
        <v>1050</v>
      </c>
    </row>
    <row r="126">
      <c r="A126" s="4">
        <v>126.0</v>
      </c>
      <c r="B126" s="6" t="s">
        <v>1051</v>
      </c>
      <c r="C126" s="34" t="s">
        <v>1052</v>
      </c>
      <c r="D126" s="11"/>
      <c r="E126" s="6" t="s">
        <v>810</v>
      </c>
      <c r="F126" s="6" t="s">
        <v>811</v>
      </c>
      <c r="G126" s="6" t="s">
        <v>812</v>
      </c>
      <c r="H126" s="6" t="s">
        <v>391</v>
      </c>
      <c r="I126" s="6" t="s">
        <v>1053</v>
      </c>
    </row>
    <row r="127">
      <c r="A127" s="4">
        <v>127.0</v>
      </c>
      <c r="B127" s="6" t="s">
        <v>394</v>
      </c>
      <c r="C127" s="34" t="s">
        <v>1054</v>
      </c>
      <c r="D127" s="11"/>
      <c r="E127" s="6" t="s">
        <v>810</v>
      </c>
      <c r="F127" s="6" t="s">
        <v>811</v>
      </c>
      <c r="G127" s="6" t="s">
        <v>812</v>
      </c>
      <c r="H127" s="6" t="s">
        <v>394</v>
      </c>
      <c r="I127" s="6" t="s">
        <v>1055</v>
      </c>
    </row>
    <row r="128">
      <c r="A128" s="4">
        <v>128.0</v>
      </c>
      <c r="B128" s="6" t="s">
        <v>396</v>
      </c>
      <c r="C128" s="34" t="s">
        <v>1056</v>
      </c>
      <c r="D128" s="11"/>
      <c r="E128" s="6" t="s">
        <v>810</v>
      </c>
      <c r="F128" s="6" t="s">
        <v>811</v>
      </c>
      <c r="G128" s="6" t="s">
        <v>812</v>
      </c>
      <c r="H128" s="6" t="s">
        <v>396</v>
      </c>
      <c r="I128" s="6" t="s">
        <v>1057</v>
      </c>
    </row>
    <row r="129">
      <c r="A129" s="4">
        <v>129.0</v>
      </c>
      <c r="B129" s="6" t="s">
        <v>398</v>
      </c>
      <c r="C129" s="34" t="s">
        <v>1058</v>
      </c>
      <c r="D129" s="11"/>
      <c r="E129" s="6" t="s">
        <v>810</v>
      </c>
      <c r="F129" s="6" t="s">
        <v>811</v>
      </c>
      <c r="G129" s="6" t="s">
        <v>812</v>
      </c>
      <c r="H129" s="6" t="s">
        <v>398</v>
      </c>
      <c r="I129" s="6" t="s">
        <v>1059</v>
      </c>
    </row>
    <row r="130">
      <c r="A130" s="4">
        <v>130.0</v>
      </c>
      <c r="B130" s="6" t="s">
        <v>400</v>
      </c>
      <c r="C130" s="34" t="s">
        <v>1060</v>
      </c>
      <c r="D130" s="11"/>
      <c r="E130" s="6" t="s">
        <v>810</v>
      </c>
      <c r="F130" s="6" t="s">
        <v>811</v>
      </c>
      <c r="G130" s="6" t="s">
        <v>812</v>
      </c>
      <c r="H130" s="6" t="s">
        <v>400</v>
      </c>
      <c r="I130" s="6" t="s">
        <v>1034</v>
      </c>
    </row>
    <row r="131">
      <c r="A131" s="4">
        <v>131.0</v>
      </c>
      <c r="B131" s="6" t="s">
        <v>402</v>
      </c>
      <c r="C131" s="34" t="s">
        <v>1061</v>
      </c>
      <c r="D131" s="11"/>
      <c r="E131" s="6" t="s">
        <v>810</v>
      </c>
      <c r="F131" s="6" t="s">
        <v>811</v>
      </c>
      <c r="G131" s="6" t="s">
        <v>812</v>
      </c>
      <c r="H131" s="6" t="s">
        <v>402</v>
      </c>
      <c r="I131" s="6" t="s">
        <v>1034</v>
      </c>
    </row>
    <row r="132">
      <c r="A132" s="4">
        <v>132.0</v>
      </c>
      <c r="B132" s="6" t="s">
        <v>404</v>
      </c>
      <c r="C132" s="34" t="s">
        <v>1062</v>
      </c>
      <c r="D132" s="11"/>
      <c r="E132" s="6" t="s">
        <v>810</v>
      </c>
      <c r="F132" s="6" t="s">
        <v>811</v>
      </c>
      <c r="G132" s="6" t="s">
        <v>812</v>
      </c>
      <c r="H132" s="6" t="s">
        <v>404</v>
      </c>
      <c r="I132" s="6" t="s">
        <v>1034</v>
      </c>
    </row>
    <row r="133">
      <c r="A133" s="4">
        <v>133.0</v>
      </c>
      <c r="B133" s="6" t="s">
        <v>1063</v>
      </c>
      <c r="C133" s="34" t="s">
        <v>1064</v>
      </c>
      <c r="D133" s="11"/>
      <c r="E133" s="6" t="s">
        <v>810</v>
      </c>
      <c r="F133" s="6" t="s">
        <v>811</v>
      </c>
      <c r="G133" s="6" t="s">
        <v>812</v>
      </c>
      <c r="H133" s="6" t="s">
        <v>251</v>
      </c>
      <c r="I133" s="6" t="s">
        <v>1034</v>
      </c>
    </row>
    <row r="134">
      <c r="A134" s="4">
        <v>134.0</v>
      </c>
      <c r="B134" s="6" t="s">
        <v>1065</v>
      </c>
      <c r="C134" s="34" t="s">
        <v>1066</v>
      </c>
      <c r="D134" s="11"/>
      <c r="E134" s="6" t="s">
        <v>1067</v>
      </c>
      <c r="F134" s="6" t="s">
        <v>811</v>
      </c>
      <c r="G134" s="6" t="s">
        <v>812</v>
      </c>
      <c r="H134" s="6" t="s">
        <v>412</v>
      </c>
      <c r="I134" s="6" t="s">
        <v>1068</v>
      </c>
    </row>
    <row r="135">
      <c r="A135" s="4">
        <v>135.0</v>
      </c>
      <c r="B135" s="6" t="s">
        <v>409</v>
      </c>
      <c r="C135" s="34" t="s">
        <v>1069</v>
      </c>
      <c r="D135" s="11"/>
      <c r="E135" s="6" t="s">
        <v>810</v>
      </c>
      <c r="F135" s="6" t="s">
        <v>811</v>
      </c>
      <c r="G135" s="6" t="s">
        <v>812</v>
      </c>
      <c r="H135" s="6" t="s">
        <v>409</v>
      </c>
      <c r="I135" s="6" t="s">
        <v>1070</v>
      </c>
    </row>
    <row r="136">
      <c r="A136" s="4">
        <v>136.0</v>
      </c>
      <c r="B136" s="6" t="s">
        <v>1071</v>
      </c>
      <c r="C136" s="34" t="s">
        <v>1072</v>
      </c>
      <c r="D136" s="11"/>
      <c r="E136" s="6" t="s">
        <v>1067</v>
      </c>
      <c r="F136" s="6" t="s">
        <v>811</v>
      </c>
      <c r="G136" s="6" t="s">
        <v>812</v>
      </c>
      <c r="H136" s="6" t="s">
        <v>412</v>
      </c>
      <c r="I136" s="6" t="s">
        <v>1068</v>
      </c>
    </row>
    <row r="137">
      <c r="A137" s="4">
        <v>137.0</v>
      </c>
      <c r="B137" s="6" t="s">
        <v>1073</v>
      </c>
      <c r="C137" s="34" t="s">
        <v>1074</v>
      </c>
      <c r="D137" s="11"/>
      <c r="E137" s="6" t="s">
        <v>1067</v>
      </c>
      <c r="F137" s="6" t="s">
        <v>811</v>
      </c>
      <c r="G137" s="6" t="s">
        <v>812</v>
      </c>
      <c r="H137" s="6" t="s">
        <v>412</v>
      </c>
      <c r="I137" s="6" t="s">
        <v>1068</v>
      </c>
    </row>
    <row r="138">
      <c r="A138" s="4">
        <v>138.0</v>
      </c>
      <c r="B138" s="6" t="s">
        <v>1075</v>
      </c>
      <c r="C138" s="34" t="s">
        <v>1076</v>
      </c>
      <c r="D138" s="11"/>
      <c r="E138" s="6" t="s">
        <v>1067</v>
      </c>
      <c r="F138" s="6" t="s">
        <v>811</v>
      </c>
      <c r="G138" s="6" t="s">
        <v>812</v>
      </c>
      <c r="H138" s="6" t="s">
        <v>412</v>
      </c>
      <c r="I138" s="6" t="s">
        <v>1077</v>
      </c>
    </row>
    <row r="139">
      <c r="A139" s="4">
        <v>139.0</v>
      </c>
      <c r="B139" s="6" t="s">
        <v>1078</v>
      </c>
      <c r="C139" s="34" t="s">
        <v>1079</v>
      </c>
      <c r="D139" s="11"/>
      <c r="E139" s="6" t="s">
        <v>1067</v>
      </c>
      <c r="F139" s="6" t="s">
        <v>811</v>
      </c>
      <c r="G139" s="6" t="s">
        <v>812</v>
      </c>
      <c r="H139" s="6" t="s">
        <v>412</v>
      </c>
    </row>
    <row r="140">
      <c r="A140" s="4">
        <v>140.0</v>
      </c>
      <c r="B140" s="6" t="s">
        <v>417</v>
      </c>
      <c r="C140" s="34" t="s">
        <v>1080</v>
      </c>
      <c r="D140" s="11"/>
      <c r="E140" s="6" t="s">
        <v>810</v>
      </c>
      <c r="F140" s="6" t="s">
        <v>811</v>
      </c>
      <c r="G140" s="6" t="s">
        <v>812</v>
      </c>
      <c r="H140" s="6" t="s">
        <v>417</v>
      </c>
      <c r="I140" s="39" t="s">
        <v>1081</v>
      </c>
    </row>
    <row r="141">
      <c r="A141" s="4">
        <v>141.0</v>
      </c>
      <c r="B141" s="6" t="s">
        <v>419</v>
      </c>
      <c r="C141" s="34" t="s">
        <v>1082</v>
      </c>
      <c r="D141" s="11"/>
      <c r="E141" s="6" t="s">
        <v>810</v>
      </c>
      <c r="F141" s="6" t="s">
        <v>811</v>
      </c>
      <c r="G141" s="6" t="s">
        <v>812</v>
      </c>
      <c r="H141" s="6" t="s">
        <v>419</v>
      </c>
      <c r="I141" s="39" t="s">
        <v>1083</v>
      </c>
    </row>
    <row r="142">
      <c r="A142" s="4">
        <v>142.0</v>
      </c>
      <c r="B142" s="6" t="s">
        <v>421</v>
      </c>
      <c r="C142" s="34" t="s">
        <v>1084</v>
      </c>
      <c r="D142" s="11"/>
      <c r="E142" s="6" t="s">
        <v>810</v>
      </c>
      <c r="F142" s="6" t="s">
        <v>811</v>
      </c>
      <c r="G142" s="6" t="s">
        <v>812</v>
      </c>
      <c r="H142" s="6" t="s">
        <v>421</v>
      </c>
      <c r="I142" s="39" t="s">
        <v>1085</v>
      </c>
    </row>
    <row r="143">
      <c r="A143" s="4">
        <v>143.0</v>
      </c>
      <c r="B143" s="6" t="s">
        <v>423</v>
      </c>
      <c r="C143" s="34" t="s">
        <v>1086</v>
      </c>
      <c r="D143" s="11"/>
      <c r="E143" s="6" t="s">
        <v>810</v>
      </c>
      <c r="F143" s="6" t="s">
        <v>811</v>
      </c>
      <c r="G143" s="6" t="s">
        <v>812</v>
      </c>
      <c r="H143" s="6" t="s">
        <v>423</v>
      </c>
      <c r="I143" s="39" t="s">
        <v>1087</v>
      </c>
    </row>
    <row r="144">
      <c r="A144" s="4">
        <v>144.0</v>
      </c>
      <c r="B144" s="6" t="s">
        <v>425</v>
      </c>
      <c r="C144" s="34" t="s">
        <v>1088</v>
      </c>
      <c r="D144" s="11"/>
      <c r="E144" s="6" t="s">
        <v>810</v>
      </c>
      <c r="F144" s="6" t="s">
        <v>811</v>
      </c>
      <c r="G144" s="6" t="s">
        <v>812</v>
      </c>
      <c r="H144" s="6" t="s">
        <v>425</v>
      </c>
      <c r="I144" s="39" t="s">
        <v>1089</v>
      </c>
    </row>
    <row r="145">
      <c r="A145" s="4">
        <v>145.0</v>
      </c>
      <c r="B145" s="6" t="s">
        <v>427</v>
      </c>
      <c r="C145" s="34" t="s">
        <v>1090</v>
      </c>
      <c r="D145" s="11"/>
      <c r="E145" s="6" t="s">
        <v>810</v>
      </c>
      <c r="F145" s="6" t="s">
        <v>811</v>
      </c>
      <c r="G145" s="6" t="s">
        <v>812</v>
      </c>
      <c r="H145" s="6" t="s">
        <v>427</v>
      </c>
      <c r="I145" s="39" t="s">
        <v>1091</v>
      </c>
    </row>
    <row r="146">
      <c r="A146" s="4">
        <v>146.0</v>
      </c>
      <c r="B146" s="6" t="s">
        <v>429</v>
      </c>
      <c r="C146" s="34" t="s">
        <v>1092</v>
      </c>
      <c r="D146" s="11"/>
      <c r="E146" s="6" t="s">
        <v>810</v>
      </c>
      <c r="F146" s="6" t="s">
        <v>811</v>
      </c>
      <c r="G146" s="6" t="s">
        <v>812</v>
      </c>
      <c r="H146" s="6" t="s">
        <v>429</v>
      </c>
      <c r="I146" s="39" t="s">
        <v>1093</v>
      </c>
    </row>
    <row r="147">
      <c r="A147" s="4">
        <v>147.0</v>
      </c>
      <c r="B147" s="6" t="s">
        <v>431</v>
      </c>
      <c r="C147" s="34" t="s">
        <v>1094</v>
      </c>
      <c r="D147" s="11"/>
      <c r="E147" s="6" t="s">
        <v>810</v>
      </c>
      <c r="F147" s="6" t="s">
        <v>811</v>
      </c>
      <c r="G147" s="6" t="s">
        <v>812</v>
      </c>
      <c r="H147" s="6" t="s">
        <v>431</v>
      </c>
      <c r="I147" s="39" t="s">
        <v>1095</v>
      </c>
    </row>
    <row r="148">
      <c r="A148" s="4">
        <v>148.0</v>
      </c>
      <c r="B148" s="6" t="s">
        <v>433</v>
      </c>
      <c r="C148" s="34" t="s">
        <v>1096</v>
      </c>
      <c r="D148" s="11"/>
      <c r="E148" s="6" t="s">
        <v>810</v>
      </c>
      <c r="F148" s="6" t="s">
        <v>811</v>
      </c>
      <c r="G148" s="6" t="s">
        <v>812</v>
      </c>
      <c r="H148" s="6" t="s">
        <v>433</v>
      </c>
      <c r="I148" s="39" t="s">
        <v>1097</v>
      </c>
    </row>
    <row r="149">
      <c r="A149" s="4">
        <v>149.0</v>
      </c>
      <c r="B149" s="6" t="s">
        <v>1098</v>
      </c>
      <c r="C149" s="34" t="s">
        <v>1099</v>
      </c>
      <c r="D149" s="11"/>
      <c r="E149" s="6" t="s">
        <v>810</v>
      </c>
      <c r="F149" s="6" t="s">
        <v>811</v>
      </c>
      <c r="G149" s="6" t="s">
        <v>812</v>
      </c>
      <c r="H149" s="6" t="s">
        <v>435</v>
      </c>
      <c r="I149" s="6" t="s">
        <v>1100</v>
      </c>
    </row>
    <row r="150">
      <c r="A150" s="4">
        <v>150.0</v>
      </c>
      <c r="B150" s="6" t="s">
        <v>1101</v>
      </c>
      <c r="C150" s="34" t="s">
        <v>1102</v>
      </c>
      <c r="D150" s="11"/>
      <c r="E150" s="6" t="s">
        <v>810</v>
      </c>
      <c r="F150" s="6" t="s">
        <v>811</v>
      </c>
      <c r="G150" s="6" t="s">
        <v>812</v>
      </c>
      <c r="H150" s="6" t="s">
        <v>435</v>
      </c>
      <c r="I150" s="6" t="s">
        <v>1103</v>
      </c>
    </row>
    <row r="151">
      <c r="A151" s="4">
        <v>151.0</v>
      </c>
      <c r="B151" s="6" t="s">
        <v>1104</v>
      </c>
      <c r="C151" s="34" t="s">
        <v>1105</v>
      </c>
      <c r="D151" s="11"/>
      <c r="E151" s="6" t="s">
        <v>810</v>
      </c>
      <c r="F151" s="6" t="s">
        <v>811</v>
      </c>
      <c r="G151" s="6" t="s">
        <v>812</v>
      </c>
      <c r="H151" s="6" t="s">
        <v>437</v>
      </c>
      <c r="I151" s="6" t="s">
        <v>1106</v>
      </c>
    </row>
    <row r="152">
      <c r="A152" s="4">
        <v>152.0</v>
      </c>
      <c r="B152" s="6" t="s">
        <v>1107</v>
      </c>
      <c r="C152" s="34" t="s">
        <v>1108</v>
      </c>
      <c r="D152" s="11"/>
      <c r="E152" s="6" t="s">
        <v>810</v>
      </c>
      <c r="F152" s="6" t="s">
        <v>811</v>
      </c>
      <c r="G152" s="6" t="s">
        <v>812</v>
      </c>
      <c r="H152" s="6" t="s">
        <v>437</v>
      </c>
      <c r="I152" s="6" t="s">
        <v>1106</v>
      </c>
    </row>
    <row r="153">
      <c r="A153" s="4">
        <v>153.0</v>
      </c>
      <c r="B153" s="6" t="s">
        <v>1109</v>
      </c>
      <c r="C153" s="34" t="s">
        <v>1110</v>
      </c>
      <c r="D153" s="11"/>
      <c r="E153" s="6" t="s">
        <v>1067</v>
      </c>
      <c r="F153" s="6" t="s">
        <v>811</v>
      </c>
      <c r="G153" s="6" t="s">
        <v>812</v>
      </c>
      <c r="H153" s="6" t="s">
        <v>412</v>
      </c>
    </row>
    <row r="154">
      <c r="A154" s="4">
        <v>154.0</v>
      </c>
      <c r="B154" s="6" t="s">
        <v>1111</v>
      </c>
      <c r="C154" s="34" t="s">
        <v>1112</v>
      </c>
      <c r="D154" s="11"/>
      <c r="E154" s="6" t="s">
        <v>1067</v>
      </c>
      <c r="F154" s="6" t="s">
        <v>811</v>
      </c>
      <c r="G154" s="6" t="s">
        <v>812</v>
      </c>
      <c r="H154" s="6" t="s">
        <v>412</v>
      </c>
    </row>
    <row r="155">
      <c r="A155" s="4">
        <v>155.0</v>
      </c>
      <c r="B155" s="6" t="s">
        <v>439</v>
      </c>
      <c r="C155" s="34" t="s">
        <v>1113</v>
      </c>
      <c r="D155" s="11"/>
      <c r="E155" s="6" t="s">
        <v>1067</v>
      </c>
      <c r="F155" s="6" t="s">
        <v>811</v>
      </c>
      <c r="G155" s="6" t="s">
        <v>812</v>
      </c>
      <c r="H155" s="6" t="s">
        <v>439</v>
      </c>
    </row>
    <row r="156">
      <c r="A156" s="4">
        <v>156.0</v>
      </c>
      <c r="B156" s="6" t="s">
        <v>443</v>
      </c>
      <c r="C156" s="34" t="s">
        <v>1114</v>
      </c>
      <c r="D156" s="11"/>
      <c r="E156" s="6" t="s">
        <v>1067</v>
      </c>
      <c r="F156" s="6" t="s">
        <v>811</v>
      </c>
      <c r="G156" s="6" t="s">
        <v>812</v>
      </c>
      <c r="H156" s="6" t="s">
        <v>443</v>
      </c>
    </row>
    <row r="157">
      <c r="A157" s="4">
        <v>157.0</v>
      </c>
      <c r="B157" s="6" t="s">
        <v>446</v>
      </c>
      <c r="C157" s="34" t="s">
        <v>1115</v>
      </c>
      <c r="D157" s="11"/>
      <c r="E157" s="6" t="s">
        <v>810</v>
      </c>
      <c r="F157" s="6" t="s">
        <v>811</v>
      </c>
      <c r="G157" s="6" t="s">
        <v>812</v>
      </c>
      <c r="H157" s="6" t="s">
        <v>446</v>
      </c>
      <c r="I157" s="6" t="s">
        <v>1116</v>
      </c>
    </row>
    <row r="158">
      <c r="A158" s="4">
        <v>158.0</v>
      </c>
      <c r="B158" s="6" t="s">
        <v>1117</v>
      </c>
      <c r="C158" s="34" t="s">
        <v>1118</v>
      </c>
      <c r="D158" s="11"/>
      <c r="E158" s="6" t="s">
        <v>810</v>
      </c>
      <c r="F158" s="6" t="s">
        <v>811</v>
      </c>
      <c r="G158" s="6" t="s">
        <v>1119</v>
      </c>
      <c r="H158" s="6" t="s">
        <v>1120</v>
      </c>
      <c r="I158" s="6" t="s">
        <v>1121</v>
      </c>
    </row>
    <row r="159">
      <c r="A159" s="4">
        <v>159.0</v>
      </c>
      <c r="B159" s="6" t="s">
        <v>452</v>
      </c>
      <c r="C159" s="34" t="s">
        <v>1122</v>
      </c>
      <c r="D159" s="11"/>
      <c r="E159" s="6" t="s">
        <v>810</v>
      </c>
      <c r="F159" s="6" t="s">
        <v>811</v>
      </c>
      <c r="G159" s="6" t="s">
        <v>1119</v>
      </c>
      <c r="H159" s="6" t="s">
        <v>452</v>
      </c>
    </row>
    <row r="160">
      <c r="A160" s="4">
        <v>160.0</v>
      </c>
      <c r="B160" s="6" t="s">
        <v>458</v>
      </c>
      <c r="C160" s="34" t="s">
        <v>1123</v>
      </c>
      <c r="D160" s="11"/>
      <c r="E160" s="6" t="s">
        <v>810</v>
      </c>
      <c r="F160" s="6" t="s">
        <v>811</v>
      </c>
      <c r="G160" s="6" t="s">
        <v>1119</v>
      </c>
      <c r="H160" s="6" t="s">
        <v>458</v>
      </c>
    </row>
    <row r="161">
      <c r="A161" s="4">
        <v>161.0</v>
      </c>
      <c r="B161" s="6" t="s">
        <v>463</v>
      </c>
      <c r="C161" s="34" t="s">
        <v>1124</v>
      </c>
      <c r="D161" s="11"/>
      <c r="E161" s="6" t="s">
        <v>810</v>
      </c>
      <c r="F161" s="6" t="s">
        <v>811</v>
      </c>
      <c r="G161" s="6" t="s">
        <v>1119</v>
      </c>
      <c r="H161" s="6" t="s">
        <v>463</v>
      </c>
    </row>
    <row r="162">
      <c r="A162" s="4">
        <v>162.0</v>
      </c>
      <c r="B162" s="6" t="s">
        <v>1125</v>
      </c>
      <c r="C162" s="34" t="s">
        <v>1126</v>
      </c>
      <c r="D162" s="11"/>
      <c r="E162" s="6" t="s">
        <v>810</v>
      </c>
      <c r="F162" s="6" t="s">
        <v>811</v>
      </c>
      <c r="G162" s="6" t="s">
        <v>1119</v>
      </c>
      <c r="H162" s="6" t="s">
        <v>469</v>
      </c>
      <c r="I162" s="6" t="s">
        <v>1127</v>
      </c>
    </row>
    <row r="163">
      <c r="A163" s="4">
        <v>163.0</v>
      </c>
      <c r="B163" s="6" t="s">
        <v>1128</v>
      </c>
      <c r="C163" s="34" t="s">
        <v>875</v>
      </c>
      <c r="D163" s="11"/>
      <c r="E163" s="6" t="s">
        <v>810</v>
      </c>
      <c r="F163" s="6" t="s">
        <v>811</v>
      </c>
      <c r="G163" s="6" t="s">
        <v>1119</v>
      </c>
      <c r="H163" s="6" t="s">
        <v>474</v>
      </c>
      <c r="I163" s="6" t="s">
        <v>1129</v>
      </c>
    </row>
    <row r="164">
      <c r="A164" s="4">
        <v>164.0</v>
      </c>
      <c r="B164" s="6" t="s">
        <v>1130</v>
      </c>
      <c r="C164" s="34" t="s">
        <v>1131</v>
      </c>
      <c r="D164" s="11"/>
      <c r="E164" s="6" t="s">
        <v>810</v>
      </c>
      <c r="F164" s="6" t="s">
        <v>811</v>
      </c>
      <c r="G164" s="6" t="s">
        <v>1119</v>
      </c>
      <c r="H164" s="6" t="s">
        <v>479</v>
      </c>
      <c r="I164" s="6" t="s">
        <v>1132</v>
      </c>
    </row>
    <row r="165">
      <c r="A165" s="4">
        <v>165.0</v>
      </c>
      <c r="B165" s="6" t="s">
        <v>1133</v>
      </c>
      <c r="C165" s="34" t="s">
        <v>1134</v>
      </c>
      <c r="D165" s="11"/>
      <c r="E165" s="6" t="s">
        <v>810</v>
      </c>
      <c r="F165" s="6" t="s">
        <v>811</v>
      </c>
      <c r="G165" s="6" t="s">
        <v>1119</v>
      </c>
      <c r="H165" s="6" t="s">
        <v>484</v>
      </c>
    </row>
    <row r="166">
      <c r="A166" s="4">
        <v>166.0</v>
      </c>
      <c r="B166" s="6" t="s">
        <v>488</v>
      </c>
      <c r="C166" s="34" t="s">
        <v>1135</v>
      </c>
      <c r="D166" s="11"/>
      <c r="E166" s="6" t="s">
        <v>810</v>
      </c>
      <c r="F166" s="6" t="s">
        <v>811</v>
      </c>
      <c r="G166" s="6" t="s">
        <v>1119</v>
      </c>
      <c r="H166" s="6" t="s">
        <v>488</v>
      </c>
    </row>
    <row r="167">
      <c r="A167" s="4">
        <v>167.0</v>
      </c>
      <c r="B167" s="6" t="s">
        <v>491</v>
      </c>
      <c r="C167" s="34" t="s">
        <v>1136</v>
      </c>
      <c r="D167" s="11"/>
      <c r="E167" s="6" t="s">
        <v>810</v>
      </c>
      <c r="F167" s="6" t="s">
        <v>811</v>
      </c>
      <c r="G167" s="6" t="s">
        <v>812</v>
      </c>
      <c r="H167" s="6" t="s">
        <v>491</v>
      </c>
      <c r="I167" s="6" t="s">
        <v>1137</v>
      </c>
    </row>
    <row r="168">
      <c r="A168" s="4">
        <v>168.0</v>
      </c>
      <c r="B168" s="6" t="s">
        <v>495</v>
      </c>
      <c r="C168" s="34" t="s">
        <v>1138</v>
      </c>
      <c r="D168" s="11"/>
      <c r="E168" s="6" t="s">
        <v>810</v>
      </c>
      <c r="F168" s="6" t="s">
        <v>811</v>
      </c>
      <c r="G168" s="6" t="s">
        <v>1119</v>
      </c>
      <c r="H168" s="6" t="s">
        <v>495</v>
      </c>
      <c r="I168" s="6" t="s">
        <v>1139</v>
      </c>
    </row>
    <row r="169">
      <c r="A169" s="4">
        <v>169.0</v>
      </c>
      <c r="B169" s="6" t="s">
        <v>500</v>
      </c>
      <c r="C169" s="34" t="s">
        <v>1140</v>
      </c>
      <c r="D169" s="11"/>
      <c r="E169" s="6" t="s">
        <v>810</v>
      </c>
      <c r="F169" s="6" t="s">
        <v>811</v>
      </c>
      <c r="G169" s="6" t="s">
        <v>1119</v>
      </c>
      <c r="H169" s="6" t="s">
        <v>500</v>
      </c>
      <c r="I169" s="6" t="s">
        <v>1141</v>
      </c>
    </row>
    <row r="170">
      <c r="A170" s="4">
        <v>170.0</v>
      </c>
      <c r="B170" s="6" t="s">
        <v>504</v>
      </c>
      <c r="C170" s="34" t="s">
        <v>1142</v>
      </c>
      <c r="D170" s="11"/>
      <c r="E170" s="6" t="s">
        <v>810</v>
      </c>
      <c r="F170" s="6" t="s">
        <v>811</v>
      </c>
      <c r="G170" s="6" t="s">
        <v>1119</v>
      </c>
      <c r="H170" s="6" t="s">
        <v>504</v>
      </c>
      <c r="I170" s="6" t="s">
        <v>1143</v>
      </c>
    </row>
    <row r="171">
      <c r="A171" s="4">
        <v>171.0</v>
      </c>
      <c r="B171" s="6" t="s">
        <v>508</v>
      </c>
      <c r="C171" s="34" t="s">
        <v>1144</v>
      </c>
      <c r="D171" s="11"/>
      <c r="E171" s="6" t="s">
        <v>810</v>
      </c>
      <c r="F171" s="6" t="s">
        <v>811</v>
      </c>
      <c r="G171" s="6" t="s">
        <v>1119</v>
      </c>
      <c r="H171" s="6" t="s">
        <v>508</v>
      </c>
      <c r="I171" s="6" t="s">
        <v>1145</v>
      </c>
    </row>
    <row r="172">
      <c r="A172" s="4">
        <v>172.0</v>
      </c>
      <c r="B172" s="6" t="s">
        <v>512</v>
      </c>
      <c r="C172" s="34" t="s">
        <v>1146</v>
      </c>
      <c r="D172" s="11"/>
      <c r="E172" s="6" t="s">
        <v>810</v>
      </c>
      <c r="F172" s="6" t="s">
        <v>811</v>
      </c>
      <c r="G172" s="6" t="s">
        <v>1119</v>
      </c>
      <c r="H172" s="6" t="s">
        <v>512</v>
      </c>
      <c r="I172" s="6" t="s">
        <v>1147</v>
      </c>
    </row>
    <row r="173">
      <c r="A173" s="4">
        <v>173.0</v>
      </c>
      <c r="B173" s="6" t="s">
        <v>516</v>
      </c>
      <c r="C173" s="34" t="s">
        <v>1148</v>
      </c>
      <c r="D173" s="11"/>
      <c r="E173" s="6" t="s">
        <v>810</v>
      </c>
      <c r="F173" s="6" t="s">
        <v>811</v>
      </c>
      <c r="G173" s="6" t="s">
        <v>1119</v>
      </c>
      <c r="H173" s="6" t="s">
        <v>516</v>
      </c>
      <c r="I173" s="6" t="s">
        <v>1149</v>
      </c>
    </row>
    <row r="174">
      <c r="A174" s="4">
        <v>174.0</v>
      </c>
      <c r="B174" s="6" t="s">
        <v>519</v>
      </c>
      <c r="C174" s="34" t="s">
        <v>1150</v>
      </c>
      <c r="D174" s="11"/>
      <c r="E174" s="6" t="s">
        <v>810</v>
      </c>
      <c r="F174" s="6" t="s">
        <v>811</v>
      </c>
      <c r="G174" s="6" t="s">
        <v>1119</v>
      </c>
      <c r="H174" s="6" t="s">
        <v>519</v>
      </c>
      <c r="I174" s="6" t="s">
        <v>1151</v>
      </c>
    </row>
    <row r="175">
      <c r="A175" s="4">
        <v>175.0</v>
      </c>
      <c r="B175" s="6" t="s">
        <v>521</v>
      </c>
      <c r="C175" s="34" t="s">
        <v>1152</v>
      </c>
      <c r="D175" s="11"/>
      <c r="E175" s="6" t="s">
        <v>810</v>
      </c>
      <c r="F175" s="6" t="s">
        <v>811</v>
      </c>
      <c r="G175" s="6" t="s">
        <v>1119</v>
      </c>
      <c r="H175" s="6" t="s">
        <v>521</v>
      </c>
      <c r="I175" s="6" t="s">
        <v>1153</v>
      </c>
    </row>
    <row r="176">
      <c r="A176" s="4">
        <v>176.0</v>
      </c>
      <c r="B176" s="6" t="s">
        <v>1154</v>
      </c>
      <c r="C176" s="34" t="s">
        <v>1155</v>
      </c>
      <c r="D176" s="11"/>
      <c r="E176" s="6" t="s">
        <v>810</v>
      </c>
      <c r="F176" s="6" t="s">
        <v>811</v>
      </c>
      <c r="G176" s="6" t="s">
        <v>1119</v>
      </c>
      <c r="H176" s="6" t="s">
        <v>526</v>
      </c>
      <c r="I176" s="6" t="s">
        <v>1156</v>
      </c>
    </row>
    <row r="177">
      <c r="A177" s="4">
        <v>177.0</v>
      </c>
      <c r="B177" s="6" t="s">
        <v>528</v>
      </c>
      <c r="C177" s="34" t="s">
        <v>1157</v>
      </c>
      <c r="D177" s="11"/>
      <c r="E177" s="6" t="s">
        <v>810</v>
      </c>
      <c r="F177" s="6" t="s">
        <v>811</v>
      </c>
      <c r="G177" s="6" t="s">
        <v>812</v>
      </c>
      <c r="H177" s="6" t="s">
        <v>528</v>
      </c>
      <c r="I177" s="6" t="s">
        <v>1158</v>
      </c>
    </row>
    <row r="178">
      <c r="A178" s="4">
        <v>178.0</v>
      </c>
      <c r="B178" s="6" t="s">
        <v>531</v>
      </c>
      <c r="C178" s="34" t="s">
        <v>1159</v>
      </c>
      <c r="D178" s="11"/>
      <c r="E178" s="6" t="s">
        <v>810</v>
      </c>
      <c r="F178" s="6" t="s">
        <v>811</v>
      </c>
      <c r="G178" s="6" t="s">
        <v>1119</v>
      </c>
      <c r="H178" s="6" t="s">
        <v>531</v>
      </c>
      <c r="I178" s="6" t="s">
        <v>1160</v>
      </c>
    </row>
    <row r="179">
      <c r="A179" s="4">
        <v>179.0</v>
      </c>
      <c r="B179" s="6" t="s">
        <v>533</v>
      </c>
      <c r="C179" s="34" t="s">
        <v>1161</v>
      </c>
      <c r="D179" s="11"/>
      <c r="E179" s="6" t="s">
        <v>810</v>
      </c>
      <c r="F179" s="6" t="s">
        <v>811</v>
      </c>
      <c r="G179" s="6" t="s">
        <v>1119</v>
      </c>
      <c r="H179" s="6" t="s">
        <v>533</v>
      </c>
      <c r="I179" s="6" t="s">
        <v>1162</v>
      </c>
    </row>
    <row r="180">
      <c r="A180" s="4">
        <v>180.0</v>
      </c>
      <c r="B180" s="6" t="s">
        <v>536</v>
      </c>
      <c r="C180" s="34" t="s">
        <v>1163</v>
      </c>
      <c r="D180" s="11"/>
      <c r="E180" s="6" t="s">
        <v>810</v>
      </c>
      <c r="F180" s="6" t="s">
        <v>811</v>
      </c>
      <c r="G180" s="6" t="s">
        <v>1119</v>
      </c>
      <c r="H180" s="6" t="s">
        <v>536</v>
      </c>
      <c r="I180" s="6" t="s">
        <v>1164</v>
      </c>
    </row>
    <row r="181">
      <c r="A181" s="4">
        <v>181.0</v>
      </c>
      <c r="B181" s="6" t="s">
        <v>539</v>
      </c>
      <c r="C181" s="34" t="s">
        <v>1165</v>
      </c>
      <c r="D181" s="11"/>
      <c r="E181" s="6" t="s">
        <v>810</v>
      </c>
      <c r="F181" s="6" t="s">
        <v>811</v>
      </c>
      <c r="G181" s="6" t="s">
        <v>1119</v>
      </c>
      <c r="H181" s="6" t="s">
        <v>539</v>
      </c>
      <c r="I181" s="6" t="s">
        <v>1166</v>
      </c>
    </row>
    <row r="182">
      <c r="A182" s="4">
        <v>182.0</v>
      </c>
      <c r="B182" s="6" t="s">
        <v>542</v>
      </c>
      <c r="C182" s="34" t="s">
        <v>1167</v>
      </c>
      <c r="D182" s="11"/>
      <c r="E182" s="6" t="s">
        <v>1067</v>
      </c>
      <c r="F182" s="6" t="s">
        <v>811</v>
      </c>
      <c r="G182" s="6" t="s">
        <v>1119</v>
      </c>
      <c r="H182" s="6" t="s">
        <v>542</v>
      </c>
      <c r="I182" s="6" t="s">
        <v>1168</v>
      </c>
    </row>
    <row r="183">
      <c r="A183" s="4">
        <v>183.0</v>
      </c>
      <c r="B183" s="6" t="s">
        <v>546</v>
      </c>
      <c r="C183" s="34" t="s">
        <v>1169</v>
      </c>
      <c r="D183" s="11"/>
      <c r="E183" s="6" t="s">
        <v>1067</v>
      </c>
      <c r="F183" s="6" t="s">
        <v>811</v>
      </c>
      <c r="G183" s="6" t="s">
        <v>1119</v>
      </c>
      <c r="H183" s="6" t="s">
        <v>546</v>
      </c>
      <c r="I183" s="6" t="s">
        <v>1168</v>
      </c>
    </row>
    <row r="184">
      <c r="A184" s="4">
        <v>184.0</v>
      </c>
      <c r="B184" s="6" t="s">
        <v>548</v>
      </c>
      <c r="C184" s="34" t="s">
        <v>1170</v>
      </c>
      <c r="D184" s="11"/>
      <c r="E184" s="6" t="s">
        <v>1067</v>
      </c>
      <c r="F184" s="6" t="s">
        <v>811</v>
      </c>
      <c r="G184" s="6" t="s">
        <v>1119</v>
      </c>
      <c r="H184" s="6" t="s">
        <v>548</v>
      </c>
      <c r="I184" s="6" t="s">
        <v>1168</v>
      </c>
    </row>
    <row r="185">
      <c r="A185" s="4">
        <v>185.0</v>
      </c>
      <c r="B185" s="6" t="s">
        <v>549</v>
      </c>
      <c r="C185" s="34" t="s">
        <v>1171</v>
      </c>
      <c r="D185" s="11"/>
      <c r="E185" s="6" t="s">
        <v>1067</v>
      </c>
      <c r="F185" s="6" t="s">
        <v>811</v>
      </c>
      <c r="G185" s="6" t="s">
        <v>1119</v>
      </c>
      <c r="H185" s="6" t="s">
        <v>549</v>
      </c>
      <c r="I185" s="6" t="s">
        <v>1168</v>
      </c>
    </row>
    <row r="186">
      <c r="A186" s="4">
        <v>186.0</v>
      </c>
      <c r="B186" s="6" t="s">
        <v>1172</v>
      </c>
      <c r="C186" s="34" t="s">
        <v>1173</v>
      </c>
      <c r="D186" s="11"/>
      <c r="E186" s="6" t="s">
        <v>1067</v>
      </c>
      <c r="F186" s="6" t="s">
        <v>811</v>
      </c>
      <c r="G186" s="6" t="s">
        <v>1119</v>
      </c>
      <c r="H186" s="6" t="s">
        <v>550</v>
      </c>
      <c r="I186" s="6" t="s">
        <v>1174</v>
      </c>
    </row>
    <row r="187">
      <c r="A187" s="4">
        <v>187.0</v>
      </c>
      <c r="B187" s="6" t="s">
        <v>554</v>
      </c>
      <c r="C187" s="34" t="s">
        <v>1175</v>
      </c>
      <c r="D187" s="11"/>
      <c r="E187" s="6" t="s">
        <v>1067</v>
      </c>
      <c r="F187" s="6" t="s">
        <v>811</v>
      </c>
      <c r="G187" s="6" t="s">
        <v>1119</v>
      </c>
      <c r="H187" s="6" t="s">
        <v>554</v>
      </c>
      <c r="I187" s="6" t="s">
        <v>1176</v>
      </c>
    </row>
    <row r="188">
      <c r="A188" s="4">
        <v>188.0</v>
      </c>
      <c r="B188" s="6" t="s">
        <v>558</v>
      </c>
      <c r="C188" s="34" t="s">
        <v>1177</v>
      </c>
      <c r="D188" s="11"/>
      <c r="E188" s="6" t="s">
        <v>1067</v>
      </c>
      <c r="F188" s="6" t="s">
        <v>811</v>
      </c>
      <c r="G188" s="6" t="s">
        <v>1119</v>
      </c>
      <c r="H188" s="6" t="s">
        <v>558</v>
      </c>
      <c r="I188" s="6" t="s">
        <v>1178</v>
      </c>
    </row>
    <row r="189">
      <c r="A189" s="4">
        <v>189.0</v>
      </c>
      <c r="B189" s="6" t="s">
        <v>562</v>
      </c>
      <c r="C189" s="34" t="s">
        <v>1179</v>
      </c>
      <c r="D189" s="11"/>
      <c r="E189" s="6" t="s">
        <v>1067</v>
      </c>
      <c r="F189" s="6" t="s">
        <v>811</v>
      </c>
      <c r="G189" s="6" t="s">
        <v>1119</v>
      </c>
      <c r="H189" s="6" t="s">
        <v>562</v>
      </c>
      <c r="I189" s="6" t="s">
        <v>1180</v>
      </c>
    </row>
    <row r="190">
      <c r="A190" s="4">
        <v>190.0</v>
      </c>
      <c r="B190" s="6" t="s">
        <v>566</v>
      </c>
      <c r="C190" s="34" t="s">
        <v>1181</v>
      </c>
      <c r="D190" s="11"/>
      <c r="E190" s="6" t="s">
        <v>1067</v>
      </c>
      <c r="F190" s="6" t="s">
        <v>811</v>
      </c>
      <c r="G190" s="6" t="s">
        <v>1119</v>
      </c>
      <c r="H190" s="6" t="s">
        <v>566</v>
      </c>
      <c r="I190" s="6" t="s">
        <v>1182</v>
      </c>
    </row>
    <row r="191">
      <c r="A191" s="4">
        <v>191.0</v>
      </c>
      <c r="B191" s="6" t="s">
        <v>570</v>
      </c>
      <c r="C191" s="34" t="s">
        <v>1183</v>
      </c>
      <c r="D191" s="11"/>
      <c r="E191" s="6" t="s">
        <v>1067</v>
      </c>
      <c r="F191" s="6" t="s">
        <v>811</v>
      </c>
      <c r="G191" s="6" t="s">
        <v>1119</v>
      </c>
      <c r="H191" s="6" t="s">
        <v>570</v>
      </c>
      <c r="I191" s="6" t="s">
        <v>1184</v>
      </c>
    </row>
    <row r="192">
      <c r="A192" s="4">
        <v>192.0</v>
      </c>
      <c r="B192" s="6" t="s">
        <v>1185</v>
      </c>
      <c r="C192" s="40" t="s">
        <v>1186</v>
      </c>
      <c r="D192" s="11"/>
      <c r="E192" s="6" t="s">
        <v>1067</v>
      </c>
      <c r="F192" s="6" t="s">
        <v>811</v>
      </c>
      <c r="G192" s="6" t="s">
        <v>1119</v>
      </c>
      <c r="H192" s="6" t="s">
        <v>573</v>
      </c>
      <c r="I192" s="6" t="s">
        <v>1187</v>
      </c>
    </row>
    <row r="193">
      <c r="A193" s="4">
        <v>193.0</v>
      </c>
      <c r="B193" s="6" t="s">
        <v>1188</v>
      </c>
      <c r="C193" s="34" t="s">
        <v>1189</v>
      </c>
      <c r="D193" s="11"/>
      <c r="E193" s="6" t="s">
        <v>1067</v>
      </c>
      <c r="F193" s="6" t="s">
        <v>811</v>
      </c>
      <c r="G193" s="6" t="s">
        <v>1119</v>
      </c>
      <c r="H193" s="6" t="s">
        <v>576</v>
      </c>
      <c r="I193" s="6" t="s">
        <v>1190</v>
      </c>
    </row>
    <row r="194">
      <c r="A194" s="4">
        <v>194.0</v>
      </c>
      <c r="B194" s="6" t="s">
        <v>1191</v>
      </c>
      <c r="C194" s="41" t="s">
        <v>1192</v>
      </c>
      <c r="D194" s="11"/>
      <c r="E194" s="6" t="s">
        <v>1067</v>
      </c>
      <c r="F194" s="6" t="s">
        <v>811</v>
      </c>
      <c r="G194" s="6" t="s">
        <v>1119</v>
      </c>
      <c r="H194" s="6" t="s">
        <v>580</v>
      </c>
      <c r="I194" s="6" t="s">
        <v>1193</v>
      </c>
    </row>
    <row r="195">
      <c r="A195" s="4">
        <v>195.0</v>
      </c>
      <c r="B195" s="6" t="s">
        <v>585</v>
      </c>
      <c r="C195" s="41" t="s">
        <v>1194</v>
      </c>
      <c r="D195" s="11"/>
      <c r="E195" s="6" t="s">
        <v>1067</v>
      </c>
      <c r="F195" s="6" t="s">
        <v>811</v>
      </c>
      <c r="G195" s="6" t="s">
        <v>1119</v>
      </c>
      <c r="H195" s="6" t="s">
        <v>585</v>
      </c>
      <c r="I195" s="6" t="s">
        <v>1193</v>
      </c>
    </row>
    <row r="196">
      <c r="A196" s="4">
        <v>196.0</v>
      </c>
      <c r="B196" s="6" t="s">
        <v>1195</v>
      </c>
      <c r="C196" s="6" t="s">
        <v>1196</v>
      </c>
      <c r="D196" s="11"/>
      <c r="E196" s="6" t="s">
        <v>1067</v>
      </c>
      <c r="F196" s="6" t="s">
        <v>811</v>
      </c>
      <c r="G196" s="6" t="s">
        <v>1119</v>
      </c>
      <c r="H196" s="6" t="s">
        <v>589</v>
      </c>
      <c r="I196" s="6" t="s">
        <v>1197</v>
      </c>
    </row>
    <row r="197">
      <c r="A197" s="4">
        <v>197.0</v>
      </c>
      <c r="B197" s="6" t="s">
        <v>1198</v>
      </c>
      <c r="C197" s="34" t="s">
        <v>909</v>
      </c>
      <c r="D197" s="11"/>
      <c r="E197" s="6" t="s">
        <v>1067</v>
      </c>
      <c r="F197" s="6" t="s">
        <v>811</v>
      </c>
      <c r="G197" s="6" t="s">
        <v>1119</v>
      </c>
      <c r="H197" s="6" t="s">
        <v>594</v>
      </c>
      <c r="I197" s="6" t="s">
        <v>1199</v>
      </c>
    </row>
    <row r="198">
      <c r="A198" s="4">
        <v>198.0</v>
      </c>
      <c r="B198" s="6" t="s">
        <v>1200</v>
      </c>
      <c r="C198" s="34" t="s">
        <v>1201</v>
      </c>
      <c r="D198" s="11"/>
      <c r="E198" s="6" t="s">
        <v>1067</v>
      </c>
      <c r="F198" s="6" t="s">
        <v>811</v>
      </c>
      <c r="G198" s="6" t="s">
        <v>1119</v>
      </c>
      <c r="H198" s="6" t="s">
        <v>594</v>
      </c>
      <c r="I198" s="6" t="s">
        <v>1199</v>
      </c>
    </row>
    <row r="199">
      <c r="A199" s="4">
        <v>199.0</v>
      </c>
      <c r="B199" s="6" t="s">
        <v>1202</v>
      </c>
      <c r="C199" s="34" t="s">
        <v>1203</v>
      </c>
      <c r="D199" s="11"/>
      <c r="E199" s="6" t="s">
        <v>1067</v>
      </c>
      <c r="F199" s="6" t="s">
        <v>811</v>
      </c>
      <c r="G199" s="6" t="s">
        <v>1119</v>
      </c>
      <c r="H199" s="6" t="s">
        <v>594</v>
      </c>
      <c r="I199" s="6" t="s">
        <v>1199</v>
      </c>
    </row>
    <row r="200">
      <c r="A200" s="4">
        <v>200.0</v>
      </c>
      <c r="B200" s="6" t="s">
        <v>598</v>
      </c>
      <c r="C200" s="34" t="s">
        <v>1204</v>
      </c>
      <c r="D200" s="11"/>
      <c r="E200" s="6" t="s">
        <v>1067</v>
      </c>
      <c r="F200" s="6" t="s">
        <v>811</v>
      </c>
      <c r="G200" s="6" t="s">
        <v>1119</v>
      </c>
      <c r="H200" s="6" t="s">
        <v>598</v>
      </c>
      <c r="I200" s="6" t="s">
        <v>1205</v>
      </c>
    </row>
    <row r="201">
      <c r="A201" s="4">
        <v>201.0</v>
      </c>
      <c r="B201" s="6" t="s">
        <v>603</v>
      </c>
      <c r="C201" s="34" t="s">
        <v>1206</v>
      </c>
      <c r="D201" s="11"/>
      <c r="E201" s="6" t="s">
        <v>1067</v>
      </c>
      <c r="F201" s="6" t="s">
        <v>811</v>
      </c>
      <c r="G201" s="6" t="s">
        <v>1119</v>
      </c>
      <c r="H201" s="6" t="s">
        <v>602</v>
      </c>
    </row>
    <row r="202">
      <c r="A202" s="4">
        <v>202.0</v>
      </c>
      <c r="B202" s="6" t="s">
        <v>607</v>
      </c>
      <c r="C202" s="34" t="s">
        <v>1207</v>
      </c>
      <c r="D202" s="11"/>
      <c r="E202" s="6" t="s">
        <v>1067</v>
      </c>
      <c r="F202" s="6" t="s">
        <v>811</v>
      </c>
      <c r="G202" s="6" t="s">
        <v>1119</v>
      </c>
      <c r="H202" s="6" t="s">
        <v>607</v>
      </c>
      <c r="I202" s="6" t="s">
        <v>1208</v>
      </c>
    </row>
    <row r="203">
      <c r="A203" s="4">
        <v>203.0</v>
      </c>
      <c r="B203" s="6" t="s">
        <v>1209</v>
      </c>
      <c r="C203" s="34" t="s">
        <v>1210</v>
      </c>
      <c r="D203" s="11"/>
      <c r="E203" s="6" t="s">
        <v>1067</v>
      </c>
      <c r="F203" s="6" t="s">
        <v>811</v>
      </c>
      <c r="G203" s="6" t="s">
        <v>1119</v>
      </c>
      <c r="H203" s="6" t="s">
        <v>611</v>
      </c>
      <c r="I203" s="6" t="s">
        <v>1211</v>
      </c>
    </row>
    <row r="204">
      <c r="A204" s="4">
        <v>204.0</v>
      </c>
      <c r="B204" s="6" t="s">
        <v>615</v>
      </c>
      <c r="C204" s="34" t="s">
        <v>1212</v>
      </c>
      <c r="D204" s="11"/>
      <c r="E204" s="6" t="s">
        <v>1067</v>
      </c>
      <c r="F204" s="6" t="s">
        <v>811</v>
      </c>
      <c r="G204" s="6" t="s">
        <v>1119</v>
      </c>
      <c r="H204" s="6" t="s">
        <v>615</v>
      </c>
      <c r="I204" s="6" t="s">
        <v>1213</v>
      </c>
    </row>
    <row r="205">
      <c r="A205" s="4">
        <v>205.0</v>
      </c>
      <c r="B205" s="6" t="s">
        <v>620</v>
      </c>
      <c r="C205" s="34" t="s">
        <v>1214</v>
      </c>
      <c r="D205" s="11"/>
      <c r="E205" s="6" t="s">
        <v>1067</v>
      </c>
      <c r="F205" s="6" t="s">
        <v>1215</v>
      </c>
      <c r="G205" s="6" t="s">
        <v>1119</v>
      </c>
      <c r="H205" s="6" t="s">
        <v>619</v>
      </c>
      <c r="I205" s="6" t="s">
        <v>1216</v>
      </c>
    </row>
    <row r="206">
      <c r="A206" s="4">
        <v>206.0</v>
      </c>
      <c r="B206" s="6" t="s">
        <v>624</v>
      </c>
      <c r="C206" s="34" t="s">
        <v>1217</v>
      </c>
      <c r="D206" s="11"/>
      <c r="E206" s="6" t="s">
        <v>1067</v>
      </c>
      <c r="F206" s="6" t="s">
        <v>811</v>
      </c>
      <c r="G206" s="6" t="s">
        <v>1119</v>
      </c>
      <c r="H206" s="6" t="s">
        <v>624</v>
      </c>
      <c r="I206" s="6" t="s">
        <v>1218</v>
      </c>
    </row>
    <row r="207">
      <c r="A207" s="4">
        <v>207.0</v>
      </c>
      <c r="B207" s="6" t="s">
        <v>628</v>
      </c>
      <c r="C207" s="34" t="s">
        <v>1219</v>
      </c>
      <c r="D207" s="11"/>
      <c r="E207" s="6" t="s">
        <v>1067</v>
      </c>
      <c r="F207" s="6" t="s">
        <v>811</v>
      </c>
      <c r="G207" s="6" t="s">
        <v>1119</v>
      </c>
      <c r="H207" s="6" t="s">
        <v>628</v>
      </c>
      <c r="I207" s="6" t="s">
        <v>1220</v>
      </c>
    </row>
    <row r="208">
      <c r="A208" s="4">
        <v>208.0</v>
      </c>
      <c r="B208" s="6" t="s">
        <v>632</v>
      </c>
      <c r="C208" s="34" t="s">
        <v>1221</v>
      </c>
      <c r="D208" s="11"/>
      <c r="E208" s="6" t="s">
        <v>810</v>
      </c>
      <c r="F208" s="6" t="s">
        <v>811</v>
      </c>
      <c r="G208" s="6" t="s">
        <v>812</v>
      </c>
      <c r="H208" s="6" t="s">
        <v>632</v>
      </c>
      <c r="I208" s="6" t="s">
        <v>1222</v>
      </c>
    </row>
    <row r="209">
      <c r="A209" s="4">
        <v>209.0</v>
      </c>
      <c r="B209" s="16" t="s">
        <v>636</v>
      </c>
      <c r="C209" s="42" t="s">
        <v>1223</v>
      </c>
      <c r="D209" s="11"/>
      <c r="E209" s="6" t="s">
        <v>1067</v>
      </c>
      <c r="F209" s="6" t="s">
        <v>811</v>
      </c>
      <c r="G209" s="6" t="s">
        <v>1119</v>
      </c>
      <c r="H209" s="6" t="s">
        <v>635</v>
      </c>
      <c r="I209" s="6" t="s">
        <v>1224</v>
      </c>
    </row>
    <row r="210">
      <c r="A210" s="4">
        <v>210.0</v>
      </c>
      <c r="B210" s="6" t="s">
        <v>640</v>
      </c>
      <c r="C210" s="34" t="s">
        <v>1225</v>
      </c>
      <c r="D210" s="11"/>
      <c r="E210" s="6" t="s">
        <v>1067</v>
      </c>
      <c r="F210" s="6" t="s">
        <v>1215</v>
      </c>
      <c r="G210" s="6" t="s">
        <v>1119</v>
      </c>
      <c r="H210" s="6" t="s">
        <v>640</v>
      </c>
      <c r="I210" s="6" t="s">
        <v>1226</v>
      </c>
    </row>
    <row r="211">
      <c r="A211" s="4">
        <v>211.0</v>
      </c>
      <c r="B211" s="6" t="s">
        <v>644</v>
      </c>
      <c r="C211" s="34" t="s">
        <v>1227</v>
      </c>
      <c r="D211" s="11"/>
      <c r="E211" s="6" t="s">
        <v>1067</v>
      </c>
      <c r="F211" s="6" t="s">
        <v>1215</v>
      </c>
      <c r="G211" s="6" t="s">
        <v>1119</v>
      </c>
      <c r="H211" s="6" t="s">
        <v>644</v>
      </c>
      <c r="I211" s="6" t="s">
        <v>1228</v>
      </c>
    </row>
    <row r="212">
      <c r="A212" s="4">
        <v>212.0</v>
      </c>
      <c r="B212" s="6" t="s">
        <v>648</v>
      </c>
      <c r="C212" s="43" t="s">
        <v>1229</v>
      </c>
      <c r="D212" s="11"/>
      <c r="E212" s="6" t="s">
        <v>1067</v>
      </c>
      <c r="F212" s="6" t="s">
        <v>811</v>
      </c>
      <c r="G212" s="6" t="s">
        <v>1119</v>
      </c>
      <c r="H212" s="6" t="s">
        <v>648</v>
      </c>
      <c r="I212" s="19" t="s">
        <v>1230</v>
      </c>
    </row>
    <row r="213">
      <c r="A213" s="4">
        <v>213.0</v>
      </c>
      <c r="B213" s="6" t="s">
        <v>652</v>
      </c>
      <c r="C213" s="34" t="s">
        <v>1231</v>
      </c>
      <c r="D213" s="11"/>
      <c r="E213" s="6" t="s">
        <v>1067</v>
      </c>
      <c r="F213" s="6" t="s">
        <v>811</v>
      </c>
      <c r="G213" s="6" t="s">
        <v>1119</v>
      </c>
      <c r="H213" s="6" t="s">
        <v>652</v>
      </c>
      <c r="I213" s="19" t="s">
        <v>1232</v>
      </c>
    </row>
    <row r="214">
      <c r="A214" s="4">
        <v>214.0</v>
      </c>
      <c r="B214" s="6" t="s">
        <v>1233</v>
      </c>
      <c r="C214" s="34" t="s">
        <v>1234</v>
      </c>
      <c r="D214" s="11"/>
      <c r="E214" s="6" t="s">
        <v>1067</v>
      </c>
      <c r="F214" s="6" t="s">
        <v>811</v>
      </c>
      <c r="G214" s="6" t="s">
        <v>1119</v>
      </c>
      <c r="H214" s="6" t="s">
        <v>656</v>
      </c>
      <c r="I214" s="6" t="s">
        <v>1235</v>
      </c>
    </row>
    <row r="215">
      <c r="A215" s="4">
        <v>215.0</v>
      </c>
      <c r="B215" s="18" t="s">
        <v>1236</v>
      </c>
      <c r="C215" s="34" t="s">
        <v>1237</v>
      </c>
      <c r="D215" s="11"/>
      <c r="E215" s="6" t="s">
        <v>810</v>
      </c>
      <c r="F215" s="6" t="s">
        <v>811</v>
      </c>
      <c r="G215" s="6" t="s">
        <v>812</v>
      </c>
      <c r="H215" s="6" t="s">
        <v>664</v>
      </c>
      <c r="I215" s="6" t="s">
        <v>1238</v>
      </c>
    </row>
    <row r="216">
      <c r="A216" s="4">
        <v>217.0</v>
      </c>
      <c r="B216" s="6" t="s">
        <v>667</v>
      </c>
      <c r="C216" s="34" t="s">
        <v>1239</v>
      </c>
      <c r="D216" s="11"/>
      <c r="E216" s="6" t="s">
        <v>810</v>
      </c>
      <c r="F216" s="6" t="s">
        <v>811</v>
      </c>
      <c r="G216" s="6" t="s">
        <v>812</v>
      </c>
      <c r="H216" s="6" t="s">
        <v>667</v>
      </c>
      <c r="I216" s="6" t="s">
        <v>1240</v>
      </c>
    </row>
    <row r="217">
      <c r="A217" s="4">
        <v>218.0</v>
      </c>
      <c r="B217" s="6" t="s">
        <v>671</v>
      </c>
      <c r="C217" s="34" t="s">
        <v>1241</v>
      </c>
      <c r="D217" s="11"/>
      <c r="E217" s="6" t="s">
        <v>810</v>
      </c>
      <c r="F217" s="6" t="s">
        <v>811</v>
      </c>
      <c r="G217" s="6" t="s">
        <v>812</v>
      </c>
      <c r="H217" s="6" t="s">
        <v>671</v>
      </c>
      <c r="I217" s="6" t="s">
        <v>1240</v>
      </c>
    </row>
    <row r="218">
      <c r="A218" s="4">
        <v>219.0</v>
      </c>
      <c r="B218" s="6" t="s">
        <v>672</v>
      </c>
      <c r="C218" s="34" t="s">
        <v>1242</v>
      </c>
      <c r="D218" s="11"/>
      <c r="E218" s="6" t="s">
        <v>810</v>
      </c>
      <c r="F218" s="6" t="s">
        <v>811</v>
      </c>
      <c r="G218" s="6" t="s">
        <v>1243</v>
      </c>
      <c r="H218" s="6" t="s">
        <v>672</v>
      </c>
      <c r="I218" s="6" t="s">
        <v>1244</v>
      </c>
    </row>
    <row r="219">
      <c r="A219" s="4">
        <v>220.0</v>
      </c>
      <c r="B219" s="6" t="s">
        <v>676</v>
      </c>
      <c r="C219" s="34" t="s">
        <v>1245</v>
      </c>
      <c r="D219" s="11"/>
      <c r="E219" s="6" t="s">
        <v>810</v>
      </c>
      <c r="F219" s="6" t="s">
        <v>811</v>
      </c>
      <c r="G219" s="6" t="s">
        <v>812</v>
      </c>
      <c r="H219" s="6" t="s">
        <v>676</v>
      </c>
      <c r="I219" s="6" t="s">
        <v>1240</v>
      </c>
    </row>
    <row r="220">
      <c r="A220" s="4">
        <v>221.0</v>
      </c>
      <c r="B220" s="6" t="s">
        <v>1246</v>
      </c>
      <c r="C220" s="34" t="s">
        <v>1247</v>
      </c>
      <c r="D220" s="11"/>
      <c r="E220" s="6" t="s">
        <v>810</v>
      </c>
      <c r="F220" s="6" t="s">
        <v>811</v>
      </c>
      <c r="G220" s="6" t="s">
        <v>1243</v>
      </c>
      <c r="H220" s="6" t="s">
        <v>677</v>
      </c>
      <c r="I220" s="6" t="s">
        <v>1248</v>
      </c>
    </row>
    <row r="221">
      <c r="A221" s="4">
        <v>222.0</v>
      </c>
      <c r="B221" s="6" t="s">
        <v>681</v>
      </c>
      <c r="C221" s="34" t="s">
        <v>1249</v>
      </c>
      <c r="D221" s="11"/>
      <c r="E221" s="6" t="s">
        <v>810</v>
      </c>
      <c r="F221" s="6" t="s">
        <v>811</v>
      </c>
      <c r="G221" s="6" t="s">
        <v>812</v>
      </c>
      <c r="H221" s="6" t="s">
        <v>681</v>
      </c>
      <c r="I221" s="6" t="s">
        <v>1240</v>
      </c>
    </row>
    <row r="222">
      <c r="A222" s="4">
        <v>223.0</v>
      </c>
      <c r="B222" s="6" t="s">
        <v>686</v>
      </c>
      <c r="C222" s="34" t="s">
        <v>1250</v>
      </c>
      <c r="D222" s="11"/>
      <c r="E222" s="6" t="s">
        <v>810</v>
      </c>
      <c r="F222" s="6" t="s">
        <v>811</v>
      </c>
      <c r="G222" s="6" t="s">
        <v>812</v>
      </c>
      <c r="H222" s="6" t="s">
        <v>686</v>
      </c>
      <c r="I222" s="6" t="s">
        <v>1240</v>
      </c>
    </row>
    <row r="223">
      <c r="A223" s="4">
        <v>224.0</v>
      </c>
      <c r="B223" s="6" t="s">
        <v>682</v>
      </c>
      <c r="C223" s="34" t="s">
        <v>1251</v>
      </c>
      <c r="D223" s="11"/>
      <c r="E223" s="6" t="s">
        <v>810</v>
      </c>
      <c r="F223" s="6" t="s">
        <v>811</v>
      </c>
      <c r="G223" s="6" t="s">
        <v>1243</v>
      </c>
      <c r="H223" s="6" t="s">
        <v>682</v>
      </c>
      <c r="I223" s="6" t="s">
        <v>1252</v>
      </c>
    </row>
    <row r="224">
      <c r="A224" s="4">
        <v>225.0</v>
      </c>
      <c r="B224" s="6" t="s">
        <v>687</v>
      </c>
      <c r="C224" s="34" t="s">
        <v>1253</v>
      </c>
      <c r="D224" s="11"/>
      <c r="E224" s="6" t="s">
        <v>810</v>
      </c>
      <c r="F224" s="6" t="s">
        <v>811</v>
      </c>
      <c r="G224" s="6" t="s">
        <v>812</v>
      </c>
      <c r="H224" s="6" t="s">
        <v>687</v>
      </c>
      <c r="I224" s="6" t="s">
        <v>1240</v>
      </c>
    </row>
    <row r="225">
      <c r="A225" s="4">
        <v>226.0</v>
      </c>
      <c r="B225" s="6" t="s">
        <v>688</v>
      </c>
      <c r="C225" s="34" t="s">
        <v>1254</v>
      </c>
      <c r="D225" s="11"/>
      <c r="E225" s="6" t="s">
        <v>810</v>
      </c>
      <c r="F225" s="6" t="s">
        <v>811</v>
      </c>
      <c r="G225" s="6" t="s">
        <v>812</v>
      </c>
      <c r="H225" s="6" t="s">
        <v>688</v>
      </c>
      <c r="I225" s="6" t="s">
        <v>1240</v>
      </c>
    </row>
    <row r="226">
      <c r="A226" s="4">
        <v>227.0</v>
      </c>
      <c r="B226" s="6" t="s">
        <v>693</v>
      </c>
      <c r="C226" s="34" t="s">
        <v>1255</v>
      </c>
      <c r="D226" s="11"/>
      <c r="E226" s="6" t="s">
        <v>810</v>
      </c>
      <c r="F226" s="6" t="s">
        <v>811</v>
      </c>
      <c r="G226" s="6" t="s">
        <v>812</v>
      </c>
      <c r="H226" s="6" t="s">
        <v>693</v>
      </c>
      <c r="I226" s="6" t="s">
        <v>1240</v>
      </c>
    </row>
    <row r="227">
      <c r="A227" s="4">
        <v>228.0</v>
      </c>
      <c r="B227" s="6" t="s">
        <v>689</v>
      </c>
      <c r="C227" s="34" t="s">
        <v>1256</v>
      </c>
      <c r="D227" s="11"/>
      <c r="E227" s="6" t="s">
        <v>810</v>
      </c>
      <c r="F227" s="6" t="s">
        <v>811</v>
      </c>
      <c r="G227" s="6" t="s">
        <v>1243</v>
      </c>
      <c r="H227" s="6" t="s">
        <v>689</v>
      </c>
      <c r="I227" s="6" t="s">
        <v>1257</v>
      </c>
    </row>
    <row r="228">
      <c r="A228" s="4">
        <v>229.0</v>
      </c>
      <c r="B228" s="6" t="s">
        <v>694</v>
      </c>
      <c r="C228" s="34" t="s">
        <v>1258</v>
      </c>
      <c r="D228" s="11"/>
      <c r="E228" s="6" t="s">
        <v>810</v>
      </c>
      <c r="F228" s="6" t="s">
        <v>811</v>
      </c>
      <c r="G228" s="6" t="s">
        <v>812</v>
      </c>
      <c r="H228" s="6" t="s">
        <v>694</v>
      </c>
      <c r="I228" s="6" t="s">
        <v>1240</v>
      </c>
    </row>
    <row r="229">
      <c r="A229" s="4">
        <v>230.0</v>
      </c>
      <c r="B229" s="6" t="s">
        <v>695</v>
      </c>
      <c r="C229" s="34" t="s">
        <v>1259</v>
      </c>
      <c r="D229" s="11"/>
      <c r="E229" s="6" t="s">
        <v>810</v>
      </c>
      <c r="F229" s="6" t="s">
        <v>811</v>
      </c>
      <c r="G229" s="6" t="s">
        <v>812</v>
      </c>
      <c r="H229" s="6" t="s">
        <v>695</v>
      </c>
      <c r="I229" s="6" t="s">
        <v>1240</v>
      </c>
    </row>
    <row r="230">
      <c r="A230" s="4">
        <v>231.0</v>
      </c>
      <c r="B230" s="6" t="s">
        <v>696</v>
      </c>
      <c r="C230" s="44" t="s">
        <v>1260</v>
      </c>
      <c r="D230" s="11"/>
      <c r="E230" s="6" t="s">
        <v>810</v>
      </c>
      <c r="F230" s="6" t="s">
        <v>811</v>
      </c>
      <c r="G230" s="6" t="s">
        <v>1243</v>
      </c>
      <c r="H230" s="6" t="s">
        <v>696</v>
      </c>
      <c r="I230" s="6" t="s">
        <v>1261</v>
      </c>
    </row>
    <row r="231">
      <c r="A231" s="4">
        <v>232.0</v>
      </c>
      <c r="B231" s="6" t="s">
        <v>700</v>
      </c>
      <c r="C231" s="34" t="s">
        <v>1262</v>
      </c>
      <c r="D231" s="11"/>
      <c r="E231" s="6" t="s">
        <v>810</v>
      </c>
      <c r="F231" s="6" t="s">
        <v>811</v>
      </c>
      <c r="G231" s="6" t="s">
        <v>812</v>
      </c>
      <c r="H231" s="6" t="s">
        <v>700</v>
      </c>
      <c r="I231" s="6" t="s">
        <v>1240</v>
      </c>
    </row>
    <row r="232">
      <c r="A232" s="4">
        <v>233.0</v>
      </c>
      <c r="B232" s="6" t="s">
        <v>702</v>
      </c>
      <c r="C232" s="34" t="s">
        <v>1263</v>
      </c>
      <c r="D232" s="11"/>
      <c r="E232" s="6" t="s">
        <v>810</v>
      </c>
      <c r="F232" s="6" t="s">
        <v>811</v>
      </c>
      <c r="G232" s="6" t="s">
        <v>812</v>
      </c>
      <c r="H232" s="6" t="s">
        <v>702</v>
      </c>
      <c r="I232" s="6" t="s">
        <v>1240</v>
      </c>
    </row>
    <row r="233">
      <c r="A233" s="4">
        <v>234.0</v>
      </c>
      <c r="B233" s="6" t="s">
        <v>703</v>
      </c>
      <c r="C233" s="44" t="s">
        <v>1264</v>
      </c>
      <c r="D233" s="11"/>
      <c r="E233" s="6" t="s">
        <v>810</v>
      </c>
      <c r="F233" s="6" t="s">
        <v>811</v>
      </c>
      <c r="G233" s="6" t="s">
        <v>1243</v>
      </c>
      <c r="H233" s="6" t="s">
        <v>703</v>
      </c>
      <c r="I233" s="6" t="s">
        <v>1265</v>
      </c>
    </row>
    <row r="234">
      <c r="A234" s="4">
        <v>235.0</v>
      </c>
      <c r="B234" s="6" t="s">
        <v>707</v>
      </c>
      <c r="C234" s="34" t="s">
        <v>1266</v>
      </c>
      <c r="D234" s="11"/>
      <c r="E234" s="6" t="s">
        <v>810</v>
      </c>
      <c r="F234" s="6" t="s">
        <v>811</v>
      </c>
      <c r="G234" s="6" t="s">
        <v>812</v>
      </c>
      <c r="H234" s="6" t="s">
        <v>707</v>
      </c>
      <c r="I234" s="6" t="s">
        <v>1240</v>
      </c>
    </row>
    <row r="235">
      <c r="A235" s="4">
        <v>236.0</v>
      </c>
      <c r="B235" s="6" t="s">
        <v>708</v>
      </c>
      <c r="C235" s="44" t="s">
        <v>1267</v>
      </c>
      <c r="D235" s="11"/>
      <c r="E235" s="6" t="s">
        <v>810</v>
      </c>
      <c r="F235" s="6" t="s">
        <v>811</v>
      </c>
      <c r="G235" s="6" t="s">
        <v>1243</v>
      </c>
      <c r="H235" s="6" t="s">
        <v>708</v>
      </c>
      <c r="I235" s="6" t="s">
        <v>1268</v>
      </c>
    </row>
    <row r="236">
      <c r="A236" s="4">
        <v>237.0</v>
      </c>
      <c r="B236" s="6" t="s">
        <v>711</v>
      </c>
      <c r="C236" s="44" t="s">
        <v>1269</v>
      </c>
      <c r="D236" s="11"/>
      <c r="E236" s="6" t="s">
        <v>810</v>
      </c>
      <c r="F236" s="6" t="s">
        <v>811</v>
      </c>
      <c r="G236" s="6" t="s">
        <v>1243</v>
      </c>
      <c r="H236" s="6" t="s">
        <v>711</v>
      </c>
      <c r="I236" s="6" t="s">
        <v>1270</v>
      </c>
    </row>
    <row r="237">
      <c r="A237" s="4">
        <v>238.0</v>
      </c>
      <c r="B237" s="6" t="s">
        <v>714</v>
      </c>
      <c r="C237" s="44" t="s">
        <v>1271</v>
      </c>
      <c r="D237" s="11"/>
      <c r="E237" s="6" t="s">
        <v>810</v>
      </c>
      <c r="F237" s="6" t="s">
        <v>811</v>
      </c>
      <c r="G237" s="6" t="s">
        <v>1243</v>
      </c>
      <c r="H237" s="6" t="s">
        <v>714</v>
      </c>
      <c r="I237" s="6" t="s">
        <v>1272</v>
      </c>
    </row>
    <row r="238">
      <c r="A238" s="4">
        <v>239.0</v>
      </c>
      <c r="B238" s="6" t="s">
        <v>718</v>
      </c>
      <c r="C238" s="34" t="s">
        <v>1273</v>
      </c>
      <c r="D238" s="11"/>
      <c r="E238" s="6" t="s">
        <v>810</v>
      </c>
      <c r="F238" s="6" t="s">
        <v>811</v>
      </c>
      <c r="G238" s="6" t="s">
        <v>1243</v>
      </c>
      <c r="H238" s="6" t="s">
        <v>718</v>
      </c>
      <c r="I238" s="6" t="s">
        <v>1274</v>
      </c>
    </row>
    <row r="239">
      <c r="A239" s="4">
        <v>240.0</v>
      </c>
      <c r="B239" s="6" t="s">
        <v>722</v>
      </c>
      <c r="C239" s="34" t="s">
        <v>1275</v>
      </c>
      <c r="D239" s="11"/>
      <c r="E239" s="6" t="s">
        <v>810</v>
      </c>
      <c r="F239" s="6" t="s">
        <v>811</v>
      </c>
      <c r="G239" s="6" t="s">
        <v>812</v>
      </c>
      <c r="H239" s="6" t="s">
        <v>722</v>
      </c>
      <c r="I239" s="6" t="s">
        <v>1240</v>
      </c>
    </row>
    <row r="240">
      <c r="A240" s="4">
        <v>241.0</v>
      </c>
      <c r="B240" s="6" t="s">
        <v>724</v>
      </c>
      <c r="C240" s="34" t="s">
        <v>1276</v>
      </c>
      <c r="D240" s="11"/>
      <c r="E240" s="6" t="s">
        <v>810</v>
      </c>
      <c r="F240" s="6" t="s">
        <v>811</v>
      </c>
      <c r="G240" s="6" t="s">
        <v>1243</v>
      </c>
      <c r="H240" s="6" t="s">
        <v>724</v>
      </c>
      <c r="I240" s="6" t="s">
        <v>1274</v>
      </c>
    </row>
    <row r="241">
      <c r="A241" s="4">
        <v>242.0</v>
      </c>
      <c r="B241" s="6" t="s">
        <v>727</v>
      </c>
      <c r="C241" s="34" t="s">
        <v>1277</v>
      </c>
      <c r="D241" s="11"/>
      <c r="E241" s="6" t="s">
        <v>810</v>
      </c>
      <c r="F241" s="6" t="s">
        <v>811</v>
      </c>
      <c r="G241" s="6" t="s">
        <v>812</v>
      </c>
      <c r="H241" s="6" t="s">
        <v>727</v>
      </c>
      <c r="I241" s="6" t="s">
        <v>1240</v>
      </c>
    </row>
    <row r="242">
      <c r="A242" s="4">
        <v>244.0</v>
      </c>
      <c r="B242" s="6" t="s">
        <v>733</v>
      </c>
      <c r="C242" s="34" t="s">
        <v>1278</v>
      </c>
      <c r="D242" s="11"/>
      <c r="E242" s="6" t="s">
        <v>810</v>
      </c>
      <c r="F242" s="6" t="s">
        <v>811</v>
      </c>
      <c r="G242" s="6" t="s">
        <v>1243</v>
      </c>
      <c r="H242" s="6" t="s">
        <v>733</v>
      </c>
      <c r="I242" s="6" t="s">
        <v>1274</v>
      </c>
    </row>
    <row r="243">
      <c r="A243" s="4">
        <v>245.0</v>
      </c>
      <c r="B243" s="6" t="s">
        <v>737</v>
      </c>
      <c r="C243" s="34" t="s">
        <v>1239</v>
      </c>
      <c r="D243" s="11"/>
      <c r="E243" s="6" t="s">
        <v>810</v>
      </c>
      <c r="F243" s="6" t="s">
        <v>811</v>
      </c>
      <c r="G243" s="6" t="s">
        <v>812</v>
      </c>
      <c r="H243" s="6" t="s">
        <v>737</v>
      </c>
      <c r="I243" s="6" t="s">
        <v>1240</v>
      </c>
    </row>
    <row r="244">
      <c r="A244" s="4">
        <v>246.0</v>
      </c>
      <c r="B244" s="6" t="s">
        <v>1279</v>
      </c>
      <c r="C244" s="34" t="s">
        <v>1280</v>
      </c>
      <c r="D244" s="11"/>
      <c r="E244" s="6" t="s">
        <v>1067</v>
      </c>
      <c r="F244" s="6" t="s">
        <v>811</v>
      </c>
      <c r="G244" s="6" t="s">
        <v>1119</v>
      </c>
      <c r="H244" s="6" t="s">
        <v>729</v>
      </c>
      <c r="I244" s="6" t="s">
        <v>1281</v>
      </c>
    </row>
    <row r="245">
      <c r="A245" s="4">
        <v>247.0</v>
      </c>
      <c r="B245" s="6" t="s">
        <v>738</v>
      </c>
      <c r="C245" s="34" t="s">
        <v>1282</v>
      </c>
      <c r="D245" s="11"/>
      <c r="E245" s="6" t="s">
        <v>810</v>
      </c>
      <c r="F245" s="6" t="s">
        <v>811</v>
      </c>
      <c r="G245" s="6" t="s">
        <v>812</v>
      </c>
      <c r="H245" s="6" t="s">
        <v>738</v>
      </c>
      <c r="I245" s="6" t="s">
        <v>1240</v>
      </c>
    </row>
    <row r="246">
      <c r="A246" s="4">
        <v>248.0</v>
      </c>
      <c r="B246" s="6" t="s">
        <v>739</v>
      </c>
      <c r="C246" s="34" t="s">
        <v>1283</v>
      </c>
      <c r="D246" s="11"/>
      <c r="E246" s="6" t="s">
        <v>810</v>
      </c>
      <c r="F246" s="6" t="s">
        <v>811</v>
      </c>
      <c r="G246" s="6" t="s">
        <v>812</v>
      </c>
      <c r="H246" s="6" t="s">
        <v>739</v>
      </c>
      <c r="I246" s="6" t="s">
        <v>1240</v>
      </c>
    </row>
    <row r="247">
      <c r="A247" s="4">
        <v>249.0</v>
      </c>
      <c r="B247" s="6" t="s">
        <v>1284</v>
      </c>
      <c r="C247" s="34" t="s">
        <v>1285</v>
      </c>
      <c r="D247" s="11"/>
      <c r="E247" s="6" t="s">
        <v>810</v>
      </c>
      <c r="F247" s="6" t="s">
        <v>811</v>
      </c>
      <c r="G247" s="6" t="s">
        <v>812</v>
      </c>
      <c r="H247" s="6" t="s">
        <v>363</v>
      </c>
      <c r="I247" s="6" t="s">
        <v>1286</v>
      </c>
    </row>
    <row r="248">
      <c r="A248" s="4">
        <v>250.0</v>
      </c>
      <c r="B248" s="6" t="s">
        <v>740</v>
      </c>
      <c r="C248" s="34" t="s">
        <v>1287</v>
      </c>
      <c r="D248" s="11"/>
      <c r="E248" s="6" t="s">
        <v>1067</v>
      </c>
      <c r="F248" s="6" t="s">
        <v>811</v>
      </c>
      <c r="G248" s="6" t="s">
        <v>1119</v>
      </c>
      <c r="H248" s="6" t="s">
        <v>740</v>
      </c>
      <c r="I248" s="6" t="s">
        <v>1288</v>
      </c>
    </row>
    <row r="249">
      <c r="A249" s="4">
        <v>251.0</v>
      </c>
      <c r="B249" s="6" t="s">
        <v>744</v>
      </c>
      <c r="C249" s="34" t="s">
        <v>1289</v>
      </c>
      <c r="D249" s="11"/>
      <c r="E249" s="6" t="s">
        <v>1067</v>
      </c>
      <c r="F249" s="6" t="s">
        <v>1215</v>
      </c>
      <c r="G249" s="6" t="s">
        <v>1119</v>
      </c>
      <c r="H249" s="6" t="s">
        <v>744</v>
      </c>
      <c r="I249" s="6" t="s">
        <v>1290</v>
      </c>
    </row>
    <row r="250">
      <c r="A250" s="4">
        <v>252.0</v>
      </c>
      <c r="B250" s="6" t="s">
        <v>748</v>
      </c>
      <c r="C250" s="34" t="s">
        <v>1291</v>
      </c>
      <c r="D250" s="11"/>
      <c r="E250" s="6" t="s">
        <v>1067</v>
      </c>
      <c r="F250" s="6" t="s">
        <v>811</v>
      </c>
      <c r="G250" s="6" t="s">
        <v>1119</v>
      </c>
      <c r="H250" s="6" t="s">
        <v>748</v>
      </c>
      <c r="I250" s="6" t="s">
        <v>1292</v>
      </c>
    </row>
    <row r="251">
      <c r="A251" s="4">
        <v>253.0</v>
      </c>
      <c r="B251" s="6" t="s">
        <v>752</v>
      </c>
      <c r="C251" s="34" t="s">
        <v>1293</v>
      </c>
      <c r="D251" s="11"/>
      <c r="E251" s="6" t="s">
        <v>1067</v>
      </c>
      <c r="F251" s="6" t="s">
        <v>811</v>
      </c>
      <c r="G251" s="6" t="s">
        <v>1119</v>
      </c>
      <c r="H251" s="6" t="s">
        <v>752</v>
      </c>
      <c r="I251" s="6" t="s">
        <v>1294</v>
      </c>
    </row>
    <row r="252">
      <c r="A252" s="4">
        <v>254.0</v>
      </c>
      <c r="B252" s="6" t="s">
        <v>756</v>
      </c>
      <c r="C252" s="34" t="s">
        <v>1295</v>
      </c>
      <c r="D252" s="11"/>
      <c r="E252" s="6" t="s">
        <v>1067</v>
      </c>
      <c r="F252" s="6" t="s">
        <v>811</v>
      </c>
      <c r="G252" s="6" t="s">
        <v>1119</v>
      </c>
      <c r="H252" s="6" t="s">
        <v>756</v>
      </c>
      <c r="I252" s="6" t="s">
        <v>1296</v>
      </c>
    </row>
    <row r="253">
      <c r="A253" s="4">
        <v>255.0</v>
      </c>
      <c r="B253" s="6" t="s">
        <v>760</v>
      </c>
      <c r="C253" s="34" t="s">
        <v>1297</v>
      </c>
      <c r="D253" s="11"/>
      <c r="E253" s="6" t="s">
        <v>1067</v>
      </c>
      <c r="F253" s="6" t="s">
        <v>811</v>
      </c>
      <c r="G253" s="6" t="s">
        <v>1119</v>
      </c>
      <c r="H253" s="6" t="s">
        <v>760</v>
      </c>
      <c r="I253" s="6" t="s">
        <v>1298</v>
      </c>
    </row>
    <row r="254">
      <c r="A254" s="4">
        <v>256.0</v>
      </c>
      <c r="B254" s="6" t="s">
        <v>765</v>
      </c>
      <c r="C254" s="34" t="s">
        <v>1247</v>
      </c>
      <c r="D254" s="11"/>
      <c r="E254" s="6" t="s">
        <v>810</v>
      </c>
      <c r="F254" s="6" t="s">
        <v>811</v>
      </c>
      <c r="G254" s="6" t="s">
        <v>1243</v>
      </c>
      <c r="H254" s="6" t="s">
        <v>765</v>
      </c>
      <c r="I254" s="6" t="s">
        <v>1299</v>
      </c>
    </row>
    <row r="255">
      <c r="A255" s="4">
        <v>257.0</v>
      </c>
      <c r="B255" s="6" t="s">
        <v>768</v>
      </c>
      <c r="C255" s="34" t="s">
        <v>1300</v>
      </c>
      <c r="D255" s="11"/>
      <c r="E255" s="6" t="s">
        <v>810</v>
      </c>
      <c r="F255" s="6" t="s">
        <v>811</v>
      </c>
      <c r="G255" s="6" t="s">
        <v>1243</v>
      </c>
      <c r="H255" s="6" t="s">
        <v>768</v>
      </c>
      <c r="I255" s="6" t="s">
        <v>1301</v>
      </c>
    </row>
    <row r="256">
      <c r="A256" s="4">
        <v>258.0</v>
      </c>
      <c r="B256" s="6" t="s">
        <v>771</v>
      </c>
      <c r="C256" s="34" t="s">
        <v>1302</v>
      </c>
      <c r="D256" s="11"/>
      <c r="E256" s="6" t="s">
        <v>810</v>
      </c>
      <c r="F256" s="6" t="s">
        <v>811</v>
      </c>
      <c r="G256" s="6" t="s">
        <v>1243</v>
      </c>
      <c r="H256" s="6" t="s">
        <v>771</v>
      </c>
      <c r="I256" s="6" t="s">
        <v>1303</v>
      </c>
    </row>
    <row r="257">
      <c r="A257" s="4">
        <v>259.0</v>
      </c>
      <c r="B257" s="6" t="s">
        <v>774</v>
      </c>
      <c r="C257" s="34" t="s">
        <v>1304</v>
      </c>
      <c r="D257" s="11"/>
      <c r="E257" s="6" t="s">
        <v>810</v>
      </c>
      <c r="F257" s="6" t="s">
        <v>811</v>
      </c>
      <c r="G257" s="6" t="s">
        <v>1243</v>
      </c>
      <c r="H257" s="6" t="s">
        <v>774</v>
      </c>
      <c r="I257" s="6" t="s">
        <v>1303</v>
      </c>
    </row>
    <row r="258">
      <c r="A258" s="4">
        <v>260.0</v>
      </c>
      <c r="B258" s="6" t="s">
        <v>775</v>
      </c>
      <c r="C258" s="34" t="s">
        <v>1305</v>
      </c>
      <c r="D258" s="11"/>
      <c r="E258" s="6" t="s">
        <v>810</v>
      </c>
      <c r="F258" s="6" t="s">
        <v>811</v>
      </c>
      <c r="G258" s="6" t="s">
        <v>1243</v>
      </c>
      <c r="H258" s="6" t="s">
        <v>775</v>
      </c>
      <c r="I258" s="6" t="s">
        <v>1303</v>
      </c>
    </row>
    <row r="259">
      <c r="A259" s="4">
        <v>261.0</v>
      </c>
      <c r="B259" s="6" t="s">
        <v>777</v>
      </c>
      <c r="C259" s="34" t="s">
        <v>1306</v>
      </c>
      <c r="D259" s="11"/>
      <c r="E259" s="6" t="s">
        <v>810</v>
      </c>
      <c r="F259" s="6" t="s">
        <v>811</v>
      </c>
      <c r="G259" s="6" t="s">
        <v>1243</v>
      </c>
      <c r="H259" s="6" t="s">
        <v>777</v>
      </c>
      <c r="I259" s="6" t="s">
        <v>1303</v>
      </c>
    </row>
    <row r="260">
      <c r="A260" s="4">
        <v>262.0</v>
      </c>
      <c r="B260" s="6" t="s">
        <v>778</v>
      </c>
      <c r="C260" s="45" t="s">
        <v>1171</v>
      </c>
      <c r="D260" s="11"/>
      <c r="E260" s="6" t="s">
        <v>810</v>
      </c>
      <c r="F260" s="6" t="s">
        <v>811</v>
      </c>
      <c r="G260" s="6" t="s">
        <v>1119</v>
      </c>
      <c r="H260" s="6" t="s">
        <v>778</v>
      </c>
    </row>
    <row r="261">
      <c r="A261" s="4">
        <v>263.0</v>
      </c>
      <c r="B261" s="6" t="s">
        <v>780</v>
      </c>
      <c r="C261" s="34" t="s">
        <v>1307</v>
      </c>
      <c r="D261" s="11"/>
      <c r="E261" s="6" t="s">
        <v>810</v>
      </c>
      <c r="F261" s="6" t="s">
        <v>811</v>
      </c>
      <c r="G261" s="6" t="s">
        <v>1119</v>
      </c>
      <c r="H261" s="6" t="s">
        <v>780</v>
      </c>
      <c r="I261" s="6" t="s">
        <v>1308</v>
      </c>
    </row>
    <row r="262">
      <c r="A262" s="4">
        <v>264.0</v>
      </c>
      <c r="B262" s="6" t="s">
        <v>1309</v>
      </c>
      <c r="C262" s="34" t="s">
        <v>1307</v>
      </c>
      <c r="D262" s="11"/>
      <c r="E262" s="6" t="s">
        <v>810</v>
      </c>
      <c r="F262" s="6" t="s">
        <v>811</v>
      </c>
      <c r="G262" s="6" t="s">
        <v>1119</v>
      </c>
      <c r="H262" s="6" t="s">
        <v>1310</v>
      </c>
      <c r="I262" s="6" t="s">
        <v>1311</v>
      </c>
    </row>
    <row r="263">
      <c r="A263" s="4">
        <v>265.0</v>
      </c>
      <c r="B263" s="6" t="s">
        <v>786</v>
      </c>
      <c r="C263" s="34" t="s">
        <v>1312</v>
      </c>
      <c r="D263" s="11"/>
      <c r="E263" s="6" t="s">
        <v>810</v>
      </c>
      <c r="F263" s="6" t="s">
        <v>811</v>
      </c>
      <c r="G263" s="6" t="s">
        <v>1119</v>
      </c>
      <c r="H263" s="6" t="s">
        <v>786</v>
      </c>
      <c r="I263" s="6" t="s">
        <v>1313</v>
      </c>
    </row>
    <row r="264">
      <c r="A264" s="4">
        <v>266.0</v>
      </c>
      <c r="B264" s="6" t="s">
        <v>790</v>
      </c>
      <c r="C264" s="34" t="s">
        <v>1314</v>
      </c>
      <c r="D264" s="11"/>
      <c r="E264" s="6" t="s">
        <v>810</v>
      </c>
      <c r="F264" s="6" t="s">
        <v>811</v>
      </c>
      <c r="G264" s="6" t="s">
        <v>1119</v>
      </c>
      <c r="H264" s="6" t="s">
        <v>790</v>
      </c>
      <c r="I264" s="6" t="s">
        <v>1315</v>
      </c>
    </row>
    <row r="265">
      <c r="A265" s="4">
        <v>267.0</v>
      </c>
      <c r="B265" s="6" t="s">
        <v>792</v>
      </c>
      <c r="C265" s="34" t="s">
        <v>1316</v>
      </c>
      <c r="D265" s="11"/>
      <c r="E265" s="6" t="s">
        <v>1067</v>
      </c>
      <c r="F265" s="6" t="s">
        <v>811</v>
      </c>
      <c r="G265" s="6" t="s">
        <v>1119</v>
      </c>
      <c r="H265" s="6" t="s">
        <v>792</v>
      </c>
      <c r="I265" s="6" t="s">
        <v>1317</v>
      </c>
    </row>
    <row r="266">
      <c r="A266" s="4">
        <v>268.0</v>
      </c>
      <c r="B266" s="6" t="s">
        <v>796</v>
      </c>
      <c r="C266" s="34" t="s">
        <v>1318</v>
      </c>
      <c r="D266" s="11"/>
      <c r="E266" s="6" t="s">
        <v>810</v>
      </c>
      <c r="F266" s="6" t="s">
        <v>811</v>
      </c>
      <c r="G266" s="6" t="s">
        <v>1119</v>
      </c>
      <c r="H266" s="6" t="s">
        <v>796</v>
      </c>
    </row>
    <row r="267">
      <c r="A267" s="4">
        <v>269.0</v>
      </c>
      <c r="C267" s="46"/>
      <c r="D267" s="11"/>
      <c r="E267" s="11"/>
      <c r="F267" s="11"/>
      <c r="G267" s="11"/>
      <c r="H267" s="11"/>
    </row>
    <row r="268">
      <c r="A268" s="4">
        <v>270.0</v>
      </c>
      <c r="C268" s="46"/>
      <c r="D268" s="11"/>
      <c r="E268" s="11"/>
      <c r="F268" s="11"/>
      <c r="G268" s="11"/>
      <c r="H268" s="11"/>
    </row>
    <row r="269">
      <c r="A269" s="4">
        <v>271.0</v>
      </c>
      <c r="C269" s="46"/>
      <c r="D269" s="11"/>
      <c r="E269" s="11"/>
      <c r="F269" s="11"/>
      <c r="G269" s="11"/>
      <c r="H269" s="11"/>
    </row>
    <row r="270">
      <c r="A270" s="4">
        <v>272.0</v>
      </c>
      <c r="C270" s="46"/>
      <c r="D270" s="11"/>
      <c r="E270" s="11"/>
      <c r="F270" s="11"/>
      <c r="G270" s="11"/>
      <c r="H270" s="11"/>
    </row>
    <row r="271">
      <c r="A271" s="4">
        <v>273.0</v>
      </c>
      <c r="C271" s="46"/>
      <c r="D271" s="11"/>
      <c r="E271" s="11"/>
      <c r="F271" s="11"/>
      <c r="G271" s="11"/>
      <c r="H271" s="11"/>
    </row>
    <row r="272">
      <c r="A272" s="4">
        <v>274.0</v>
      </c>
      <c r="C272" s="46"/>
      <c r="D272" s="11"/>
      <c r="E272" s="11"/>
      <c r="F272" s="11"/>
      <c r="G272" s="11"/>
      <c r="H272" s="11"/>
    </row>
    <row r="273">
      <c r="A273" s="4">
        <v>275.0</v>
      </c>
      <c r="C273" s="46"/>
      <c r="D273" s="11"/>
      <c r="E273" s="11"/>
      <c r="F273" s="11"/>
      <c r="G273" s="11"/>
      <c r="H273" s="11"/>
    </row>
    <row r="274">
      <c r="A274" s="4">
        <v>276.0</v>
      </c>
      <c r="C274" s="46"/>
      <c r="D274" s="11"/>
      <c r="E274" s="11"/>
      <c r="F274" s="11"/>
      <c r="G274" s="11"/>
      <c r="H274" s="11"/>
    </row>
    <row r="275">
      <c r="A275" s="4">
        <v>277.0</v>
      </c>
      <c r="C275" s="46"/>
      <c r="D275" s="11"/>
      <c r="E275" s="11"/>
      <c r="F275" s="11"/>
      <c r="G275" s="11"/>
      <c r="H275" s="11"/>
    </row>
    <row r="276">
      <c r="A276" s="4">
        <v>278.0</v>
      </c>
      <c r="C276" s="46"/>
      <c r="D276" s="11"/>
      <c r="E276" s="11"/>
      <c r="F276" s="11"/>
      <c r="G276" s="11"/>
      <c r="H276" s="11"/>
    </row>
    <row r="277">
      <c r="A277" s="4">
        <v>279.0</v>
      </c>
      <c r="C277" s="46"/>
      <c r="D277" s="11"/>
      <c r="E277" s="11"/>
      <c r="F277" s="11"/>
      <c r="G277" s="11"/>
      <c r="H277" s="11"/>
    </row>
    <row r="278">
      <c r="A278" s="4">
        <v>280.0</v>
      </c>
      <c r="C278" s="46"/>
      <c r="D278" s="11"/>
      <c r="E278" s="11"/>
      <c r="F278" s="11"/>
      <c r="G278" s="11"/>
      <c r="H278" s="11"/>
    </row>
    <row r="279">
      <c r="A279" s="4">
        <v>281.0</v>
      </c>
      <c r="C279" s="46"/>
      <c r="D279" s="11"/>
      <c r="E279" s="11"/>
      <c r="F279" s="11"/>
      <c r="G279" s="11"/>
      <c r="H279" s="11"/>
    </row>
    <row r="280">
      <c r="A280" s="4">
        <v>282.0</v>
      </c>
      <c r="C280" s="46"/>
      <c r="D280" s="11"/>
      <c r="E280" s="11"/>
      <c r="F280" s="11"/>
      <c r="G280" s="11"/>
      <c r="H280" s="11"/>
    </row>
    <row r="281">
      <c r="A281" s="4">
        <v>283.0</v>
      </c>
      <c r="C281" s="46"/>
      <c r="D281" s="11"/>
      <c r="E281" s="11"/>
      <c r="F281" s="11"/>
      <c r="G281" s="11"/>
      <c r="H281" s="11"/>
    </row>
    <row r="282">
      <c r="A282" s="4">
        <v>284.0</v>
      </c>
      <c r="C282" s="46"/>
      <c r="D282" s="11"/>
      <c r="E282" s="11"/>
      <c r="F282" s="11"/>
      <c r="G282" s="11"/>
      <c r="H282" s="11"/>
    </row>
    <row r="283">
      <c r="A283" s="4">
        <v>285.0</v>
      </c>
      <c r="C283" s="46"/>
      <c r="D283" s="11"/>
      <c r="E283" s="11"/>
      <c r="F283" s="11"/>
      <c r="G283" s="11"/>
      <c r="H283" s="11"/>
    </row>
    <row r="284">
      <c r="A284" s="4">
        <v>286.0</v>
      </c>
      <c r="C284" s="46"/>
      <c r="D284" s="11"/>
      <c r="E284" s="11"/>
      <c r="F284" s="11"/>
      <c r="G284" s="11"/>
      <c r="H284" s="11"/>
    </row>
    <row r="285">
      <c r="A285" s="4">
        <v>287.0</v>
      </c>
      <c r="C285" s="46"/>
      <c r="D285" s="11"/>
      <c r="E285" s="11"/>
      <c r="F285" s="11"/>
      <c r="G285" s="11"/>
      <c r="H285" s="11"/>
    </row>
    <row r="286">
      <c r="A286" s="4">
        <v>288.0</v>
      </c>
      <c r="C286" s="46"/>
      <c r="D286" s="11"/>
      <c r="E286" s="11"/>
      <c r="F286" s="11"/>
      <c r="G286" s="11"/>
      <c r="H286" s="11"/>
    </row>
    <row r="287">
      <c r="A287" s="4">
        <v>289.0</v>
      </c>
      <c r="C287" s="46"/>
      <c r="D287" s="11"/>
      <c r="E287" s="11"/>
      <c r="F287" s="11"/>
      <c r="G287" s="11"/>
      <c r="H287" s="11"/>
    </row>
    <row r="288">
      <c r="A288" s="4">
        <v>290.0</v>
      </c>
      <c r="C288" s="46"/>
      <c r="D288" s="11"/>
      <c r="E288" s="11"/>
      <c r="F288" s="11"/>
      <c r="G288" s="11"/>
      <c r="H288" s="11"/>
    </row>
    <row r="289">
      <c r="A289" s="4">
        <v>291.0</v>
      </c>
      <c r="C289" s="46"/>
      <c r="D289" s="11"/>
      <c r="E289" s="11"/>
      <c r="F289" s="11"/>
      <c r="G289" s="11"/>
      <c r="H289" s="11"/>
    </row>
    <row r="290">
      <c r="A290" s="4">
        <v>292.0</v>
      </c>
      <c r="C290" s="46"/>
      <c r="D290" s="11"/>
      <c r="E290" s="11"/>
      <c r="F290" s="11"/>
      <c r="G290" s="11"/>
      <c r="H290" s="11"/>
    </row>
    <row r="291">
      <c r="A291" s="4">
        <v>293.0</v>
      </c>
      <c r="C291" s="46"/>
      <c r="D291" s="11"/>
      <c r="E291" s="11"/>
      <c r="F291" s="11"/>
      <c r="G291" s="11"/>
      <c r="H291" s="11"/>
    </row>
    <row r="292">
      <c r="A292" s="4">
        <v>294.0</v>
      </c>
      <c r="C292" s="46"/>
      <c r="D292" s="11"/>
      <c r="E292" s="11"/>
      <c r="F292" s="11"/>
      <c r="G292" s="11"/>
      <c r="H292" s="11"/>
    </row>
    <row r="293">
      <c r="A293" s="4">
        <v>295.0</v>
      </c>
      <c r="C293" s="46"/>
      <c r="D293" s="11"/>
      <c r="E293" s="11"/>
      <c r="F293" s="11"/>
      <c r="G293" s="11"/>
      <c r="H293" s="11"/>
    </row>
    <row r="294">
      <c r="A294" s="4">
        <v>296.0</v>
      </c>
      <c r="C294" s="46"/>
      <c r="D294" s="11"/>
      <c r="E294" s="11"/>
      <c r="F294" s="11"/>
      <c r="G294" s="11"/>
      <c r="H294" s="11"/>
    </row>
    <row r="295">
      <c r="A295" s="4">
        <v>297.0</v>
      </c>
      <c r="C295" s="46"/>
      <c r="D295" s="11"/>
      <c r="E295" s="11"/>
      <c r="F295" s="11"/>
      <c r="G295" s="11"/>
      <c r="H295" s="11"/>
    </row>
    <row r="296">
      <c r="A296" s="4">
        <v>298.0</v>
      </c>
      <c r="C296" s="46"/>
      <c r="D296" s="11"/>
      <c r="E296" s="11"/>
      <c r="F296" s="11"/>
      <c r="G296" s="11"/>
      <c r="H296" s="11"/>
    </row>
    <row r="297">
      <c r="A297" s="4">
        <v>299.0</v>
      </c>
      <c r="C297" s="46"/>
      <c r="D297" s="11"/>
      <c r="E297" s="11"/>
      <c r="F297" s="11"/>
      <c r="G297" s="11"/>
      <c r="H297" s="11"/>
    </row>
    <row r="298">
      <c r="A298" s="4">
        <v>300.0</v>
      </c>
      <c r="C298" s="46"/>
      <c r="D298" s="11"/>
      <c r="E298" s="11"/>
      <c r="F298" s="11"/>
      <c r="G298" s="11"/>
      <c r="H298" s="11"/>
    </row>
    <row r="299">
      <c r="A299" s="4">
        <v>301.0</v>
      </c>
      <c r="C299" s="46"/>
      <c r="D299" s="11"/>
      <c r="E299" s="11"/>
      <c r="F299" s="11"/>
      <c r="G299" s="11"/>
      <c r="H299" s="11"/>
    </row>
    <row r="300">
      <c r="A300" s="4">
        <v>302.0</v>
      </c>
      <c r="C300" s="46"/>
      <c r="D300" s="11"/>
      <c r="E300" s="11"/>
      <c r="F300" s="11"/>
      <c r="G300" s="11"/>
      <c r="H300" s="11"/>
    </row>
    <row r="301">
      <c r="A301" s="4">
        <v>303.0</v>
      </c>
      <c r="C301" s="46"/>
      <c r="D301" s="11"/>
      <c r="E301" s="11"/>
      <c r="F301" s="11"/>
      <c r="G301" s="11"/>
      <c r="H301" s="11"/>
    </row>
    <row r="302">
      <c r="A302" s="4">
        <v>304.0</v>
      </c>
      <c r="C302" s="46"/>
      <c r="D302" s="11"/>
      <c r="E302" s="11"/>
      <c r="F302" s="11"/>
      <c r="G302" s="11"/>
      <c r="H302" s="11"/>
    </row>
    <row r="303">
      <c r="A303" s="4">
        <v>305.0</v>
      </c>
      <c r="C303" s="46"/>
      <c r="D303" s="11"/>
      <c r="E303" s="11"/>
      <c r="F303" s="11"/>
      <c r="G303" s="11"/>
      <c r="H303" s="11"/>
    </row>
    <row r="304">
      <c r="A304" s="4">
        <v>306.0</v>
      </c>
      <c r="C304" s="46"/>
      <c r="D304" s="11"/>
      <c r="E304" s="11"/>
      <c r="F304" s="11"/>
      <c r="G304" s="11"/>
      <c r="H304" s="11"/>
    </row>
    <row r="305">
      <c r="A305" s="4">
        <v>307.0</v>
      </c>
      <c r="C305" s="46"/>
      <c r="D305" s="11"/>
      <c r="E305" s="11"/>
      <c r="F305" s="11"/>
      <c r="G305" s="11"/>
      <c r="H305" s="11"/>
    </row>
    <row r="306">
      <c r="A306" s="4">
        <v>308.0</v>
      </c>
      <c r="C306" s="46"/>
      <c r="D306" s="11"/>
      <c r="E306" s="11"/>
      <c r="F306" s="11"/>
      <c r="G306" s="11"/>
      <c r="H306" s="11"/>
    </row>
    <row r="307">
      <c r="A307" s="4">
        <v>309.0</v>
      </c>
      <c r="C307" s="46"/>
      <c r="D307" s="11"/>
      <c r="E307" s="11"/>
      <c r="F307" s="11"/>
      <c r="G307" s="11"/>
      <c r="H307" s="11"/>
    </row>
    <row r="308">
      <c r="A308" s="4">
        <v>310.0</v>
      </c>
      <c r="C308" s="46"/>
      <c r="D308" s="11"/>
      <c r="E308" s="11"/>
      <c r="F308" s="11"/>
      <c r="G308" s="11"/>
      <c r="H308" s="11"/>
    </row>
    <row r="309">
      <c r="A309" s="4">
        <v>311.0</v>
      </c>
      <c r="C309" s="46"/>
      <c r="D309" s="11"/>
      <c r="E309" s="11"/>
      <c r="F309" s="11"/>
      <c r="G309" s="11"/>
      <c r="H309" s="11"/>
    </row>
    <row r="310">
      <c r="A310" s="4">
        <v>312.0</v>
      </c>
      <c r="C310" s="46"/>
      <c r="D310" s="11"/>
      <c r="E310" s="11"/>
      <c r="F310" s="11"/>
      <c r="G310" s="11"/>
      <c r="H310" s="11"/>
    </row>
    <row r="311">
      <c r="A311" s="4">
        <v>313.0</v>
      </c>
      <c r="C311" s="46"/>
      <c r="D311" s="11"/>
      <c r="E311" s="11"/>
      <c r="F311" s="11"/>
      <c r="G311" s="11"/>
      <c r="H311" s="11"/>
    </row>
    <row r="312">
      <c r="A312" s="4">
        <v>314.0</v>
      </c>
      <c r="C312" s="46"/>
      <c r="D312" s="11"/>
      <c r="E312" s="11"/>
      <c r="F312" s="11"/>
      <c r="G312" s="11"/>
      <c r="H312" s="11"/>
    </row>
    <row r="313">
      <c r="A313" s="4">
        <v>315.0</v>
      </c>
      <c r="C313" s="46"/>
      <c r="D313" s="11"/>
      <c r="E313" s="11"/>
      <c r="F313" s="11"/>
      <c r="G313" s="11"/>
      <c r="H313" s="11"/>
    </row>
    <row r="314">
      <c r="A314" s="4">
        <v>316.0</v>
      </c>
      <c r="C314" s="46"/>
      <c r="D314" s="11"/>
      <c r="E314" s="11"/>
      <c r="F314" s="11"/>
      <c r="G314" s="11"/>
      <c r="H314" s="11"/>
    </row>
    <row r="315">
      <c r="A315" s="4">
        <v>317.0</v>
      </c>
      <c r="C315" s="46"/>
      <c r="D315" s="11"/>
      <c r="E315" s="11"/>
      <c r="F315" s="11"/>
      <c r="G315" s="11"/>
      <c r="H315" s="11"/>
    </row>
    <row r="316">
      <c r="A316" s="4">
        <v>318.0</v>
      </c>
      <c r="C316" s="46"/>
      <c r="D316" s="11"/>
      <c r="E316" s="11"/>
      <c r="F316" s="11"/>
      <c r="G316" s="11"/>
      <c r="H316" s="11"/>
    </row>
    <row r="317">
      <c r="A317" s="4">
        <v>319.0</v>
      </c>
      <c r="C317" s="46"/>
      <c r="D317" s="11"/>
      <c r="E317" s="11"/>
      <c r="F317" s="11"/>
      <c r="G317" s="11"/>
      <c r="H317" s="11"/>
    </row>
    <row r="318">
      <c r="A318" s="4">
        <v>320.0</v>
      </c>
      <c r="C318" s="46"/>
      <c r="D318" s="11"/>
      <c r="E318" s="11"/>
      <c r="F318" s="11"/>
      <c r="G318" s="11"/>
      <c r="H318" s="11"/>
    </row>
    <row r="319">
      <c r="A319" s="4">
        <v>321.0</v>
      </c>
      <c r="C319" s="46"/>
      <c r="D319" s="11"/>
      <c r="E319" s="11"/>
      <c r="F319" s="11"/>
      <c r="G319" s="11"/>
      <c r="H319" s="11"/>
    </row>
    <row r="320">
      <c r="A320" s="4">
        <v>322.0</v>
      </c>
      <c r="C320" s="46"/>
      <c r="D320" s="11"/>
      <c r="E320" s="11"/>
      <c r="F320" s="11"/>
      <c r="G320" s="11"/>
      <c r="H320" s="11"/>
    </row>
    <row r="321">
      <c r="A321" s="4">
        <v>323.0</v>
      </c>
      <c r="C321" s="46"/>
      <c r="D321" s="11"/>
      <c r="E321" s="11"/>
      <c r="F321" s="11"/>
      <c r="G321" s="11"/>
      <c r="H321" s="11"/>
    </row>
    <row r="322">
      <c r="A322" s="4">
        <v>324.0</v>
      </c>
      <c r="C322" s="46"/>
      <c r="D322" s="11"/>
      <c r="E322" s="11"/>
      <c r="F322" s="11"/>
      <c r="G322" s="11"/>
      <c r="H322" s="11"/>
    </row>
    <row r="323">
      <c r="A323" s="4">
        <v>325.0</v>
      </c>
      <c r="C323" s="46"/>
      <c r="D323" s="11"/>
      <c r="E323" s="11"/>
      <c r="F323" s="11"/>
      <c r="G323" s="11"/>
      <c r="H323" s="11"/>
    </row>
    <row r="324">
      <c r="A324" s="4">
        <v>326.0</v>
      </c>
      <c r="C324" s="46"/>
      <c r="D324" s="11"/>
      <c r="E324" s="11"/>
      <c r="F324" s="11"/>
      <c r="G324" s="11"/>
      <c r="H324" s="11"/>
    </row>
    <row r="325">
      <c r="A325" s="4">
        <v>327.0</v>
      </c>
      <c r="C325" s="46"/>
      <c r="D325" s="11"/>
      <c r="E325" s="11"/>
      <c r="F325" s="11"/>
      <c r="G325" s="11"/>
      <c r="H325" s="11"/>
    </row>
    <row r="326">
      <c r="A326" s="4">
        <v>328.0</v>
      </c>
      <c r="C326" s="46"/>
      <c r="D326" s="11"/>
      <c r="E326" s="11"/>
      <c r="F326" s="11"/>
      <c r="G326" s="11"/>
      <c r="H326" s="11"/>
    </row>
    <row r="327">
      <c r="A327" s="4">
        <v>329.0</v>
      </c>
      <c r="C327" s="46"/>
      <c r="D327" s="11"/>
      <c r="E327" s="11"/>
      <c r="F327" s="11"/>
      <c r="G327" s="11"/>
      <c r="H327" s="11"/>
    </row>
    <row r="328">
      <c r="A328" s="4">
        <v>330.0</v>
      </c>
      <c r="C328" s="46"/>
      <c r="D328" s="11"/>
      <c r="E328" s="11"/>
      <c r="F328" s="11"/>
      <c r="G328" s="11"/>
      <c r="H328" s="11"/>
    </row>
    <row r="329">
      <c r="A329" s="4">
        <v>331.0</v>
      </c>
      <c r="C329" s="46"/>
      <c r="D329" s="11"/>
      <c r="E329" s="11"/>
      <c r="F329" s="11"/>
      <c r="G329" s="11"/>
      <c r="H329" s="11"/>
    </row>
    <row r="330">
      <c r="A330" s="4">
        <v>332.0</v>
      </c>
      <c r="C330" s="46"/>
      <c r="D330" s="11"/>
      <c r="E330" s="11"/>
      <c r="F330" s="11"/>
      <c r="G330" s="11"/>
      <c r="H330" s="11"/>
    </row>
    <row r="331">
      <c r="A331" s="4">
        <v>333.0</v>
      </c>
      <c r="C331" s="46"/>
      <c r="D331" s="11"/>
      <c r="E331" s="11"/>
      <c r="F331" s="11"/>
      <c r="G331" s="11"/>
      <c r="H331" s="11"/>
    </row>
    <row r="332">
      <c r="A332" s="4">
        <v>334.0</v>
      </c>
      <c r="C332" s="46"/>
      <c r="D332" s="11"/>
      <c r="E332" s="11"/>
      <c r="F332" s="11"/>
      <c r="G332" s="11"/>
      <c r="H332" s="11"/>
    </row>
    <row r="333">
      <c r="A333" s="4">
        <v>335.0</v>
      </c>
      <c r="C333" s="46"/>
      <c r="D333" s="11"/>
      <c r="E333" s="11"/>
      <c r="F333" s="11"/>
      <c r="G333" s="11"/>
      <c r="H333" s="11"/>
    </row>
    <row r="334">
      <c r="A334" s="4">
        <v>336.0</v>
      </c>
      <c r="C334" s="46"/>
      <c r="D334" s="11"/>
      <c r="E334" s="11"/>
      <c r="F334" s="11"/>
      <c r="G334" s="11"/>
      <c r="H334" s="11"/>
    </row>
    <row r="335">
      <c r="A335" s="4">
        <v>337.0</v>
      </c>
      <c r="C335" s="46"/>
      <c r="D335" s="11"/>
      <c r="E335" s="11"/>
      <c r="F335" s="11"/>
      <c r="G335" s="11"/>
      <c r="H335" s="11"/>
    </row>
    <row r="336">
      <c r="A336" s="4">
        <v>338.0</v>
      </c>
      <c r="C336" s="46"/>
      <c r="D336" s="11"/>
      <c r="E336" s="11"/>
      <c r="F336" s="11"/>
      <c r="G336" s="11"/>
      <c r="H336" s="11"/>
    </row>
    <row r="337">
      <c r="A337" s="4">
        <v>339.0</v>
      </c>
      <c r="C337" s="46"/>
      <c r="D337" s="11"/>
      <c r="E337" s="11"/>
      <c r="F337" s="11"/>
      <c r="G337" s="11"/>
      <c r="H337" s="11"/>
    </row>
    <row r="338">
      <c r="A338" s="4">
        <v>340.0</v>
      </c>
      <c r="C338" s="46"/>
      <c r="D338" s="11"/>
      <c r="E338" s="11"/>
      <c r="F338" s="11"/>
      <c r="G338" s="11"/>
      <c r="H338" s="11"/>
    </row>
    <row r="339">
      <c r="A339" s="4">
        <v>341.0</v>
      </c>
      <c r="C339" s="46"/>
      <c r="D339" s="11"/>
      <c r="E339" s="11"/>
      <c r="F339" s="11"/>
      <c r="G339" s="11"/>
      <c r="H339" s="11"/>
    </row>
    <row r="340">
      <c r="A340" s="4">
        <v>342.0</v>
      </c>
      <c r="C340" s="46"/>
      <c r="D340" s="11"/>
      <c r="E340" s="11"/>
      <c r="F340" s="11"/>
      <c r="G340" s="11"/>
      <c r="H340" s="11"/>
    </row>
    <row r="341">
      <c r="A341" s="4">
        <v>343.0</v>
      </c>
      <c r="C341" s="46"/>
      <c r="D341" s="11"/>
      <c r="E341" s="11"/>
      <c r="F341" s="11"/>
      <c r="G341" s="11"/>
      <c r="H341" s="11"/>
    </row>
    <row r="342">
      <c r="A342" s="4">
        <v>344.0</v>
      </c>
      <c r="C342" s="46"/>
      <c r="D342" s="11"/>
      <c r="E342" s="11"/>
      <c r="F342" s="11"/>
      <c r="G342" s="11"/>
      <c r="H342" s="11"/>
    </row>
    <row r="343">
      <c r="A343" s="4">
        <v>345.0</v>
      </c>
      <c r="C343" s="46"/>
      <c r="D343" s="11"/>
      <c r="E343" s="11"/>
      <c r="F343" s="11"/>
      <c r="G343" s="11"/>
      <c r="H343" s="11"/>
    </row>
    <row r="344">
      <c r="A344" s="4">
        <v>346.0</v>
      </c>
      <c r="C344" s="46"/>
      <c r="D344" s="11"/>
      <c r="E344" s="11"/>
      <c r="F344" s="11"/>
      <c r="G344" s="11"/>
      <c r="H344" s="11"/>
    </row>
    <row r="345">
      <c r="A345" s="4">
        <v>347.0</v>
      </c>
      <c r="C345" s="46"/>
      <c r="D345" s="11"/>
      <c r="E345" s="11"/>
      <c r="F345" s="11"/>
      <c r="G345" s="11"/>
      <c r="H345" s="11"/>
    </row>
    <row r="346">
      <c r="A346" s="4">
        <v>348.0</v>
      </c>
      <c r="C346" s="46"/>
      <c r="D346" s="11"/>
      <c r="E346" s="11"/>
      <c r="F346" s="11"/>
      <c r="G346" s="11"/>
      <c r="H346" s="11"/>
    </row>
    <row r="347">
      <c r="A347" s="4">
        <v>349.0</v>
      </c>
      <c r="C347" s="46"/>
      <c r="D347" s="11"/>
      <c r="E347" s="11"/>
      <c r="F347" s="11"/>
      <c r="G347" s="11"/>
      <c r="H347" s="11"/>
    </row>
    <row r="348">
      <c r="A348" s="4">
        <v>350.0</v>
      </c>
      <c r="C348" s="46"/>
      <c r="D348" s="11"/>
      <c r="E348" s="11"/>
      <c r="F348" s="11"/>
      <c r="G348" s="11"/>
      <c r="H348" s="11"/>
    </row>
    <row r="349">
      <c r="A349" s="4">
        <v>351.0</v>
      </c>
      <c r="C349" s="46"/>
      <c r="D349" s="11"/>
      <c r="E349" s="11"/>
      <c r="F349" s="11"/>
      <c r="G349" s="11"/>
      <c r="H349" s="11"/>
    </row>
    <row r="350">
      <c r="A350" s="4">
        <v>352.0</v>
      </c>
      <c r="C350" s="46"/>
      <c r="D350" s="11"/>
      <c r="E350" s="11"/>
      <c r="F350" s="11"/>
      <c r="G350" s="11"/>
      <c r="H350" s="11"/>
    </row>
    <row r="351">
      <c r="A351" s="4">
        <v>353.0</v>
      </c>
      <c r="C351" s="46"/>
      <c r="D351" s="11"/>
      <c r="E351" s="11"/>
      <c r="F351" s="11"/>
      <c r="G351" s="11"/>
      <c r="H351" s="11"/>
    </row>
    <row r="352">
      <c r="A352" s="4">
        <v>354.0</v>
      </c>
      <c r="C352" s="46"/>
      <c r="D352" s="11"/>
      <c r="E352" s="11"/>
      <c r="F352" s="11"/>
      <c r="G352" s="11"/>
      <c r="H352" s="11"/>
    </row>
    <row r="353">
      <c r="A353" s="4">
        <v>355.0</v>
      </c>
      <c r="C353" s="46"/>
      <c r="D353" s="11"/>
      <c r="E353" s="11"/>
      <c r="F353" s="11"/>
      <c r="G353" s="11"/>
      <c r="H353" s="11"/>
    </row>
    <row r="354">
      <c r="A354" s="4">
        <v>356.0</v>
      </c>
      <c r="C354" s="46"/>
      <c r="D354" s="11"/>
      <c r="E354" s="11"/>
      <c r="F354" s="11"/>
      <c r="G354" s="11"/>
      <c r="H354" s="11"/>
    </row>
    <row r="355">
      <c r="A355" s="4">
        <v>357.0</v>
      </c>
      <c r="C355" s="46"/>
      <c r="D355" s="11"/>
      <c r="E355" s="11"/>
      <c r="F355" s="11"/>
      <c r="G355" s="11"/>
      <c r="H355" s="11"/>
    </row>
    <row r="356">
      <c r="A356" s="4">
        <v>358.0</v>
      </c>
      <c r="C356" s="46"/>
      <c r="D356" s="11"/>
      <c r="E356" s="11"/>
      <c r="F356" s="11"/>
      <c r="G356" s="11"/>
      <c r="H356" s="11"/>
    </row>
    <row r="357">
      <c r="A357" s="4">
        <v>359.0</v>
      </c>
      <c r="C357" s="46"/>
      <c r="D357" s="11"/>
      <c r="E357" s="11"/>
      <c r="F357" s="11"/>
      <c r="G357" s="11"/>
      <c r="H357" s="11"/>
    </row>
    <row r="358">
      <c r="A358" s="4">
        <v>360.0</v>
      </c>
      <c r="C358" s="46"/>
      <c r="D358" s="11"/>
      <c r="E358" s="11"/>
      <c r="F358" s="11"/>
      <c r="G358" s="11"/>
      <c r="H358" s="11"/>
    </row>
    <row r="359">
      <c r="A359" s="4">
        <v>361.0</v>
      </c>
      <c r="C359" s="46"/>
      <c r="D359" s="11"/>
      <c r="E359" s="11"/>
      <c r="F359" s="11"/>
      <c r="G359" s="11"/>
      <c r="H359" s="11"/>
    </row>
    <row r="360">
      <c r="A360" s="4">
        <v>362.0</v>
      </c>
      <c r="C360" s="46"/>
      <c r="D360" s="11"/>
      <c r="E360" s="11"/>
      <c r="F360" s="11"/>
      <c r="G360" s="11"/>
      <c r="H360" s="11"/>
    </row>
    <row r="361">
      <c r="A361" s="4">
        <v>363.0</v>
      </c>
      <c r="C361" s="46"/>
      <c r="D361" s="11"/>
      <c r="E361" s="11"/>
      <c r="F361" s="11"/>
      <c r="G361" s="11"/>
      <c r="H361" s="11"/>
    </row>
    <row r="362">
      <c r="A362" s="4">
        <v>364.0</v>
      </c>
      <c r="C362" s="46"/>
      <c r="D362" s="11"/>
      <c r="E362" s="11"/>
      <c r="F362" s="11"/>
      <c r="G362" s="11"/>
      <c r="H362" s="11"/>
    </row>
    <row r="363">
      <c r="A363" s="4">
        <v>365.0</v>
      </c>
      <c r="C363" s="46"/>
      <c r="D363" s="11"/>
      <c r="E363" s="11"/>
      <c r="F363" s="11"/>
      <c r="G363" s="11"/>
      <c r="H363" s="11"/>
    </row>
    <row r="364">
      <c r="A364" s="4">
        <v>366.0</v>
      </c>
      <c r="C364" s="46"/>
      <c r="D364" s="11"/>
      <c r="E364" s="11"/>
      <c r="F364" s="11"/>
      <c r="G364" s="11"/>
      <c r="H364" s="11"/>
    </row>
    <row r="365">
      <c r="A365" s="4">
        <v>367.0</v>
      </c>
      <c r="C365" s="46"/>
      <c r="D365" s="11"/>
      <c r="E365" s="11"/>
      <c r="F365" s="11"/>
      <c r="G365" s="11"/>
      <c r="H365" s="11"/>
    </row>
    <row r="366">
      <c r="A366" s="4">
        <v>368.0</v>
      </c>
      <c r="C366" s="46"/>
      <c r="D366" s="11"/>
      <c r="E366" s="11"/>
      <c r="F366" s="11"/>
      <c r="G366" s="11"/>
      <c r="H366" s="11"/>
    </row>
    <row r="367">
      <c r="A367" s="4">
        <v>369.0</v>
      </c>
      <c r="C367" s="46"/>
      <c r="D367" s="11"/>
      <c r="E367" s="11"/>
      <c r="F367" s="11"/>
      <c r="G367" s="11"/>
      <c r="H367" s="11"/>
    </row>
    <row r="368">
      <c r="A368" s="4">
        <v>370.0</v>
      </c>
      <c r="C368" s="46"/>
      <c r="D368" s="11"/>
      <c r="E368" s="11"/>
      <c r="F368" s="11"/>
      <c r="G368" s="11"/>
      <c r="H368" s="11"/>
    </row>
    <row r="369">
      <c r="A369" s="4">
        <v>371.0</v>
      </c>
      <c r="C369" s="46"/>
      <c r="D369" s="11"/>
      <c r="E369" s="11"/>
      <c r="F369" s="11"/>
      <c r="G369" s="11"/>
      <c r="H369" s="11"/>
    </row>
    <row r="370">
      <c r="A370" s="4">
        <v>372.0</v>
      </c>
      <c r="C370" s="46"/>
      <c r="D370" s="11"/>
      <c r="E370" s="11"/>
      <c r="F370" s="11"/>
      <c r="G370" s="11"/>
      <c r="H370" s="11"/>
    </row>
    <row r="371">
      <c r="A371" s="4">
        <v>373.0</v>
      </c>
      <c r="C371" s="46"/>
      <c r="D371" s="11"/>
      <c r="E371" s="11"/>
      <c r="F371" s="11"/>
      <c r="G371" s="11"/>
      <c r="H371" s="11"/>
    </row>
    <row r="372">
      <c r="A372" s="4">
        <v>374.0</v>
      </c>
      <c r="C372" s="46"/>
      <c r="D372" s="11"/>
      <c r="E372" s="11"/>
      <c r="F372" s="11"/>
      <c r="G372" s="11"/>
      <c r="H372" s="11"/>
    </row>
    <row r="373">
      <c r="A373" s="4">
        <v>375.0</v>
      </c>
      <c r="C373" s="46"/>
      <c r="D373" s="11"/>
      <c r="E373" s="11"/>
      <c r="F373" s="11"/>
      <c r="G373" s="11"/>
      <c r="H373" s="11"/>
    </row>
    <row r="374">
      <c r="A374" s="4">
        <v>376.0</v>
      </c>
      <c r="C374" s="46"/>
      <c r="D374" s="11"/>
      <c r="E374" s="11"/>
      <c r="F374" s="11"/>
      <c r="G374" s="11"/>
      <c r="H374" s="11"/>
    </row>
    <row r="375">
      <c r="A375" s="4">
        <v>377.0</v>
      </c>
      <c r="C375" s="46"/>
      <c r="D375" s="11"/>
      <c r="E375" s="11"/>
      <c r="F375" s="11"/>
      <c r="G375" s="11"/>
      <c r="H375" s="11"/>
    </row>
    <row r="376">
      <c r="A376" s="4">
        <v>378.0</v>
      </c>
      <c r="C376" s="46"/>
      <c r="D376" s="11"/>
      <c r="E376" s="11"/>
      <c r="F376" s="11"/>
      <c r="G376" s="11"/>
      <c r="H376" s="11"/>
    </row>
    <row r="377">
      <c r="A377" s="4">
        <v>379.0</v>
      </c>
      <c r="C377" s="46"/>
      <c r="D377" s="11"/>
      <c r="E377" s="11"/>
      <c r="F377" s="11"/>
      <c r="G377" s="11"/>
      <c r="H377" s="11"/>
    </row>
    <row r="378">
      <c r="A378" s="4">
        <v>380.0</v>
      </c>
      <c r="C378" s="46"/>
      <c r="D378" s="11"/>
      <c r="E378" s="11"/>
      <c r="F378" s="11"/>
      <c r="G378" s="11"/>
      <c r="H378" s="11"/>
    </row>
    <row r="379">
      <c r="A379" s="4">
        <v>381.0</v>
      </c>
      <c r="C379" s="46"/>
      <c r="D379" s="11"/>
      <c r="E379" s="11"/>
      <c r="F379" s="11"/>
      <c r="G379" s="11"/>
      <c r="H379" s="11"/>
    </row>
    <row r="380">
      <c r="A380" s="4">
        <v>382.0</v>
      </c>
      <c r="C380" s="46"/>
      <c r="D380" s="11"/>
      <c r="E380" s="11"/>
      <c r="F380" s="11"/>
      <c r="G380" s="11"/>
      <c r="H380" s="11"/>
    </row>
    <row r="381">
      <c r="A381" s="4">
        <v>383.0</v>
      </c>
      <c r="C381" s="46"/>
      <c r="D381" s="11"/>
      <c r="E381" s="11"/>
      <c r="F381" s="11"/>
      <c r="G381" s="11"/>
      <c r="H381" s="11"/>
    </row>
    <row r="382">
      <c r="A382" s="4">
        <v>384.0</v>
      </c>
      <c r="C382" s="46"/>
      <c r="D382" s="11"/>
      <c r="E382" s="11"/>
      <c r="F382" s="11"/>
      <c r="G382" s="11"/>
      <c r="H382" s="11"/>
    </row>
    <row r="383">
      <c r="A383" s="4">
        <v>385.0</v>
      </c>
      <c r="C383" s="46"/>
      <c r="D383" s="11"/>
      <c r="E383" s="11"/>
      <c r="F383" s="11"/>
      <c r="G383" s="11"/>
      <c r="H383" s="11"/>
    </row>
    <row r="384">
      <c r="A384" s="4">
        <v>386.0</v>
      </c>
      <c r="C384" s="46"/>
      <c r="D384" s="11"/>
      <c r="E384" s="11"/>
      <c r="F384" s="11"/>
      <c r="G384" s="11"/>
      <c r="H384" s="11"/>
    </row>
    <row r="385">
      <c r="A385" s="4">
        <v>387.0</v>
      </c>
      <c r="C385" s="46"/>
      <c r="D385" s="11"/>
      <c r="E385" s="11"/>
      <c r="F385" s="11"/>
      <c r="G385" s="11"/>
      <c r="H385" s="11"/>
    </row>
    <row r="386">
      <c r="A386" s="4">
        <v>388.0</v>
      </c>
      <c r="C386" s="46"/>
      <c r="D386" s="11"/>
      <c r="E386" s="11"/>
      <c r="F386" s="11"/>
      <c r="G386" s="11"/>
      <c r="H386" s="11"/>
    </row>
    <row r="387">
      <c r="A387" s="4">
        <v>389.0</v>
      </c>
      <c r="C387" s="46"/>
      <c r="D387" s="11"/>
      <c r="E387" s="11"/>
      <c r="F387" s="11"/>
      <c r="G387" s="11"/>
      <c r="H387" s="11"/>
    </row>
    <row r="388">
      <c r="A388" s="4">
        <v>390.0</v>
      </c>
      <c r="C388" s="46"/>
      <c r="D388" s="11"/>
      <c r="E388" s="11"/>
      <c r="F388" s="11"/>
      <c r="G388" s="11"/>
      <c r="H388" s="11"/>
    </row>
    <row r="389">
      <c r="A389" s="4">
        <v>391.0</v>
      </c>
      <c r="C389" s="46"/>
      <c r="D389" s="11"/>
      <c r="E389" s="11"/>
      <c r="F389" s="11"/>
      <c r="G389" s="11"/>
      <c r="H389" s="11"/>
    </row>
    <row r="390">
      <c r="A390" s="4">
        <v>392.0</v>
      </c>
      <c r="C390" s="46"/>
      <c r="D390" s="11"/>
      <c r="E390" s="11"/>
      <c r="F390" s="11"/>
      <c r="G390" s="11"/>
      <c r="H390" s="11"/>
    </row>
    <row r="391">
      <c r="A391" s="4">
        <v>393.0</v>
      </c>
      <c r="C391" s="46"/>
      <c r="D391" s="11"/>
      <c r="E391" s="11"/>
      <c r="F391" s="11"/>
      <c r="G391" s="11"/>
      <c r="H391" s="11"/>
    </row>
    <row r="392">
      <c r="A392" s="4">
        <v>394.0</v>
      </c>
      <c r="C392" s="46"/>
      <c r="D392" s="11"/>
      <c r="E392" s="11"/>
      <c r="F392" s="11"/>
      <c r="G392" s="11"/>
      <c r="H392" s="11"/>
    </row>
    <row r="393">
      <c r="A393" s="4">
        <v>395.0</v>
      </c>
      <c r="C393" s="46"/>
      <c r="D393" s="11"/>
      <c r="E393" s="11"/>
      <c r="F393" s="11"/>
      <c r="G393" s="11"/>
      <c r="H393" s="11"/>
    </row>
    <row r="394">
      <c r="A394" s="4">
        <v>396.0</v>
      </c>
      <c r="C394" s="46"/>
      <c r="D394" s="11"/>
      <c r="E394" s="11"/>
      <c r="F394" s="11"/>
      <c r="G394" s="11"/>
      <c r="H394" s="11"/>
    </row>
    <row r="395">
      <c r="A395" s="4">
        <v>397.0</v>
      </c>
      <c r="C395" s="46"/>
      <c r="D395" s="11"/>
      <c r="E395" s="11"/>
      <c r="F395" s="11"/>
      <c r="G395" s="11"/>
      <c r="H395" s="11"/>
    </row>
    <row r="396">
      <c r="A396" s="4">
        <v>398.0</v>
      </c>
      <c r="C396" s="46"/>
      <c r="D396" s="11"/>
      <c r="E396" s="11"/>
      <c r="F396" s="11"/>
      <c r="G396" s="11"/>
      <c r="H396" s="11"/>
    </row>
    <row r="397">
      <c r="A397" s="4">
        <v>399.0</v>
      </c>
      <c r="C397" s="46"/>
      <c r="D397" s="11"/>
      <c r="E397" s="11"/>
      <c r="F397" s="11"/>
      <c r="G397" s="11"/>
      <c r="H397" s="11"/>
    </row>
    <row r="398">
      <c r="A398" s="4">
        <v>400.0</v>
      </c>
      <c r="C398" s="46"/>
      <c r="D398" s="11"/>
      <c r="E398" s="11"/>
      <c r="F398" s="11"/>
      <c r="G398" s="11"/>
      <c r="H398" s="11"/>
    </row>
    <row r="399">
      <c r="A399" s="4">
        <v>401.0</v>
      </c>
      <c r="C399" s="46"/>
      <c r="D399" s="11"/>
      <c r="E399" s="11"/>
      <c r="F399" s="11"/>
      <c r="G399" s="11"/>
      <c r="H399" s="11"/>
    </row>
    <row r="400">
      <c r="A400" s="4">
        <v>402.0</v>
      </c>
      <c r="C400" s="46"/>
      <c r="D400" s="11"/>
      <c r="E400" s="11"/>
      <c r="F400" s="11"/>
      <c r="G400" s="11"/>
      <c r="H400" s="11"/>
    </row>
    <row r="401">
      <c r="A401" s="4">
        <v>403.0</v>
      </c>
      <c r="C401" s="46"/>
      <c r="D401" s="11"/>
      <c r="E401" s="11"/>
      <c r="F401" s="11"/>
      <c r="G401" s="11"/>
      <c r="H401" s="11"/>
    </row>
    <row r="402">
      <c r="A402" s="4">
        <v>404.0</v>
      </c>
      <c r="C402" s="46"/>
      <c r="D402" s="11"/>
      <c r="E402" s="11"/>
      <c r="F402" s="11"/>
      <c r="G402" s="11"/>
      <c r="H402" s="11"/>
    </row>
    <row r="403">
      <c r="A403" s="4">
        <v>405.0</v>
      </c>
      <c r="C403" s="46"/>
      <c r="D403" s="11"/>
      <c r="E403" s="11"/>
      <c r="F403" s="11"/>
      <c r="G403" s="11"/>
      <c r="H403" s="11"/>
    </row>
    <row r="404">
      <c r="A404" s="4">
        <v>406.0</v>
      </c>
      <c r="C404" s="46"/>
      <c r="D404" s="11"/>
      <c r="E404" s="11"/>
      <c r="F404" s="11"/>
      <c r="G404" s="11"/>
      <c r="H404" s="11"/>
    </row>
    <row r="405">
      <c r="A405" s="4">
        <v>407.0</v>
      </c>
      <c r="C405" s="46"/>
      <c r="D405" s="11"/>
      <c r="E405" s="11"/>
      <c r="F405" s="11"/>
      <c r="G405" s="11"/>
      <c r="H405" s="11"/>
    </row>
    <row r="406">
      <c r="A406" s="4">
        <v>408.0</v>
      </c>
      <c r="C406" s="46"/>
      <c r="D406" s="11"/>
      <c r="E406" s="11"/>
      <c r="F406" s="11"/>
      <c r="G406" s="11"/>
      <c r="H406" s="11"/>
    </row>
    <row r="407">
      <c r="A407" s="4">
        <v>409.0</v>
      </c>
      <c r="C407" s="46"/>
      <c r="D407" s="11"/>
      <c r="E407" s="11"/>
      <c r="F407" s="11"/>
      <c r="G407" s="11"/>
      <c r="H407" s="11"/>
    </row>
    <row r="408">
      <c r="A408" s="4">
        <v>410.0</v>
      </c>
      <c r="C408" s="46"/>
      <c r="D408" s="11"/>
      <c r="E408" s="11"/>
      <c r="F408" s="11"/>
      <c r="G408" s="11"/>
      <c r="H408" s="11"/>
    </row>
    <row r="409">
      <c r="A409" s="4">
        <v>411.0</v>
      </c>
      <c r="C409" s="46"/>
      <c r="D409" s="11"/>
      <c r="E409" s="11"/>
      <c r="F409" s="11"/>
      <c r="G409" s="11"/>
      <c r="H409" s="11"/>
    </row>
    <row r="410">
      <c r="A410" s="4">
        <v>412.0</v>
      </c>
      <c r="C410" s="46"/>
      <c r="D410" s="11"/>
      <c r="E410" s="11"/>
      <c r="F410" s="11"/>
      <c r="G410" s="11"/>
      <c r="H410" s="11"/>
    </row>
    <row r="411">
      <c r="A411" s="4">
        <v>413.0</v>
      </c>
      <c r="C411" s="46"/>
      <c r="D411" s="11"/>
      <c r="E411" s="11"/>
      <c r="F411" s="11"/>
      <c r="G411" s="11"/>
      <c r="H411" s="11"/>
    </row>
    <row r="412">
      <c r="A412" s="4">
        <v>414.0</v>
      </c>
      <c r="C412" s="46"/>
      <c r="D412" s="11"/>
      <c r="E412" s="11"/>
      <c r="F412" s="11"/>
      <c r="G412" s="11"/>
      <c r="H412" s="11"/>
    </row>
    <row r="413">
      <c r="A413" s="4">
        <v>415.0</v>
      </c>
      <c r="C413" s="46"/>
      <c r="D413" s="11"/>
      <c r="E413" s="11"/>
      <c r="F413" s="11"/>
      <c r="G413" s="11"/>
      <c r="H413" s="11"/>
    </row>
    <row r="414">
      <c r="A414" s="4">
        <v>416.0</v>
      </c>
      <c r="C414" s="46"/>
      <c r="D414" s="11"/>
      <c r="E414" s="11"/>
      <c r="F414" s="11"/>
      <c r="G414" s="11"/>
      <c r="H414" s="11"/>
    </row>
    <row r="415">
      <c r="A415" s="4">
        <v>417.0</v>
      </c>
      <c r="C415" s="46"/>
      <c r="D415" s="11"/>
      <c r="E415" s="11"/>
      <c r="F415" s="11"/>
      <c r="G415" s="11"/>
      <c r="H415" s="11"/>
    </row>
    <row r="416">
      <c r="A416" s="4">
        <v>418.0</v>
      </c>
      <c r="C416" s="46"/>
      <c r="D416" s="11"/>
      <c r="E416" s="11"/>
      <c r="F416" s="11"/>
      <c r="G416" s="11"/>
      <c r="H416" s="11"/>
    </row>
    <row r="417">
      <c r="A417" s="4">
        <v>419.0</v>
      </c>
      <c r="C417" s="46"/>
      <c r="D417" s="11"/>
      <c r="E417" s="11"/>
      <c r="F417" s="11"/>
      <c r="G417" s="11"/>
      <c r="H417" s="11"/>
    </row>
    <row r="418">
      <c r="A418" s="4">
        <v>420.0</v>
      </c>
      <c r="C418" s="46"/>
      <c r="D418" s="11"/>
      <c r="E418" s="11"/>
      <c r="F418" s="11"/>
      <c r="G418" s="11"/>
      <c r="H418" s="11"/>
    </row>
    <row r="419">
      <c r="A419" s="4">
        <v>421.0</v>
      </c>
      <c r="C419" s="46"/>
      <c r="D419" s="11"/>
      <c r="E419" s="11"/>
      <c r="F419" s="11"/>
      <c r="G419" s="11"/>
      <c r="H419" s="11"/>
    </row>
    <row r="420">
      <c r="A420" s="4">
        <v>422.0</v>
      </c>
      <c r="C420" s="46"/>
      <c r="D420" s="11"/>
      <c r="E420" s="11"/>
      <c r="F420" s="11"/>
      <c r="G420" s="11"/>
      <c r="H420" s="11"/>
    </row>
    <row r="421">
      <c r="A421" s="4">
        <v>423.0</v>
      </c>
      <c r="C421" s="46"/>
      <c r="D421" s="11"/>
      <c r="E421" s="11"/>
      <c r="F421" s="11"/>
      <c r="G421" s="11"/>
      <c r="H421" s="11"/>
    </row>
    <row r="422">
      <c r="A422" s="4">
        <v>424.0</v>
      </c>
      <c r="C422" s="46"/>
      <c r="D422" s="11"/>
      <c r="E422" s="11"/>
      <c r="F422" s="11"/>
      <c r="G422" s="11"/>
      <c r="H422" s="11"/>
    </row>
    <row r="423">
      <c r="A423" s="4">
        <v>425.0</v>
      </c>
      <c r="C423" s="46"/>
      <c r="D423" s="11"/>
      <c r="E423" s="11"/>
      <c r="F423" s="11"/>
      <c r="G423" s="11"/>
      <c r="H423" s="11"/>
    </row>
    <row r="424">
      <c r="A424" s="4">
        <v>426.0</v>
      </c>
      <c r="C424" s="46"/>
      <c r="D424" s="11"/>
      <c r="E424" s="11"/>
      <c r="F424" s="11"/>
      <c r="G424" s="11"/>
      <c r="H424" s="11"/>
    </row>
    <row r="425">
      <c r="A425" s="4">
        <v>427.0</v>
      </c>
      <c r="C425" s="46"/>
      <c r="D425" s="11"/>
      <c r="E425" s="11"/>
      <c r="F425" s="11"/>
      <c r="G425" s="11"/>
      <c r="H425" s="11"/>
    </row>
    <row r="426">
      <c r="A426" s="4">
        <v>428.0</v>
      </c>
      <c r="C426" s="46"/>
      <c r="D426" s="11"/>
      <c r="E426" s="11"/>
      <c r="F426" s="11"/>
      <c r="G426" s="11"/>
      <c r="H426" s="11"/>
    </row>
    <row r="427">
      <c r="A427" s="4">
        <v>429.0</v>
      </c>
      <c r="C427" s="46"/>
      <c r="D427" s="11"/>
      <c r="E427" s="11"/>
      <c r="F427" s="11"/>
      <c r="G427" s="11"/>
      <c r="H427" s="11"/>
    </row>
    <row r="428">
      <c r="A428" s="4">
        <v>430.0</v>
      </c>
      <c r="C428" s="46"/>
      <c r="D428" s="11"/>
      <c r="E428" s="11"/>
      <c r="F428" s="11"/>
      <c r="G428" s="11"/>
      <c r="H428" s="11"/>
    </row>
    <row r="429">
      <c r="A429" s="4">
        <v>431.0</v>
      </c>
      <c r="C429" s="46"/>
      <c r="D429" s="11"/>
      <c r="E429" s="11"/>
      <c r="F429" s="11"/>
      <c r="G429" s="11"/>
      <c r="H429" s="11"/>
    </row>
    <row r="430">
      <c r="A430" s="4">
        <v>432.0</v>
      </c>
      <c r="C430" s="46"/>
      <c r="D430" s="11"/>
      <c r="E430" s="11"/>
      <c r="F430" s="11"/>
      <c r="G430" s="11"/>
      <c r="H430" s="11"/>
    </row>
    <row r="431">
      <c r="A431" s="4">
        <v>433.0</v>
      </c>
      <c r="C431" s="46"/>
      <c r="D431" s="11"/>
      <c r="E431" s="11"/>
      <c r="F431" s="11"/>
      <c r="G431" s="11"/>
      <c r="H431" s="11"/>
    </row>
    <row r="432">
      <c r="A432" s="4">
        <v>434.0</v>
      </c>
      <c r="C432" s="46"/>
      <c r="D432" s="11"/>
      <c r="E432" s="11"/>
      <c r="F432" s="11"/>
      <c r="G432" s="11"/>
      <c r="H432" s="11"/>
    </row>
    <row r="433">
      <c r="A433" s="4">
        <v>435.0</v>
      </c>
      <c r="C433" s="46"/>
      <c r="D433" s="11"/>
      <c r="E433" s="11"/>
      <c r="F433" s="11"/>
      <c r="G433" s="11"/>
      <c r="H433" s="11"/>
    </row>
    <row r="434">
      <c r="A434" s="4">
        <v>436.0</v>
      </c>
      <c r="C434" s="46"/>
      <c r="D434" s="11"/>
      <c r="E434" s="11"/>
      <c r="F434" s="11"/>
      <c r="G434" s="11"/>
      <c r="H434" s="11"/>
    </row>
    <row r="435">
      <c r="A435" s="4">
        <v>437.0</v>
      </c>
      <c r="C435" s="46"/>
      <c r="D435" s="11"/>
      <c r="E435" s="11"/>
      <c r="F435" s="11"/>
      <c r="G435" s="11"/>
      <c r="H435" s="11"/>
    </row>
    <row r="436">
      <c r="A436" s="4">
        <v>438.0</v>
      </c>
      <c r="C436" s="46"/>
      <c r="D436" s="11"/>
      <c r="E436" s="11"/>
      <c r="F436" s="11"/>
      <c r="G436" s="11"/>
      <c r="H436" s="11"/>
    </row>
    <row r="437">
      <c r="A437" s="4">
        <v>439.0</v>
      </c>
      <c r="C437" s="46"/>
      <c r="D437" s="11"/>
      <c r="E437" s="11"/>
      <c r="F437" s="11"/>
      <c r="G437" s="11"/>
      <c r="H437" s="11"/>
    </row>
    <row r="438">
      <c r="A438" s="4">
        <v>440.0</v>
      </c>
      <c r="C438" s="46"/>
      <c r="D438" s="11"/>
      <c r="E438" s="11"/>
      <c r="F438" s="11"/>
      <c r="G438" s="11"/>
      <c r="H438" s="11"/>
    </row>
    <row r="439">
      <c r="A439" s="4">
        <v>441.0</v>
      </c>
      <c r="C439" s="46"/>
      <c r="D439" s="11"/>
      <c r="E439" s="11"/>
      <c r="F439" s="11"/>
      <c r="G439" s="11"/>
      <c r="H439" s="11"/>
    </row>
    <row r="440">
      <c r="A440" s="4">
        <v>442.0</v>
      </c>
      <c r="C440" s="46"/>
      <c r="D440" s="11"/>
      <c r="E440" s="11"/>
      <c r="F440" s="11"/>
      <c r="G440" s="11"/>
      <c r="H440" s="11"/>
    </row>
    <row r="441">
      <c r="A441" s="4">
        <v>443.0</v>
      </c>
      <c r="C441" s="46"/>
      <c r="D441" s="11"/>
      <c r="E441" s="11"/>
      <c r="F441" s="11"/>
      <c r="G441" s="11"/>
      <c r="H441" s="11"/>
    </row>
    <row r="442">
      <c r="A442" s="4">
        <v>444.0</v>
      </c>
      <c r="C442" s="46"/>
      <c r="D442" s="11"/>
      <c r="E442" s="11"/>
      <c r="F442" s="11"/>
      <c r="G442" s="11"/>
      <c r="H442" s="11"/>
    </row>
    <row r="443">
      <c r="A443" s="4">
        <v>445.0</v>
      </c>
      <c r="C443" s="46"/>
      <c r="D443" s="11"/>
      <c r="E443" s="11"/>
      <c r="F443" s="11"/>
      <c r="G443" s="11"/>
      <c r="H443" s="11"/>
    </row>
    <row r="444">
      <c r="A444" s="4">
        <v>446.0</v>
      </c>
      <c r="C444" s="46"/>
      <c r="D444" s="11"/>
      <c r="E444" s="11"/>
      <c r="F444" s="11"/>
      <c r="G444" s="11"/>
      <c r="H444" s="11"/>
    </row>
    <row r="445">
      <c r="A445" s="4">
        <v>447.0</v>
      </c>
      <c r="C445" s="46"/>
      <c r="D445" s="11"/>
      <c r="E445" s="11"/>
      <c r="F445" s="11"/>
      <c r="G445" s="11"/>
      <c r="H445" s="11"/>
    </row>
    <row r="446">
      <c r="A446" s="4">
        <v>448.0</v>
      </c>
      <c r="C446" s="46"/>
      <c r="D446" s="11"/>
      <c r="E446" s="11"/>
      <c r="F446" s="11"/>
      <c r="G446" s="11"/>
      <c r="H446" s="11"/>
    </row>
    <row r="447">
      <c r="A447" s="4">
        <v>449.0</v>
      </c>
      <c r="C447" s="46"/>
      <c r="D447" s="11"/>
      <c r="E447" s="11"/>
      <c r="F447" s="11"/>
      <c r="G447" s="11"/>
      <c r="H447" s="11"/>
    </row>
    <row r="448">
      <c r="A448" s="4">
        <v>450.0</v>
      </c>
      <c r="C448" s="46"/>
      <c r="D448" s="11"/>
      <c r="E448" s="11"/>
      <c r="F448" s="11"/>
      <c r="G448" s="11"/>
      <c r="H448" s="11"/>
    </row>
    <row r="449">
      <c r="A449" s="4">
        <v>451.0</v>
      </c>
      <c r="C449" s="46"/>
      <c r="D449" s="11"/>
      <c r="E449" s="11"/>
      <c r="F449" s="11"/>
      <c r="G449" s="11"/>
      <c r="H449" s="11"/>
    </row>
    <row r="450">
      <c r="A450" s="4">
        <v>452.0</v>
      </c>
      <c r="C450" s="46"/>
      <c r="D450" s="11"/>
      <c r="E450" s="11"/>
      <c r="F450" s="11"/>
      <c r="G450" s="11"/>
      <c r="H450" s="11"/>
    </row>
    <row r="451">
      <c r="A451" s="4">
        <v>453.0</v>
      </c>
      <c r="C451" s="46"/>
      <c r="D451" s="11"/>
      <c r="E451" s="11"/>
      <c r="F451" s="11"/>
      <c r="G451" s="11"/>
      <c r="H451" s="11"/>
    </row>
    <row r="452">
      <c r="A452" s="4">
        <v>454.0</v>
      </c>
      <c r="C452" s="46"/>
      <c r="D452" s="11"/>
      <c r="E452" s="11"/>
      <c r="F452" s="11"/>
      <c r="G452" s="11"/>
      <c r="H452" s="11"/>
    </row>
    <row r="453">
      <c r="A453" s="4">
        <v>455.0</v>
      </c>
      <c r="C453" s="46"/>
      <c r="D453" s="11"/>
      <c r="E453" s="11"/>
      <c r="F453" s="11"/>
      <c r="G453" s="11"/>
      <c r="H453" s="11"/>
    </row>
    <row r="454">
      <c r="A454" s="4">
        <v>456.0</v>
      </c>
      <c r="C454" s="46"/>
      <c r="D454" s="11"/>
      <c r="E454" s="11"/>
      <c r="F454" s="11"/>
      <c r="G454" s="11"/>
      <c r="H454" s="11"/>
    </row>
    <row r="455">
      <c r="A455" s="4">
        <v>457.0</v>
      </c>
      <c r="C455" s="46"/>
      <c r="D455" s="11"/>
      <c r="E455" s="11"/>
      <c r="F455" s="11"/>
      <c r="G455" s="11"/>
      <c r="H455" s="11"/>
    </row>
    <row r="456">
      <c r="A456" s="4">
        <v>458.0</v>
      </c>
      <c r="C456" s="46"/>
      <c r="D456" s="11"/>
      <c r="E456" s="11"/>
      <c r="F456" s="11"/>
      <c r="G456" s="11"/>
      <c r="H456" s="11"/>
    </row>
    <row r="457">
      <c r="A457" s="4">
        <v>459.0</v>
      </c>
      <c r="C457" s="46"/>
      <c r="D457" s="11"/>
      <c r="E457" s="11"/>
      <c r="F457" s="11"/>
      <c r="G457" s="11"/>
      <c r="H457" s="11"/>
    </row>
    <row r="458">
      <c r="A458" s="4">
        <v>460.0</v>
      </c>
      <c r="C458" s="46"/>
      <c r="D458" s="11"/>
      <c r="E458" s="11"/>
      <c r="F458" s="11"/>
      <c r="G458" s="11"/>
      <c r="H458" s="11"/>
    </row>
    <row r="459">
      <c r="A459" s="4">
        <v>461.0</v>
      </c>
      <c r="C459" s="46"/>
      <c r="D459" s="11"/>
      <c r="E459" s="11"/>
      <c r="F459" s="11"/>
      <c r="G459" s="11"/>
      <c r="H459" s="11"/>
    </row>
    <row r="460">
      <c r="A460" s="4">
        <v>462.0</v>
      </c>
      <c r="C460" s="46"/>
      <c r="D460" s="11"/>
      <c r="E460" s="11"/>
      <c r="F460" s="11"/>
      <c r="G460" s="11"/>
      <c r="H460" s="11"/>
    </row>
    <row r="461">
      <c r="A461" s="4">
        <v>463.0</v>
      </c>
      <c r="C461" s="46"/>
      <c r="D461" s="11"/>
      <c r="E461" s="11"/>
      <c r="F461" s="11"/>
      <c r="G461" s="11"/>
      <c r="H461" s="11"/>
    </row>
    <row r="462">
      <c r="A462" s="4">
        <v>464.0</v>
      </c>
      <c r="C462" s="46"/>
      <c r="D462" s="11"/>
      <c r="E462" s="11"/>
      <c r="F462" s="11"/>
      <c r="G462" s="11"/>
      <c r="H462" s="11"/>
    </row>
    <row r="463">
      <c r="A463" s="4">
        <v>465.0</v>
      </c>
      <c r="C463" s="46"/>
      <c r="D463" s="11"/>
      <c r="E463" s="11"/>
      <c r="F463" s="11"/>
      <c r="G463" s="11"/>
      <c r="H463" s="11"/>
    </row>
    <row r="464">
      <c r="A464" s="4">
        <v>466.0</v>
      </c>
      <c r="C464" s="46"/>
      <c r="D464" s="11"/>
      <c r="E464" s="11"/>
      <c r="F464" s="11"/>
      <c r="G464" s="11"/>
      <c r="H464" s="11"/>
    </row>
    <row r="465">
      <c r="A465" s="4">
        <v>467.0</v>
      </c>
      <c r="C465" s="46"/>
      <c r="D465" s="11"/>
      <c r="E465" s="11"/>
      <c r="F465" s="11"/>
      <c r="G465" s="11"/>
      <c r="H465" s="11"/>
    </row>
    <row r="466">
      <c r="A466" s="4">
        <v>468.0</v>
      </c>
      <c r="C466" s="46"/>
      <c r="D466" s="11"/>
      <c r="E466" s="11"/>
      <c r="F466" s="11"/>
      <c r="G466" s="11"/>
      <c r="H466" s="11"/>
    </row>
    <row r="467">
      <c r="A467" s="4">
        <v>469.0</v>
      </c>
      <c r="C467" s="46"/>
      <c r="D467" s="11"/>
      <c r="E467" s="11"/>
      <c r="F467" s="11"/>
      <c r="G467" s="11"/>
      <c r="H467" s="11"/>
    </row>
    <row r="468">
      <c r="A468" s="4">
        <v>470.0</v>
      </c>
      <c r="C468" s="46"/>
      <c r="D468" s="11"/>
      <c r="E468" s="11"/>
      <c r="F468" s="11"/>
      <c r="G468" s="11"/>
      <c r="H468" s="11"/>
    </row>
    <row r="469">
      <c r="A469" s="4">
        <v>471.0</v>
      </c>
      <c r="C469" s="46"/>
      <c r="D469" s="11"/>
      <c r="E469" s="11"/>
      <c r="F469" s="11"/>
      <c r="G469" s="11"/>
      <c r="H469" s="11"/>
    </row>
    <row r="470">
      <c r="A470" s="4">
        <v>472.0</v>
      </c>
      <c r="C470" s="46"/>
      <c r="D470" s="11"/>
      <c r="E470" s="11"/>
      <c r="F470" s="11"/>
      <c r="G470" s="11"/>
      <c r="H470" s="11"/>
    </row>
    <row r="471">
      <c r="A471" s="4">
        <v>473.0</v>
      </c>
      <c r="C471" s="46"/>
      <c r="D471" s="11"/>
      <c r="E471" s="11"/>
      <c r="F471" s="11"/>
      <c r="G471" s="11"/>
      <c r="H471" s="11"/>
    </row>
    <row r="472">
      <c r="A472" s="4">
        <v>474.0</v>
      </c>
      <c r="C472" s="46"/>
      <c r="D472" s="11"/>
      <c r="E472" s="11"/>
      <c r="F472" s="11"/>
      <c r="G472" s="11"/>
      <c r="H472" s="11"/>
    </row>
    <row r="473">
      <c r="A473" s="4">
        <v>475.0</v>
      </c>
      <c r="C473" s="46"/>
      <c r="D473" s="11"/>
      <c r="E473" s="11"/>
      <c r="F473" s="11"/>
      <c r="G473" s="11"/>
      <c r="H473" s="11"/>
    </row>
    <row r="474">
      <c r="A474" s="4">
        <v>476.0</v>
      </c>
      <c r="C474" s="46"/>
      <c r="D474" s="11"/>
      <c r="E474" s="11"/>
      <c r="F474" s="11"/>
      <c r="G474" s="11"/>
      <c r="H474" s="11"/>
    </row>
    <row r="475">
      <c r="A475" s="4">
        <v>477.0</v>
      </c>
      <c r="C475" s="46"/>
      <c r="D475" s="11"/>
      <c r="E475" s="11"/>
      <c r="F475" s="11"/>
      <c r="G475" s="11"/>
      <c r="H475" s="11"/>
    </row>
    <row r="476">
      <c r="A476" s="4">
        <v>478.0</v>
      </c>
      <c r="C476" s="46"/>
      <c r="D476" s="11"/>
      <c r="E476" s="11"/>
      <c r="F476" s="11"/>
      <c r="G476" s="11"/>
      <c r="H476" s="11"/>
    </row>
    <row r="477">
      <c r="A477" s="4">
        <v>479.0</v>
      </c>
      <c r="C477" s="46"/>
      <c r="D477" s="11"/>
      <c r="E477" s="11"/>
      <c r="F477" s="11"/>
      <c r="G477" s="11"/>
      <c r="H477" s="11"/>
    </row>
    <row r="478">
      <c r="A478" s="4">
        <v>480.0</v>
      </c>
      <c r="C478" s="46"/>
      <c r="D478" s="11"/>
      <c r="E478" s="11"/>
      <c r="F478" s="11"/>
      <c r="G478" s="11"/>
      <c r="H478" s="11"/>
    </row>
    <row r="479">
      <c r="A479" s="4">
        <v>481.0</v>
      </c>
      <c r="C479" s="46"/>
      <c r="D479" s="11"/>
      <c r="E479" s="11"/>
      <c r="F479" s="11"/>
      <c r="G479" s="11"/>
      <c r="H479" s="11"/>
    </row>
    <row r="480">
      <c r="A480" s="4">
        <v>482.0</v>
      </c>
      <c r="C480" s="46"/>
      <c r="D480" s="11"/>
      <c r="E480" s="11"/>
      <c r="F480" s="11"/>
      <c r="G480" s="11"/>
      <c r="H480" s="11"/>
    </row>
    <row r="481">
      <c r="A481" s="4">
        <v>483.0</v>
      </c>
      <c r="C481" s="46"/>
      <c r="D481" s="11"/>
      <c r="E481" s="11"/>
      <c r="F481" s="11"/>
      <c r="G481" s="11"/>
      <c r="H481" s="11"/>
    </row>
    <row r="482">
      <c r="A482" s="4">
        <v>484.0</v>
      </c>
      <c r="C482" s="46"/>
      <c r="D482" s="11"/>
      <c r="E482" s="11"/>
      <c r="F482" s="11"/>
      <c r="G482" s="11"/>
      <c r="H482" s="11"/>
    </row>
    <row r="483">
      <c r="A483" s="4">
        <v>485.0</v>
      </c>
      <c r="C483" s="46"/>
      <c r="D483" s="11"/>
      <c r="E483" s="11"/>
      <c r="F483" s="11"/>
      <c r="G483" s="11"/>
      <c r="H483" s="11"/>
    </row>
    <row r="484">
      <c r="A484" s="4">
        <v>486.0</v>
      </c>
      <c r="C484" s="46"/>
      <c r="D484" s="11"/>
      <c r="E484" s="11"/>
      <c r="F484" s="11"/>
      <c r="G484" s="11"/>
      <c r="H484" s="11"/>
    </row>
    <row r="485">
      <c r="A485" s="4">
        <v>487.0</v>
      </c>
      <c r="C485" s="46"/>
      <c r="D485" s="11"/>
      <c r="E485" s="11"/>
      <c r="F485" s="11"/>
      <c r="G485" s="11"/>
      <c r="H485" s="11"/>
    </row>
    <row r="486">
      <c r="A486" s="4">
        <v>488.0</v>
      </c>
      <c r="C486" s="46"/>
      <c r="D486" s="11"/>
      <c r="E486" s="11"/>
      <c r="F486" s="11"/>
      <c r="G486" s="11"/>
      <c r="H486" s="11"/>
    </row>
    <row r="487">
      <c r="A487" s="4">
        <v>489.0</v>
      </c>
      <c r="C487" s="46"/>
      <c r="D487" s="11"/>
      <c r="E487" s="11"/>
      <c r="F487" s="11"/>
      <c r="G487" s="11"/>
      <c r="H487" s="11"/>
    </row>
    <row r="488">
      <c r="A488" s="4">
        <v>490.0</v>
      </c>
      <c r="C488" s="46"/>
      <c r="D488" s="11"/>
      <c r="E488" s="11"/>
      <c r="F488" s="11"/>
      <c r="G488" s="11"/>
      <c r="H488" s="11"/>
    </row>
    <row r="489">
      <c r="A489" s="4">
        <v>491.0</v>
      </c>
      <c r="C489" s="46"/>
      <c r="D489" s="11"/>
      <c r="E489" s="11"/>
      <c r="F489" s="11"/>
      <c r="G489" s="11"/>
      <c r="H489" s="11"/>
    </row>
    <row r="490">
      <c r="A490" s="4">
        <v>492.0</v>
      </c>
      <c r="C490" s="46"/>
      <c r="D490" s="11"/>
      <c r="E490" s="11"/>
      <c r="F490" s="11"/>
      <c r="G490" s="11"/>
      <c r="H490" s="11"/>
    </row>
    <row r="491">
      <c r="A491" s="4">
        <v>493.0</v>
      </c>
      <c r="C491" s="46"/>
      <c r="D491" s="11"/>
      <c r="E491" s="11"/>
      <c r="F491" s="11"/>
      <c r="G491" s="11"/>
      <c r="H491" s="11"/>
    </row>
    <row r="492">
      <c r="A492" s="4">
        <v>494.0</v>
      </c>
      <c r="C492" s="46"/>
      <c r="D492" s="11"/>
      <c r="E492" s="11"/>
      <c r="F492" s="11"/>
      <c r="G492" s="11"/>
      <c r="H492" s="11"/>
    </row>
    <row r="493">
      <c r="A493" s="4">
        <v>495.0</v>
      </c>
      <c r="C493" s="46"/>
      <c r="D493" s="11"/>
      <c r="E493" s="11"/>
      <c r="F493" s="11"/>
      <c r="G493" s="11"/>
      <c r="H493" s="11"/>
    </row>
    <row r="494">
      <c r="A494" s="4">
        <v>496.0</v>
      </c>
      <c r="C494" s="46"/>
      <c r="D494" s="11"/>
      <c r="E494" s="11"/>
      <c r="F494" s="11"/>
      <c r="G494" s="11"/>
      <c r="H494" s="11"/>
    </row>
    <row r="495">
      <c r="A495" s="4">
        <v>497.0</v>
      </c>
      <c r="C495" s="46"/>
      <c r="D495" s="11"/>
      <c r="E495" s="11"/>
      <c r="F495" s="11"/>
      <c r="G495" s="11"/>
      <c r="H495" s="11"/>
    </row>
    <row r="496">
      <c r="A496" s="4">
        <v>498.0</v>
      </c>
      <c r="C496" s="46"/>
      <c r="D496" s="11"/>
      <c r="E496" s="11"/>
      <c r="F496" s="11"/>
      <c r="G496" s="11"/>
      <c r="H496" s="11"/>
    </row>
    <row r="497">
      <c r="A497" s="4">
        <v>499.0</v>
      </c>
      <c r="C497" s="46"/>
      <c r="D497" s="11"/>
      <c r="E497" s="11"/>
      <c r="F497" s="11"/>
      <c r="G497" s="11"/>
      <c r="H497" s="11"/>
    </row>
    <row r="498">
      <c r="A498" s="4">
        <v>500.0</v>
      </c>
      <c r="C498" s="46"/>
      <c r="D498" s="11"/>
      <c r="E498" s="11"/>
      <c r="F498" s="11"/>
      <c r="G498" s="11"/>
      <c r="H498" s="11"/>
    </row>
    <row r="499">
      <c r="A499" s="4">
        <v>501.0</v>
      </c>
      <c r="C499" s="46"/>
      <c r="D499" s="11"/>
      <c r="E499" s="11"/>
      <c r="F499" s="11"/>
      <c r="G499" s="11"/>
      <c r="H499" s="11"/>
    </row>
    <row r="500">
      <c r="A500" s="4">
        <v>502.0</v>
      </c>
      <c r="C500" s="46"/>
      <c r="D500" s="11"/>
      <c r="E500" s="11"/>
      <c r="F500" s="11"/>
      <c r="G500" s="11"/>
      <c r="H500" s="11"/>
    </row>
    <row r="501">
      <c r="A501" s="4">
        <v>503.0</v>
      </c>
      <c r="C501" s="46"/>
      <c r="D501" s="11"/>
      <c r="E501" s="11"/>
      <c r="F501" s="11"/>
      <c r="G501" s="11"/>
      <c r="H501" s="11"/>
    </row>
    <row r="502">
      <c r="A502" s="4">
        <v>504.0</v>
      </c>
      <c r="C502" s="46"/>
      <c r="D502" s="11"/>
      <c r="E502" s="11"/>
      <c r="F502" s="11"/>
      <c r="G502" s="11"/>
      <c r="H502" s="11"/>
    </row>
    <row r="503">
      <c r="A503" s="4">
        <v>505.0</v>
      </c>
      <c r="C503" s="46"/>
      <c r="D503" s="11"/>
      <c r="E503" s="11"/>
      <c r="F503" s="11"/>
      <c r="G503" s="11"/>
      <c r="H503" s="11"/>
    </row>
    <row r="504">
      <c r="A504" s="4">
        <v>506.0</v>
      </c>
      <c r="C504" s="46"/>
      <c r="D504" s="11"/>
      <c r="E504" s="11"/>
      <c r="F504" s="11"/>
      <c r="G504" s="11"/>
      <c r="H504" s="11"/>
    </row>
    <row r="505">
      <c r="A505" s="4">
        <v>507.0</v>
      </c>
      <c r="C505" s="46"/>
      <c r="D505" s="11"/>
      <c r="E505" s="11"/>
      <c r="F505" s="11"/>
      <c r="G505" s="11"/>
      <c r="H505" s="11"/>
    </row>
    <row r="506">
      <c r="A506" s="4">
        <v>508.0</v>
      </c>
      <c r="C506" s="46"/>
      <c r="D506" s="11"/>
      <c r="E506" s="11"/>
      <c r="F506" s="11"/>
      <c r="G506" s="11"/>
      <c r="H506" s="11"/>
    </row>
    <row r="507">
      <c r="A507" s="4">
        <v>509.0</v>
      </c>
      <c r="C507" s="46"/>
      <c r="D507" s="11"/>
      <c r="E507" s="11"/>
      <c r="F507" s="11"/>
      <c r="G507" s="11"/>
      <c r="H507" s="11"/>
    </row>
    <row r="508">
      <c r="A508" s="4">
        <v>510.0</v>
      </c>
      <c r="C508" s="46"/>
      <c r="D508" s="11"/>
      <c r="E508" s="11"/>
      <c r="F508" s="11"/>
      <c r="G508" s="11"/>
      <c r="H508" s="11"/>
    </row>
    <row r="509">
      <c r="A509" s="4">
        <v>511.0</v>
      </c>
      <c r="C509" s="46"/>
      <c r="D509" s="11"/>
      <c r="E509" s="11"/>
      <c r="F509" s="11"/>
      <c r="G509" s="11"/>
      <c r="H509" s="11"/>
    </row>
    <row r="510">
      <c r="A510" s="4">
        <v>512.0</v>
      </c>
      <c r="C510" s="46"/>
      <c r="D510" s="11"/>
      <c r="E510" s="11"/>
      <c r="F510" s="11"/>
      <c r="G510" s="11"/>
      <c r="H510" s="11"/>
    </row>
    <row r="511">
      <c r="A511" s="4">
        <v>513.0</v>
      </c>
      <c r="C511" s="46"/>
      <c r="D511" s="11"/>
      <c r="E511" s="11"/>
      <c r="F511" s="11"/>
      <c r="G511" s="11"/>
      <c r="H511" s="11"/>
    </row>
    <row r="512">
      <c r="A512" s="4">
        <v>514.0</v>
      </c>
      <c r="C512" s="46"/>
      <c r="D512" s="11"/>
      <c r="E512" s="11"/>
      <c r="F512" s="11"/>
      <c r="G512" s="11"/>
      <c r="H512" s="11"/>
    </row>
    <row r="513">
      <c r="A513" s="4">
        <v>515.0</v>
      </c>
      <c r="C513" s="46"/>
      <c r="D513" s="11"/>
      <c r="E513" s="11"/>
      <c r="F513" s="11"/>
      <c r="G513" s="11"/>
      <c r="H513" s="11"/>
    </row>
    <row r="514">
      <c r="A514" s="4">
        <v>516.0</v>
      </c>
      <c r="C514" s="46"/>
      <c r="D514" s="11"/>
      <c r="E514" s="11"/>
      <c r="F514" s="11"/>
      <c r="G514" s="11"/>
      <c r="H514" s="11"/>
    </row>
    <row r="515">
      <c r="A515" s="4">
        <v>517.0</v>
      </c>
      <c r="C515" s="46"/>
      <c r="D515" s="11"/>
      <c r="E515" s="11"/>
      <c r="F515" s="11"/>
      <c r="G515" s="11"/>
      <c r="H515" s="11"/>
    </row>
    <row r="516">
      <c r="A516" s="4">
        <v>518.0</v>
      </c>
      <c r="C516" s="46"/>
      <c r="D516" s="11"/>
      <c r="E516" s="11"/>
      <c r="F516" s="11"/>
      <c r="G516" s="11"/>
      <c r="H516" s="11"/>
    </row>
    <row r="517">
      <c r="A517" s="4">
        <v>519.0</v>
      </c>
      <c r="C517" s="46"/>
      <c r="D517" s="11"/>
      <c r="E517" s="11"/>
      <c r="F517" s="11"/>
      <c r="G517" s="11"/>
      <c r="H517" s="11"/>
    </row>
    <row r="518">
      <c r="A518" s="4">
        <v>520.0</v>
      </c>
      <c r="C518" s="46"/>
      <c r="D518" s="11"/>
      <c r="E518" s="11"/>
      <c r="F518" s="11"/>
      <c r="G518" s="11"/>
      <c r="H518" s="11"/>
    </row>
    <row r="519">
      <c r="A519" s="4">
        <v>521.0</v>
      </c>
      <c r="C519" s="46"/>
      <c r="D519" s="11"/>
      <c r="E519" s="11"/>
      <c r="F519" s="11"/>
      <c r="G519" s="11"/>
      <c r="H519" s="11"/>
    </row>
    <row r="520">
      <c r="A520" s="4">
        <v>522.0</v>
      </c>
      <c r="C520" s="46"/>
      <c r="D520" s="11"/>
      <c r="E520" s="11"/>
      <c r="F520" s="11"/>
      <c r="G520" s="11"/>
      <c r="H520" s="11"/>
    </row>
    <row r="521">
      <c r="A521" s="4">
        <v>523.0</v>
      </c>
      <c r="C521" s="46"/>
      <c r="D521" s="11"/>
      <c r="E521" s="11"/>
      <c r="F521" s="11"/>
      <c r="G521" s="11"/>
      <c r="H521" s="11"/>
    </row>
    <row r="522">
      <c r="A522" s="4">
        <v>524.0</v>
      </c>
      <c r="C522" s="46"/>
      <c r="D522" s="11"/>
      <c r="E522" s="11"/>
      <c r="F522" s="11"/>
      <c r="G522" s="11"/>
      <c r="H522" s="11"/>
    </row>
    <row r="523">
      <c r="A523" s="4">
        <v>525.0</v>
      </c>
      <c r="C523" s="46"/>
      <c r="D523" s="11"/>
      <c r="E523" s="11"/>
      <c r="F523" s="11"/>
      <c r="G523" s="11"/>
      <c r="H523" s="11"/>
    </row>
    <row r="524">
      <c r="A524" s="4">
        <v>526.0</v>
      </c>
      <c r="C524" s="46"/>
      <c r="D524" s="11"/>
      <c r="E524" s="11"/>
      <c r="F524" s="11"/>
      <c r="G524" s="11"/>
      <c r="H524" s="11"/>
    </row>
    <row r="525">
      <c r="A525" s="4">
        <v>527.0</v>
      </c>
      <c r="C525" s="46"/>
      <c r="D525" s="11"/>
      <c r="E525" s="11"/>
      <c r="F525" s="11"/>
      <c r="G525" s="11"/>
      <c r="H525" s="11"/>
    </row>
    <row r="526">
      <c r="A526" s="4">
        <v>528.0</v>
      </c>
      <c r="C526" s="46"/>
      <c r="D526" s="11"/>
      <c r="E526" s="11"/>
      <c r="F526" s="11"/>
      <c r="G526" s="11"/>
      <c r="H526" s="11"/>
    </row>
    <row r="527">
      <c r="A527" s="4">
        <v>529.0</v>
      </c>
      <c r="C527" s="46"/>
      <c r="D527" s="11"/>
      <c r="E527" s="11"/>
      <c r="F527" s="11"/>
      <c r="G527" s="11"/>
      <c r="H527" s="11"/>
    </row>
    <row r="528">
      <c r="A528" s="4">
        <v>530.0</v>
      </c>
      <c r="C528" s="46"/>
      <c r="D528" s="11"/>
      <c r="E528" s="11"/>
      <c r="F528" s="11"/>
      <c r="G528" s="11"/>
      <c r="H528" s="11"/>
    </row>
    <row r="529">
      <c r="A529" s="4">
        <v>531.0</v>
      </c>
      <c r="C529" s="46"/>
      <c r="D529" s="11"/>
      <c r="E529" s="11"/>
      <c r="F529" s="11"/>
      <c r="G529" s="11"/>
      <c r="H529" s="11"/>
    </row>
    <row r="530">
      <c r="A530" s="4">
        <v>532.0</v>
      </c>
      <c r="C530" s="46"/>
      <c r="D530" s="11"/>
      <c r="E530" s="11"/>
      <c r="F530" s="11"/>
      <c r="G530" s="11"/>
      <c r="H530" s="11"/>
    </row>
    <row r="531">
      <c r="A531" s="4">
        <v>533.0</v>
      </c>
      <c r="C531" s="46"/>
      <c r="D531" s="11"/>
      <c r="E531" s="11"/>
      <c r="F531" s="11"/>
      <c r="G531" s="11"/>
      <c r="H531" s="11"/>
    </row>
    <row r="532">
      <c r="A532" s="4">
        <v>534.0</v>
      </c>
      <c r="C532" s="46"/>
      <c r="D532" s="11"/>
      <c r="E532" s="11"/>
      <c r="F532" s="11"/>
      <c r="G532" s="11"/>
      <c r="H532" s="11"/>
    </row>
    <row r="533">
      <c r="A533" s="4">
        <v>535.0</v>
      </c>
      <c r="C533" s="46"/>
      <c r="D533" s="11"/>
      <c r="E533" s="11"/>
      <c r="F533" s="11"/>
      <c r="G533" s="11"/>
      <c r="H533" s="11"/>
    </row>
    <row r="534">
      <c r="A534" s="4">
        <v>536.0</v>
      </c>
      <c r="C534" s="46"/>
      <c r="D534" s="11"/>
      <c r="E534" s="11"/>
      <c r="F534" s="11"/>
      <c r="G534" s="11"/>
      <c r="H534" s="11"/>
    </row>
    <row r="535">
      <c r="A535" s="4">
        <v>537.0</v>
      </c>
      <c r="C535" s="46"/>
      <c r="D535" s="11"/>
      <c r="E535" s="11"/>
      <c r="F535" s="11"/>
      <c r="G535" s="11"/>
      <c r="H535" s="11"/>
    </row>
    <row r="536">
      <c r="A536" s="4">
        <v>538.0</v>
      </c>
      <c r="C536" s="46"/>
      <c r="D536" s="11"/>
      <c r="E536" s="11"/>
      <c r="F536" s="11"/>
      <c r="G536" s="11"/>
      <c r="H536" s="11"/>
    </row>
    <row r="537">
      <c r="A537" s="4">
        <v>539.0</v>
      </c>
      <c r="C537" s="46"/>
      <c r="D537" s="11"/>
      <c r="E537" s="11"/>
      <c r="F537" s="11"/>
      <c r="G537" s="11"/>
      <c r="H537" s="11"/>
    </row>
    <row r="538">
      <c r="A538" s="4">
        <v>540.0</v>
      </c>
      <c r="C538" s="46"/>
      <c r="D538" s="11"/>
      <c r="E538" s="11"/>
      <c r="F538" s="11"/>
      <c r="G538" s="11"/>
      <c r="H538" s="11"/>
    </row>
    <row r="539">
      <c r="A539" s="4">
        <v>541.0</v>
      </c>
      <c r="C539" s="46"/>
      <c r="D539" s="11"/>
      <c r="E539" s="11"/>
      <c r="F539" s="11"/>
      <c r="G539" s="11"/>
      <c r="H539" s="11"/>
    </row>
    <row r="540">
      <c r="A540" s="4">
        <v>542.0</v>
      </c>
      <c r="C540" s="46"/>
      <c r="D540" s="11"/>
      <c r="E540" s="11"/>
      <c r="F540" s="11"/>
      <c r="G540" s="11"/>
      <c r="H540" s="11"/>
    </row>
    <row r="541">
      <c r="A541" s="4">
        <v>543.0</v>
      </c>
      <c r="C541" s="46"/>
      <c r="D541" s="11"/>
      <c r="E541" s="11"/>
      <c r="F541" s="11"/>
      <c r="G541" s="11"/>
      <c r="H541" s="11"/>
    </row>
    <row r="542">
      <c r="A542" s="4">
        <v>544.0</v>
      </c>
      <c r="C542" s="46"/>
      <c r="D542" s="11"/>
      <c r="E542" s="11"/>
      <c r="F542" s="11"/>
      <c r="G542" s="11"/>
      <c r="H542" s="11"/>
    </row>
    <row r="543">
      <c r="A543" s="4">
        <v>545.0</v>
      </c>
      <c r="C543" s="46"/>
      <c r="D543" s="11"/>
      <c r="E543" s="11"/>
      <c r="F543" s="11"/>
      <c r="G543" s="11"/>
      <c r="H543" s="11"/>
    </row>
    <row r="544">
      <c r="A544" s="4">
        <v>546.0</v>
      </c>
      <c r="C544" s="46"/>
      <c r="D544" s="11"/>
      <c r="E544" s="11"/>
      <c r="F544" s="11"/>
      <c r="G544" s="11"/>
      <c r="H544" s="11"/>
    </row>
    <row r="545">
      <c r="A545" s="4">
        <v>547.0</v>
      </c>
      <c r="C545" s="46"/>
      <c r="D545" s="11"/>
      <c r="E545" s="11"/>
      <c r="F545" s="11"/>
      <c r="G545" s="11"/>
      <c r="H545" s="11"/>
    </row>
    <row r="546">
      <c r="A546" s="4">
        <v>548.0</v>
      </c>
      <c r="C546" s="46"/>
      <c r="D546" s="11"/>
      <c r="E546" s="11"/>
      <c r="F546" s="11"/>
      <c r="G546" s="11"/>
      <c r="H546" s="11"/>
    </row>
    <row r="547">
      <c r="A547" s="4">
        <v>549.0</v>
      </c>
      <c r="C547" s="46"/>
      <c r="D547" s="11"/>
      <c r="E547" s="11"/>
      <c r="F547" s="11"/>
      <c r="G547" s="11"/>
      <c r="H547" s="11"/>
    </row>
    <row r="548">
      <c r="A548" s="4">
        <v>550.0</v>
      </c>
      <c r="C548" s="46"/>
      <c r="D548" s="11"/>
      <c r="E548" s="11"/>
      <c r="F548" s="11"/>
      <c r="G548" s="11"/>
      <c r="H548" s="11"/>
    </row>
    <row r="549">
      <c r="A549" s="4">
        <v>551.0</v>
      </c>
      <c r="C549" s="46"/>
      <c r="D549" s="11"/>
      <c r="E549" s="11"/>
      <c r="F549" s="11"/>
      <c r="G549" s="11"/>
      <c r="H549" s="11"/>
    </row>
    <row r="550">
      <c r="A550" s="4">
        <v>552.0</v>
      </c>
      <c r="C550" s="46"/>
      <c r="D550" s="11"/>
      <c r="E550" s="11"/>
      <c r="F550" s="11"/>
      <c r="G550" s="11"/>
      <c r="H550" s="11"/>
    </row>
    <row r="551">
      <c r="A551" s="4">
        <v>553.0</v>
      </c>
      <c r="C551" s="46"/>
      <c r="D551" s="11"/>
      <c r="E551" s="11"/>
      <c r="F551" s="11"/>
      <c r="G551" s="11"/>
      <c r="H551" s="11"/>
    </row>
    <row r="552">
      <c r="A552" s="4">
        <v>554.0</v>
      </c>
      <c r="C552" s="46"/>
      <c r="D552" s="11"/>
      <c r="E552" s="11"/>
      <c r="F552" s="11"/>
      <c r="G552" s="11"/>
      <c r="H552" s="11"/>
    </row>
    <row r="553">
      <c r="A553" s="4">
        <v>555.0</v>
      </c>
      <c r="C553" s="46"/>
      <c r="D553" s="11"/>
      <c r="E553" s="11"/>
      <c r="F553" s="11"/>
      <c r="G553" s="11"/>
      <c r="H553" s="11"/>
    </row>
    <row r="554">
      <c r="A554" s="4">
        <v>556.0</v>
      </c>
      <c r="C554" s="46"/>
      <c r="D554" s="11"/>
      <c r="E554" s="11"/>
      <c r="F554" s="11"/>
      <c r="G554" s="11"/>
      <c r="H554" s="11"/>
    </row>
    <row r="555">
      <c r="A555" s="4">
        <v>557.0</v>
      </c>
      <c r="C555" s="46"/>
      <c r="D555" s="11"/>
      <c r="E555" s="11"/>
      <c r="F555" s="11"/>
      <c r="G555" s="11"/>
      <c r="H555" s="11"/>
    </row>
    <row r="556">
      <c r="A556" s="4">
        <v>558.0</v>
      </c>
      <c r="C556" s="46"/>
      <c r="D556" s="11"/>
      <c r="E556" s="11"/>
      <c r="F556" s="11"/>
      <c r="G556" s="11"/>
      <c r="H556" s="11"/>
    </row>
    <row r="557">
      <c r="A557" s="4">
        <v>559.0</v>
      </c>
      <c r="C557" s="46"/>
      <c r="D557" s="11"/>
      <c r="E557" s="11"/>
      <c r="F557" s="11"/>
      <c r="G557" s="11"/>
      <c r="H557" s="11"/>
    </row>
    <row r="558">
      <c r="A558" s="4">
        <v>560.0</v>
      </c>
      <c r="C558" s="46"/>
      <c r="D558" s="11"/>
      <c r="E558" s="11"/>
      <c r="F558" s="11"/>
      <c r="G558" s="11"/>
      <c r="H558" s="11"/>
    </row>
    <row r="559">
      <c r="A559" s="4">
        <v>561.0</v>
      </c>
      <c r="C559" s="46"/>
      <c r="D559" s="11"/>
      <c r="E559" s="11"/>
      <c r="F559" s="11"/>
      <c r="G559" s="11"/>
      <c r="H559" s="11"/>
    </row>
    <row r="560">
      <c r="A560" s="4">
        <v>562.0</v>
      </c>
      <c r="C560" s="46"/>
      <c r="D560" s="11"/>
      <c r="E560" s="11"/>
      <c r="F560" s="11"/>
      <c r="G560" s="11"/>
      <c r="H560" s="11"/>
    </row>
    <row r="561">
      <c r="A561" s="4">
        <v>563.0</v>
      </c>
      <c r="C561" s="46"/>
      <c r="D561" s="11"/>
      <c r="E561" s="11"/>
      <c r="F561" s="11"/>
      <c r="G561" s="11"/>
      <c r="H561" s="11"/>
    </row>
    <row r="562">
      <c r="A562" s="4">
        <v>564.0</v>
      </c>
      <c r="C562" s="46"/>
      <c r="D562" s="11"/>
      <c r="E562" s="11"/>
      <c r="F562" s="11"/>
      <c r="G562" s="11"/>
      <c r="H562" s="11"/>
    </row>
    <row r="563">
      <c r="A563" s="4">
        <v>565.0</v>
      </c>
      <c r="C563" s="46"/>
      <c r="D563" s="11"/>
      <c r="E563" s="11"/>
      <c r="F563" s="11"/>
      <c r="G563" s="11"/>
      <c r="H563" s="11"/>
    </row>
    <row r="564">
      <c r="A564" s="4">
        <v>566.0</v>
      </c>
      <c r="C564" s="46"/>
      <c r="D564" s="11"/>
      <c r="E564" s="11"/>
      <c r="F564" s="11"/>
      <c r="G564" s="11"/>
      <c r="H564" s="11"/>
    </row>
    <row r="565">
      <c r="A565" s="4">
        <v>567.0</v>
      </c>
      <c r="C565" s="46"/>
      <c r="D565" s="11"/>
      <c r="E565" s="11"/>
      <c r="F565" s="11"/>
      <c r="G565" s="11"/>
      <c r="H565" s="11"/>
    </row>
    <row r="566">
      <c r="A566" s="4">
        <v>568.0</v>
      </c>
      <c r="C566" s="46"/>
      <c r="D566" s="11"/>
      <c r="E566" s="11"/>
      <c r="F566" s="11"/>
      <c r="G566" s="11"/>
      <c r="H566" s="11"/>
    </row>
    <row r="567">
      <c r="A567" s="4">
        <v>569.0</v>
      </c>
      <c r="C567" s="46"/>
      <c r="D567" s="11"/>
      <c r="E567" s="11"/>
      <c r="F567" s="11"/>
      <c r="G567" s="11"/>
      <c r="H567" s="11"/>
    </row>
    <row r="568">
      <c r="A568" s="4">
        <v>570.0</v>
      </c>
      <c r="C568" s="46"/>
      <c r="D568" s="11"/>
      <c r="E568" s="11"/>
      <c r="F568" s="11"/>
      <c r="G568" s="11"/>
      <c r="H568" s="11"/>
    </row>
    <row r="569">
      <c r="A569" s="4">
        <v>571.0</v>
      </c>
      <c r="C569" s="46"/>
      <c r="D569" s="11"/>
      <c r="E569" s="11"/>
      <c r="F569" s="11"/>
      <c r="G569" s="11"/>
      <c r="H569" s="11"/>
    </row>
    <row r="570">
      <c r="A570" s="4">
        <v>572.0</v>
      </c>
      <c r="C570" s="46"/>
      <c r="D570" s="11"/>
      <c r="E570" s="11"/>
      <c r="F570" s="11"/>
      <c r="G570" s="11"/>
      <c r="H570" s="11"/>
    </row>
    <row r="571">
      <c r="A571" s="4">
        <v>573.0</v>
      </c>
      <c r="C571" s="46"/>
      <c r="D571" s="11"/>
      <c r="E571" s="11"/>
      <c r="F571" s="11"/>
      <c r="G571" s="11"/>
      <c r="H571" s="11"/>
    </row>
    <row r="572">
      <c r="A572" s="4">
        <v>574.0</v>
      </c>
      <c r="C572" s="46"/>
      <c r="D572" s="11"/>
      <c r="E572" s="11"/>
      <c r="F572" s="11"/>
      <c r="G572" s="11"/>
      <c r="H572" s="11"/>
    </row>
    <row r="573">
      <c r="A573" s="4">
        <v>575.0</v>
      </c>
      <c r="C573" s="46"/>
      <c r="D573" s="11"/>
      <c r="E573" s="11"/>
      <c r="F573" s="11"/>
      <c r="G573" s="11"/>
      <c r="H573" s="11"/>
    </row>
    <row r="574">
      <c r="A574" s="4">
        <v>576.0</v>
      </c>
      <c r="C574" s="46"/>
      <c r="D574" s="11"/>
      <c r="E574" s="11"/>
      <c r="F574" s="11"/>
      <c r="G574" s="11"/>
      <c r="H574" s="11"/>
    </row>
    <row r="575">
      <c r="A575" s="4">
        <v>577.0</v>
      </c>
      <c r="C575" s="46"/>
      <c r="D575" s="11"/>
      <c r="E575" s="11"/>
      <c r="F575" s="11"/>
      <c r="G575" s="11"/>
      <c r="H575" s="11"/>
    </row>
    <row r="576">
      <c r="A576" s="4">
        <v>578.0</v>
      </c>
      <c r="C576" s="46"/>
      <c r="D576" s="11"/>
      <c r="E576" s="11"/>
      <c r="F576" s="11"/>
      <c r="G576" s="11"/>
      <c r="H576" s="11"/>
    </row>
    <row r="577">
      <c r="A577" s="4">
        <v>579.0</v>
      </c>
      <c r="C577" s="46"/>
      <c r="D577" s="11"/>
      <c r="E577" s="11"/>
      <c r="F577" s="11"/>
      <c r="G577" s="11"/>
      <c r="H577" s="11"/>
    </row>
    <row r="578">
      <c r="A578" s="4">
        <v>580.0</v>
      </c>
      <c r="C578" s="46"/>
      <c r="D578" s="11"/>
      <c r="E578" s="11"/>
      <c r="F578" s="11"/>
      <c r="G578" s="11"/>
      <c r="H578" s="11"/>
    </row>
    <row r="579">
      <c r="A579" s="4">
        <v>581.0</v>
      </c>
      <c r="C579" s="46"/>
      <c r="D579" s="11"/>
      <c r="E579" s="11"/>
      <c r="F579" s="11"/>
      <c r="G579" s="11"/>
      <c r="H579" s="11"/>
    </row>
    <row r="580">
      <c r="A580" s="4">
        <v>582.0</v>
      </c>
      <c r="C580" s="46"/>
      <c r="D580" s="11"/>
      <c r="E580" s="11"/>
      <c r="F580" s="11"/>
      <c r="G580" s="11"/>
      <c r="H580" s="11"/>
    </row>
    <row r="581">
      <c r="A581" s="4">
        <v>583.0</v>
      </c>
      <c r="C581" s="46"/>
      <c r="D581" s="11"/>
      <c r="E581" s="11"/>
      <c r="F581" s="11"/>
      <c r="G581" s="11"/>
      <c r="H581" s="11"/>
    </row>
    <row r="582">
      <c r="A582" s="4">
        <v>584.0</v>
      </c>
      <c r="C582" s="46"/>
      <c r="D582" s="11"/>
      <c r="E582" s="11"/>
      <c r="F582" s="11"/>
      <c r="G582" s="11"/>
      <c r="H582" s="11"/>
    </row>
    <row r="583">
      <c r="A583" s="4">
        <v>585.0</v>
      </c>
      <c r="C583" s="46"/>
      <c r="D583" s="11"/>
      <c r="E583" s="11"/>
      <c r="F583" s="11"/>
      <c r="G583" s="11"/>
      <c r="H583" s="11"/>
    </row>
    <row r="584">
      <c r="A584" s="4">
        <v>586.0</v>
      </c>
      <c r="C584" s="46"/>
      <c r="D584" s="11"/>
      <c r="E584" s="11"/>
      <c r="F584" s="11"/>
      <c r="G584" s="11"/>
      <c r="H584" s="11"/>
    </row>
    <row r="585">
      <c r="A585" s="4">
        <v>587.0</v>
      </c>
      <c r="C585" s="46"/>
      <c r="D585" s="11"/>
      <c r="E585" s="11"/>
      <c r="F585" s="11"/>
      <c r="G585" s="11"/>
      <c r="H585" s="11"/>
    </row>
    <row r="586">
      <c r="A586" s="4">
        <v>588.0</v>
      </c>
      <c r="C586" s="46"/>
      <c r="D586" s="11"/>
      <c r="E586" s="11"/>
      <c r="F586" s="11"/>
      <c r="G586" s="11"/>
      <c r="H586" s="11"/>
    </row>
    <row r="587">
      <c r="A587" s="4">
        <v>589.0</v>
      </c>
      <c r="C587" s="46"/>
      <c r="D587" s="11"/>
      <c r="E587" s="11"/>
      <c r="F587" s="11"/>
      <c r="G587" s="11"/>
      <c r="H587" s="11"/>
    </row>
    <row r="588">
      <c r="A588" s="4">
        <v>590.0</v>
      </c>
      <c r="C588" s="46"/>
      <c r="D588" s="11"/>
      <c r="E588" s="11"/>
      <c r="F588" s="11"/>
      <c r="G588" s="11"/>
      <c r="H588" s="11"/>
    </row>
    <row r="589">
      <c r="A589" s="4">
        <v>591.0</v>
      </c>
      <c r="C589" s="46"/>
      <c r="D589" s="11"/>
      <c r="E589" s="11"/>
      <c r="F589" s="11"/>
      <c r="G589" s="11"/>
      <c r="H589" s="11"/>
    </row>
    <row r="590">
      <c r="A590" s="4">
        <v>592.0</v>
      </c>
      <c r="C590" s="46"/>
      <c r="D590" s="11"/>
      <c r="E590" s="11"/>
      <c r="F590" s="11"/>
      <c r="G590" s="11"/>
      <c r="H590" s="11"/>
    </row>
    <row r="591">
      <c r="A591" s="4">
        <v>593.0</v>
      </c>
      <c r="C591" s="46"/>
      <c r="D591" s="11"/>
      <c r="E591" s="11"/>
      <c r="F591" s="11"/>
      <c r="G591" s="11"/>
      <c r="H591" s="11"/>
    </row>
    <row r="592">
      <c r="A592" s="4">
        <v>594.0</v>
      </c>
      <c r="C592" s="46"/>
      <c r="D592" s="11"/>
      <c r="E592" s="11"/>
      <c r="F592" s="11"/>
      <c r="G592" s="11"/>
      <c r="H592" s="11"/>
    </row>
    <row r="593">
      <c r="A593" s="4">
        <v>595.0</v>
      </c>
      <c r="C593" s="46"/>
      <c r="D593" s="11"/>
      <c r="E593" s="11"/>
      <c r="F593" s="11"/>
      <c r="G593" s="11"/>
      <c r="H593" s="11"/>
    </row>
    <row r="594">
      <c r="A594" s="4">
        <v>596.0</v>
      </c>
      <c r="C594" s="46"/>
      <c r="D594" s="11"/>
      <c r="E594" s="11"/>
      <c r="F594" s="11"/>
      <c r="G594" s="11"/>
      <c r="H594" s="11"/>
    </row>
    <row r="595">
      <c r="A595" s="4">
        <v>597.0</v>
      </c>
      <c r="C595" s="46"/>
      <c r="D595" s="11"/>
      <c r="E595" s="11"/>
      <c r="F595" s="11"/>
      <c r="G595" s="11"/>
      <c r="H595" s="11"/>
    </row>
    <row r="596">
      <c r="A596" s="4">
        <v>598.0</v>
      </c>
      <c r="C596" s="46"/>
      <c r="D596" s="11"/>
      <c r="E596" s="11"/>
      <c r="F596" s="11"/>
      <c r="G596" s="11"/>
      <c r="H596" s="11"/>
    </row>
    <row r="597">
      <c r="A597" s="4">
        <v>599.0</v>
      </c>
      <c r="C597" s="46"/>
      <c r="D597" s="11"/>
      <c r="E597" s="11"/>
      <c r="F597" s="11"/>
      <c r="G597" s="11"/>
      <c r="H597" s="11"/>
    </row>
    <row r="598">
      <c r="A598" s="4">
        <v>600.0</v>
      </c>
      <c r="C598" s="46"/>
      <c r="D598" s="11"/>
      <c r="E598" s="11"/>
      <c r="F598" s="11"/>
      <c r="G598" s="11"/>
      <c r="H598" s="11"/>
    </row>
    <row r="599">
      <c r="A599" s="4">
        <v>601.0</v>
      </c>
      <c r="C599" s="46"/>
      <c r="D599" s="11"/>
      <c r="E599" s="11"/>
      <c r="F599" s="11"/>
      <c r="G599" s="11"/>
      <c r="H599" s="11"/>
    </row>
    <row r="600">
      <c r="A600" s="4">
        <v>602.0</v>
      </c>
      <c r="C600" s="46"/>
      <c r="D600" s="11"/>
      <c r="E600" s="11"/>
      <c r="F600" s="11"/>
      <c r="G600" s="11"/>
      <c r="H600" s="11"/>
    </row>
    <row r="601">
      <c r="A601" s="4">
        <v>603.0</v>
      </c>
      <c r="C601" s="46"/>
      <c r="D601" s="11"/>
      <c r="E601" s="11"/>
      <c r="F601" s="11"/>
      <c r="G601" s="11"/>
      <c r="H601" s="11"/>
    </row>
    <row r="602">
      <c r="A602" s="4">
        <v>604.0</v>
      </c>
      <c r="C602" s="46"/>
      <c r="D602" s="11"/>
      <c r="E602" s="11"/>
      <c r="F602" s="11"/>
      <c r="G602" s="11"/>
      <c r="H602" s="11"/>
    </row>
    <row r="603">
      <c r="A603" s="4">
        <v>605.0</v>
      </c>
      <c r="C603" s="46"/>
      <c r="D603" s="11"/>
      <c r="E603" s="11"/>
      <c r="F603" s="11"/>
      <c r="G603" s="11"/>
      <c r="H603" s="11"/>
    </row>
    <row r="604">
      <c r="A604" s="4">
        <v>606.0</v>
      </c>
      <c r="C604" s="46"/>
      <c r="D604" s="11"/>
      <c r="E604" s="11"/>
      <c r="F604" s="11"/>
      <c r="G604" s="11"/>
      <c r="H604" s="11"/>
    </row>
    <row r="605">
      <c r="A605" s="4">
        <v>607.0</v>
      </c>
      <c r="C605" s="46"/>
      <c r="D605" s="11"/>
      <c r="E605" s="11"/>
      <c r="F605" s="11"/>
      <c r="G605" s="11"/>
      <c r="H605" s="11"/>
    </row>
    <row r="606">
      <c r="A606" s="4">
        <v>608.0</v>
      </c>
      <c r="C606" s="46"/>
      <c r="D606" s="11"/>
      <c r="E606" s="11"/>
      <c r="F606" s="11"/>
      <c r="G606" s="11"/>
      <c r="H606" s="11"/>
    </row>
    <row r="607">
      <c r="A607" s="4">
        <v>609.0</v>
      </c>
      <c r="C607" s="46"/>
      <c r="D607" s="11"/>
      <c r="E607" s="11"/>
      <c r="F607" s="11"/>
      <c r="G607" s="11"/>
      <c r="H607" s="11"/>
    </row>
    <row r="608">
      <c r="A608" s="4">
        <v>610.0</v>
      </c>
      <c r="C608" s="46"/>
      <c r="D608" s="11"/>
      <c r="E608" s="11"/>
      <c r="F608" s="11"/>
      <c r="G608" s="11"/>
      <c r="H608" s="11"/>
    </row>
    <row r="609">
      <c r="A609" s="4">
        <v>611.0</v>
      </c>
      <c r="C609" s="46"/>
      <c r="D609" s="11"/>
      <c r="E609" s="11"/>
      <c r="F609" s="11"/>
      <c r="G609" s="11"/>
      <c r="H609" s="11"/>
    </row>
    <row r="610">
      <c r="A610" s="4">
        <v>612.0</v>
      </c>
      <c r="C610" s="46"/>
      <c r="D610" s="11"/>
      <c r="E610" s="11"/>
      <c r="F610" s="11"/>
      <c r="G610" s="11"/>
      <c r="H610" s="11"/>
    </row>
    <row r="611">
      <c r="A611" s="4">
        <v>613.0</v>
      </c>
      <c r="C611" s="46"/>
      <c r="D611" s="11"/>
      <c r="E611" s="11"/>
      <c r="F611" s="11"/>
      <c r="G611" s="11"/>
      <c r="H611" s="11"/>
    </row>
    <row r="612">
      <c r="A612" s="4">
        <v>614.0</v>
      </c>
      <c r="C612" s="46"/>
      <c r="D612" s="11"/>
      <c r="E612" s="11"/>
      <c r="F612" s="11"/>
      <c r="G612" s="11"/>
      <c r="H612" s="11"/>
    </row>
    <row r="613">
      <c r="A613" s="4">
        <v>615.0</v>
      </c>
      <c r="C613" s="46"/>
      <c r="D613" s="11"/>
      <c r="E613" s="11"/>
      <c r="F613" s="11"/>
      <c r="G613" s="11"/>
      <c r="H613" s="11"/>
    </row>
    <row r="614">
      <c r="A614" s="4">
        <v>616.0</v>
      </c>
      <c r="C614" s="46"/>
      <c r="D614" s="11"/>
      <c r="E614" s="11"/>
      <c r="F614" s="11"/>
      <c r="G614" s="11"/>
      <c r="H614" s="11"/>
    </row>
    <row r="615">
      <c r="A615" s="4">
        <v>617.0</v>
      </c>
      <c r="C615" s="46"/>
      <c r="D615" s="11"/>
      <c r="E615" s="11"/>
      <c r="F615" s="11"/>
      <c r="G615" s="11"/>
      <c r="H615" s="11"/>
    </row>
    <row r="616">
      <c r="A616" s="4">
        <v>618.0</v>
      </c>
      <c r="C616" s="46"/>
      <c r="D616" s="11"/>
      <c r="E616" s="11"/>
      <c r="F616" s="11"/>
      <c r="G616" s="11"/>
      <c r="H616" s="11"/>
    </row>
    <row r="617">
      <c r="A617" s="4">
        <v>619.0</v>
      </c>
      <c r="C617" s="46"/>
      <c r="D617" s="11"/>
      <c r="E617" s="11"/>
      <c r="F617" s="11"/>
      <c r="G617" s="11"/>
      <c r="H617" s="11"/>
    </row>
    <row r="618">
      <c r="A618" s="4">
        <v>620.0</v>
      </c>
      <c r="C618" s="46"/>
      <c r="D618" s="11"/>
      <c r="E618" s="11"/>
      <c r="F618" s="11"/>
      <c r="G618" s="11"/>
      <c r="H618" s="11"/>
    </row>
    <row r="619">
      <c r="A619" s="4">
        <v>621.0</v>
      </c>
      <c r="C619" s="46"/>
      <c r="D619" s="11"/>
      <c r="E619" s="11"/>
      <c r="F619" s="11"/>
      <c r="G619" s="11"/>
      <c r="H619" s="11"/>
    </row>
    <row r="620">
      <c r="A620" s="4">
        <v>622.0</v>
      </c>
      <c r="C620" s="46"/>
      <c r="D620" s="11"/>
      <c r="E620" s="11"/>
      <c r="F620" s="11"/>
      <c r="G620" s="11"/>
      <c r="H620" s="11"/>
    </row>
    <row r="621">
      <c r="A621" s="4">
        <v>623.0</v>
      </c>
      <c r="C621" s="46"/>
      <c r="D621" s="11"/>
      <c r="E621" s="11"/>
      <c r="F621" s="11"/>
      <c r="G621" s="11"/>
      <c r="H621" s="11"/>
    </row>
    <row r="622">
      <c r="A622" s="4">
        <v>624.0</v>
      </c>
      <c r="C622" s="46"/>
      <c r="D622" s="11"/>
      <c r="E622" s="11"/>
      <c r="F622" s="11"/>
      <c r="G622" s="11"/>
      <c r="H622" s="11"/>
    </row>
    <row r="623">
      <c r="A623" s="4">
        <v>625.0</v>
      </c>
      <c r="C623" s="46"/>
      <c r="D623" s="11"/>
      <c r="E623" s="11"/>
      <c r="F623" s="11"/>
      <c r="G623" s="11"/>
      <c r="H623" s="11"/>
    </row>
    <row r="624">
      <c r="A624" s="4">
        <v>626.0</v>
      </c>
      <c r="C624" s="46"/>
      <c r="D624" s="11"/>
      <c r="E624" s="11"/>
      <c r="F624" s="11"/>
      <c r="G624" s="11"/>
      <c r="H624" s="11"/>
    </row>
    <row r="625">
      <c r="A625" s="4">
        <v>627.0</v>
      </c>
      <c r="C625" s="46"/>
      <c r="D625" s="11"/>
      <c r="E625" s="11"/>
      <c r="F625" s="11"/>
      <c r="G625" s="11"/>
      <c r="H625" s="11"/>
    </row>
    <row r="626">
      <c r="A626" s="4">
        <v>628.0</v>
      </c>
      <c r="C626" s="46"/>
      <c r="D626" s="11"/>
      <c r="E626" s="11"/>
      <c r="F626" s="11"/>
      <c r="G626" s="11"/>
      <c r="H626" s="11"/>
    </row>
    <row r="627">
      <c r="A627" s="4">
        <v>629.0</v>
      </c>
      <c r="C627" s="46"/>
      <c r="D627" s="11"/>
      <c r="E627" s="11"/>
      <c r="F627" s="11"/>
      <c r="G627" s="11"/>
      <c r="H627" s="11"/>
    </row>
    <row r="628">
      <c r="A628" s="4">
        <v>630.0</v>
      </c>
      <c r="C628" s="46"/>
      <c r="D628" s="11"/>
      <c r="E628" s="11"/>
      <c r="F628" s="11"/>
      <c r="G628" s="11"/>
      <c r="H628" s="11"/>
    </row>
    <row r="629">
      <c r="A629" s="4">
        <v>631.0</v>
      </c>
      <c r="C629" s="46"/>
      <c r="D629" s="11"/>
      <c r="E629" s="11"/>
      <c r="F629" s="11"/>
      <c r="G629" s="11"/>
      <c r="H629" s="11"/>
    </row>
    <row r="630">
      <c r="A630" s="4">
        <v>632.0</v>
      </c>
      <c r="C630" s="46"/>
      <c r="D630" s="11"/>
      <c r="E630" s="11"/>
      <c r="F630" s="11"/>
      <c r="G630" s="11"/>
      <c r="H630" s="11"/>
    </row>
    <row r="631">
      <c r="A631" s="4">
        <v>633.0</v>
      </c>
      <c r="C631" s="46"/>
      <c r="D631" s="11"/>
      <c r="E631" s="11"/>
      <c r="F631" s="11"/>
      <c r="G631" s="11"/>
      <c r="H631" s="11"/>
    </row>
    <row r="632">
      <c r="A632" s="4">
        <v>634.0</v>
      </c>
      <c r="C632" s="46"/>
      <c r="D632" s="11"/>
      <c r="E632" s="11"/>
      <c r="F632" s="11"/>
      <c r="G632" s="11"/>
      <c r="H632" s="11"/>
    </row>
    <row r="633">
      <c r="A633" s="4">
        <v>635.0</v>
      </c>
      <c r="C633" s="46"/>
      <c r="D633" s="11"/>
      <c r="E633" s="11"/>
      <c r="F633" s="11"/>
      <c r="G633" s="11"/>
      <c r="H633" s="11"/>
    </row>
    <row r="634">
      <c r="A634" s="4">
        <v>636.0</v>
      </c>
      <c r="C634" s="46"/>
      <c r="D634" s="11"/>
      <c r="E634" s="11"/>
      <c r="F634" s="11"/>
      <c r="G634" s="11"/>
      <c r="H634" s="11"/>
    </row>
    <row r="635">
      <c r="A635" s="4">
        <v>637.0</v>
      </c>
      <c r="C635" s="46"/>
      <c r="D635" s="11"/>
      <c r="E635" s="11"/>
      <c r="F635" s="11"/>
      <c r="G635" s="11"/>
      <c r="H635" s="11"/>
    </row>
    <row r="636">
      <c r="A636" s="4">
        <v>638.0</v>
      </c>
      <c r="C636" s="46"/>
      <c r="D636" s="11"/>
      <c r="E636" s="11"/>
      <c r="F636" s="11"/>
      <c r="G636" s="11"/>
      <c r="H636" s="11"/>
    </row>
    <row r="637">
      <c r="A637" s="4">
        <v>639.0</v>
      </c>
      <c r="C637" s="46"/>
      <c r="D637" s="11"/>
      <c r="E637" s="11"/>
      <c r="F637" s="11"/>
      <c r="G637" s="11"/>
      <c r="H637" s="11"/>
    </row>
    <row r="638">
      <c r="A638" s="4">
        <v>640.0</v>
      </c>
      <c r="C638" s="46"/>
      <c r="D638" s="11"/>
      <c r="E638" s="11"/>
      <c r="F638" s="11"/>
      <c r="G638" s="11"/>
      <c r="H638" s="11"/>
    </row>
    <row r="639">
      <c r="A639" s="4">
        <v>641.0</v>
      </c>
      <c r="C639" s="46"/>
      <c r="D639" s="11"/>
      <c r="E639" s="11"/>
      <c r="F639" s="11"/>
      <c r="G639" s="11"/>
      <c r="H639" s="11"/>
    </row>
    <row r="640">
      <c r="A640" s="4">
        <v>642.0</v>
      </c>
      <c r="C640" s="46"/>
      <c r="D640" s="11"/>
      <c r="E640" s="11"/>
      <c r="F640" s="11"/>
      <c r="G640" s="11"/>
      <c r="H640" s="11"/>
    </row>
    <row r="641">
      <c r="A641" s="4">
        <v>643.0</v>
      </c>
      <c r="C641" s="46"/>
      <c r="D641" s="11"/>
      <c r="E641" s="11"/>
      <c r="F641" s="11"/>
      <c r="G641" s="11"/>
      <c r="H641" s="11"/>
    </row>
    <row r="642">
      <c r="A642" s="4">
        <v>644.0</v>
      </c>
      <c r="C642" s="46"/>
      <c r="D642" s="11"/>
      <c r="E642" s="11"/>
      <c r="F642" s="11"/>
      <c r="G642" s="11"/>
      <c r="H642" s="11"/>
    </row>
    <row r="643">
      <c r="A643" s="4">
        <v>645.0</v>
      </c>
      <c r="C643" s="46"/>
      <c r="D643" s="11"/>
      <c r="E643" s="11"/>
      <c r="F643" s="11"/>
      <c r="G643" s="11"/>
      <c r="H643" s="11"/>
    </row>
    <row r="644">
      <c r="A644" s="4">
        <v>646.0</v>
      </c>
      <c r="C644" s="46"/>
      <c r="D644" s="11"/>
      <c r="E644" s="11"/>
      <c r="F644" s="11"/>
      <c r="G644" s="11"/>
      <c r="H644" s="11"/>
    </row>
    <row r="645">
      <c r="A645" s="4">
        <v>647.0</v>
      </c>
      <c r="C645" s="46"/>
      <c r="D645" s="11"/>
      <c r="E645" s="11"/>
      <c r="F645" s="11"/>
      <c r="G645" s="11"/>
      <c r="H645" s="11"/>
    </row>
    <row r="646">
      <c r="A646" s="4">
        <v>648.0</v>
      </c>
      <c r="C646" s="46"/>
      <c r="D646" s="11"/>
      <c r="E646" s="11"/>
      <c r="F646" s="11"/>
      <c r="G646" s="11"/>
      <c r="H646" s="11"/>
    </row>
    <row r="647">
      <c r="A647" s="4">
        <v>649.0</v>
      </c>
      <c r="C647" s="46"/>
      <c r="D647" s="11"/>
      <c r="E647" s="11"/>
      <c r="F647" s="11"/>
      <c r="G647" s="11"/>
      <c r="H647" s="11"/>
    </row>
    <row r="648">
      <c r="A648" s="4">
        <v>650.0</v>
      </c>
      <c r="C648" s="46"/>
      <c r="D648" s="11"/>
      <c r="E648" s="11"/>
      <c r="F648" s="11"/>
      <c r="G648" s="11"/>
      <c r="H648" s="11"/>
    </row>
    <row r="649">
      <c r="A649" s="4">
        <v>651.0</v>
      </c>
      <c r="C649" s="46"/>
      <c r="D649" s="11"/>
      <c r="E649" s="11"/>
      <c r="F649" s="11"/>
      <c r="G649" s="11"/>
      <c r="H649" s="11"/>
    </row>
    <row r="650">
      <c r="A650" s="4">
        <v>652.0</v>
      </c>
      <c r="C650" s="46"/>
      <c r="D650" s="11"/>
      <c r="E650" s="11"/>
      <c r="F650" s="11"/>
      <c r="G650" s="11"/>
      <c r="H650" s="11"/>
    </row>
    <row r="651">
      <c r="A651" s="4">
        <v>653.0</v>
      </c>
      <c r="C651" s="46"/>
      <c r="D651" s="11"/>
      <c r="E651" s="11"/>
      <c r="F651" s="11"/>
      <c r="G651" s="11"/>
      <c r="H651" s="11"/>
    </row>
    <row r="652">
      <c r="A652" s="4">
        <v>654.0</v>
      </c>
      <c r="C652" s="46"/>
      <c r="D652" s="11"/>
      <c r="E652" s="11"/>
      <c r="F652" s="11"/>
      <c r="G652" s="11"/>
      <c r="H652" s="11"/>
    </row>
    <row r="653">
      <c r="A653" s="4">
        <v>655.0</v>
      </c>
      <c r="C653" s="46"/>
      <c r="D653" s="11"/>
      <c r="E653" s="11"/>
      <c r="F653" s="11"/>
      <c r="G653" s="11"/>
      <c r="H653" s="11"/>
    </row>
    <row r="654">
      <c r="A654" s="4">
        <v>656.0</v>
      </c>
      <c r="C654" s="46"/>
      <c r="D654" s="11"/>
      <c r="E654" s="11"/>
      <c r="F654" s="11"/>
      <c r="G654" s="11"/>
      <c r="H654" s="11"/>
    </row>
    <row r="655">
      <c r="A655" s="4">
        <v>657.0</v>
      </c>
      <c r="C655" s="46"/>
      <c r="D655" s="11"/>
      <c r="E655" s="11"/>
      <c r="F655" s="11"/>
      <c r="G655" s="11"/>
      <c r="H655" s="11"/>
    </row>
    <row r="656">
      <c r="A656" s="4">
        <v>658.0</v>
      </c>
      <c r="C656" s="46"/>
      <c r="D656" s="11"/>
      <c r="E656" s="11"/>
      <c r="F656" s="11"/>
      <c r="G656" s="11"/>
      <c r="H656" s="11"/>
    </row>
    <row r="657">
      <c r="A657" s="4">
        <v>659.0</v>
      </c>
      <c r="C657" s="46"/>
      <c r="D657" s="11"/>
      <c r="E657" s="11"/>
      <c r="F657" s="11"/>
      <c r="G657" s="11"/>
      <c r="H657" s="11"/>
    </row>
    <row r="658">
      <c r="A658" s="4">
        <v>660.0</v>
      </c>
      <c r="C658" s="46"/>
      <c r="D658" s="11"/>
      <c r="E658" s="11"/>
      <c r="F658" s="11"/>
      <c r="G658" s="11"/>
      <c r="H658" s="11"/>
    </row>
    <row r="659">
      <c r="A659" s="4">
        <v>661.0</v>
      </c>
      <c r="C659" s="46"/>
      <c r="D659" s="11"/>
      <c r="E659" s="11"/>
      <c r="F659" s="11"/>
      <c r="G659" s="11"/>
      <c r="H659" s="11"/>
    </row>
    <row r="660">
      <c r="A660" s="4">
        <v>662.0</v>
      </c>
      <c r="C660" s="46"/>
      <c r="D660" s="11"/>
      <c r="E660" s="11"/>
      <c r="F660" s="11"/>
      <c r="G660" s="11"/>
      <c r="H660" s="11"/>
    </row>
    <row r="661">
      <c r="A661" s="4">
        <v>663.0</v>
      </c>
      <c r="C661" s="46"/>
      <c r="D661" s="11"/>
      <c r="E661" s="11"/>
      <c r="F661" s="11"/>
      <c r="G661" s="11"/>
      <c r="H661" s="11"/>
    </row>
    <row r="662">
      <c r="A662" s="4">
        <v>664.0</v>
      </c>
      <c r="C662" s="46"/>
      <c r="D662" s="11"/>
      <c r="E662" s="11"/>
      <c r="F662" s="11"/>
      <c r="G662" s="11"/>
      <c r="H662" s="11"/>
    </row>
    <row r="663">
      <c r="A663" s="4">
        <v>665.0</v>
      </c>
      <c r="C663" s="46"/>
      <c r="D663" s="11"/>
      <c r="E663" s="11"/>
      <c r="F663" s="11"/>
      <c r="G663" s="11"/>
      <c r="H663" s="11"/>
    </row>
    <row r="664">
      <c r="A664" s="4">
        <v>666.0</v>
      </c>
      <c r="C664" s="46"/>
      <c r="D664" s="11"/>
      <c r="E664" s="11"/>
      <c r="F664" s="11"/>
      <c r="G664" s="11"/>
      <c r="H664" s="11"/>
    </row>
    <row r="665">
      <c r="A665" s="4">
        <v>667.0</v>
      </c>
      <c r="C665" s="46"/>
      <c r="D665" s="11"/>
      <c r="E665" s="11"/>
      <c r="F665" s="11"/>
      <c r="G665" s="11"/>
      <c r="H665" s="11"/>
    </row>
    <row r="666">
      <c r="A666" s="4">
        <v>668.0</v>
      </c>
      <c r="C666" s="46"/>
      <c r="D666" s="11"/>
      <c r="E666" s="11"/>
      <c r="F666" s="11"/>
      <c r="G666" s="11"/>
      <c r="H666" s="11"/>
    </row>
    <row r="667">
      <c r="A667" s="4">
        <v>669.0</v>
      </c>
      <c r="C667" s="46"/>
      <c r="D667" s="11"/>
      <c r="E667" s="11"/>
      <c r="F667" s="11"/>
      <c r="G667" s="11"/>
      <c r="H667" s="11"/>
    </row>
    <row r="668">
      <c r="A668" s="4">
        <v>670.0</v>
      </c>
      <c r="C668" s="46"/>
      <c r="D668" s="11"/>
      <c r="E668" s="11"/>
      <c r="F668" s="11"/>
      <c r="G668" s="11"/>
      <c r="H668" s="11"/>
    </row>
    <row r="669">
      <c r="A669" s="4">
        <v>671.0</v>
      </c>
      <c r="C669" s="46"/>
      <c r="D669" s="11"/>
      <c r="E669" s="11"/>
      <c r="F669" s="11"/>
      <c r="G669" s="11"/>
      <c r="H669" s="11"/>
    </row>
    <row r="670">
      <c r="A670" s="4">
        <v>672.0</v>
      </c>
      <c r="C670" s="46"/>
      <c r="D670" s="11"/>
      <c r="E670" s="11"/>
      <c r="F670" s="11"/>
      <c r="G670" s="11"/>
      <c r="H670" s="11"/>
    </row>
    <row r="671">
      <c r="A671" s="4">
        <v>673.0</v>
      </c>
      <c r="C671" s="46"/>
      <c r="D671" s="11"/>
      <c r="E671" s="11"/>
      <c r="F671" s="11"/>
      <c r="G671" s="11"/>
      <c r="H671" s="11"/>
    </row>
    <row r="672">
      <c r="A672" s="4">
        <v>674.0</v>
      </c>
      <c r="C672" s="46"/>
      <c r="D672" s="11"/>
      <c r="E672" s="11"/>
      <c r="F672" s="11"/>
      <c r="G672" s="11"/>
      <c r="H672" s="11"/>
    </row>
    <row r="673">
      <c r="A673" s="4">
        <v>675.0</v>
      </c>
      <c r="C673" s="46"/>
      <c r="D673" s="11"/>
      <c r="E673" s="11"/>
      <c r="F673" s="11"/>
      <c r="G673" s="11"/>
      <c r="H673" s="11"/>
    </row>
    <row r="674">
      <c r="A674" s="4">
        <v>676.0</v>
      </c>
      <c r="C674" s="46"/>
      <c r="D674" s="11"/>
      <c r="E674" s="11"/>
      <c r="F674" s="11"/>
      <c r="G674" s="11"/>
      <c r="H674" s="11"/>
    </row>
    <row r="675">
      <c r="A675" s="4">
        <v>677.0</v>
      </c>
      <c r="C675" s="46"/>
      <c r="D675" s="11"/>
      <c r="E675" s="11"/>
      <c r="F675" s="11"/>
      <c r="G675" s="11"/>
      <c r="H675" s="11"/>
    </row>
    <row r="676">
      <c r="A676" s="4">
        <v>678.0</v>
      </c>
      <c r="C676" s="46"/>
      <c r="D676" s="11"/>
      <c r="E676" s="11"/>
      <c r="F676" s="11"/>
      <c r="G676" s="11"/>
      <c r="H676" s="11"/>
    </row>
    <row r="677">
      <c r="A677" s="4">
        <v>679.0</v>
      </c>
      <c r="C677" s="46"/>
      <c r="D677" s="11"/>
      <c r="E677" s="11"/>
      <c r="F677" s="11"/>
      <c r="G677" s="11"/>
      <c r="H677" s="11"/>
    </row>
    <row r="678">
      <c r="A678" s="4">
        <v>680.0</v>
      </c>
      <c r="C678" s="46"/>
      <c r="D678" s="11"/>
      <c r="E678" s="11"/>
      <c r="F678" s="11"/>
      <c r="G678" s="11"/>
      <c r="H678" s="11"/>
    </row>
    <row r="679">
      <c r="A679" s="4">
        <v>681.0</v>
      </c>
      <c r="C679" s="46"/>
      <c r="D679" s="11"/>
      <c r="E679" s="11"/>
      <c r="F679" s="11"/>
      <c r="G679" s="11"/>
      <c r="H679" s="11"/>
    </row>
    <row r="680">
      <c r="A680" s="4">
        <v>682.0</v>
      </c>
      <c r="C680" s="46"/>
      <c r="D680" s="11"/>
      <c r="E680" s="11"/>
      <c r="F680" s="11"/>
      <c r="G680" s="11"/>
      <c r="H680" s="11"/>
    </row>
    <row r="681">
      <c r="A681" s="4">
        <v>683.0</v>
      </c>
      <c r="C681" s="46"/>
      <c r="D681" s="11"/>
      <c r="E681" s="11"/>
      <c r="F681" s="11"/>
      <c r="G681" s="11"/>
      <c r="H681" s="11"/>
    </row>
    <row r="682">
      <c r="A682" s="4">
        <v>684.0</v>
      </c>
      <c r="C682" s="46"/>
      <c r="D682" s="11"/>
      <c r="E682" s="11"/>
      <c r="F682" s="11"/>
      <c r="G682" s="11"/>
      <c r="H682" s="11"/>
    </row>
    <row r="683">
      <c r="A683" s="4">
        <v>685.0</v>
      </c>
      <c r="C683" s="46"/>
      <c r="D683" s="11"/>
      <c r="E683" s="11"/>
      <c r="F683" s="11"/>
      <c r="G683" s="11"/>
      <c r="H683" s="11"/>
    </row>
    <row r="684">
      <c r="A684" s="4">
        <v>686.0</v>
      </c>
      <c r="C684" s="46"/>
      <c r="D684" s="11"/>
      <c r="E684" s="11"/>
      <c r="F684" s="11"/>
      <c r="G684" s="11"/>
      <c r="H684" s="11"/>
    </row>
    <row r="685">
      <c r="A685" s="4">
        <v>687.0</v>
      </c>
      <c r="C685" s="46"/>
      <c r="D685" s="11"/>
      <c r="E685" s="11"/>
      <c r="F685" s="11"/>
      <c r="G685" s="11"/>
      <c r="H685" s="11"/>
    </row>
    <row r="686">
      <c r="A686" s="4">
        <v>688.0</v>
      </c>
      <c r="C686" s="46"/>
      <c r="D686" s="11"/>
      <c r="E686" s="11"/>
      <c r="F686" s="11"/>
      <c r="G686" s="11"/>
      <c r="H686" s="11"/>
    </row>
    <row r="687">
      <c r="A687" s="4">
        <v>689.0</v>
      </c>
      <c r="C687" s="46"/>
      <c r="D687" s="11"/>
      <c r="E687" s="11"/>
      <c r="F687" s="11"/>
      <c r="G687" s="11"/>
      <c r="H687" s="11"/>
    </row>
    <row r="688">
      <c r="A688" s="4">
        <v>690.0</v>
      </c>
      <c r="C688" s="46"/>
      <c r="D688" s="11"/>
      <c r="E688" s="11"/>
      <c r="F688" s="11"/>
      <c r="G688" s="11"/>
      <c r="H688" s="11"/>
    </row>
    <row r="689">
      <c r="A689" s="4">
        <v>691.0</v>
      </c>
      <c r="C689" s="46"/>
      <c r="D689" s="11"/>
      <c r="E689" s="11"/>
      <c r="F689" s="11"/>
      <c r="G689" s="11"/>
      <c r="H689" s="11"/>
    </row>
    <row r="690">
      <c r="A690" s="4">
        <v>692.0</v>
      </c>
      <c r="C690" s="46"/>
      <c r="D690" s="11"/>
      <c r="E690" s="11"/>
      <c r="F690" s="11"/>
      <c r="G690" s="11"/>
      <c r="H690" s="11"/>
    </row>
    <row r="691">
      <c r="A691" s="4">
        <v>693.0</v>
      </c>
      <c r="C691" s="46"/>
      <c r="D691" s="11"/>
      <c r="E691" s="11"/>
      <c r="F691" s="11"/>
      <c r="G691" s="11"/>
      <c r="H691" s="11"/>
    </row>
    <row r="692">
      <c r="A692" s="4">
        <v>694.0</v>
      </c>
      <c r="C692" s="46"/>
      <c r="D692" s="11"/>
      <c r="E692" s="11"/>
      <c r="F692" s="11"/>
      <c r="G692" s="11"/>
      <c r="H692" s="11"/>
    </row>
    <row r="693">
      <c r="A693" s="4">
        <v>695.0</v>
      </c>
      <c r="C693" s="46"/>
      <c r="D693" s="11"/>
      <c r="E693" s="11"/>
      <c r="F693" s="11"/>
      <c r="G693" s="11"/>
      <c r="H693" s="11"/>
    </row>
    <row r="694">
      <c r="A694" s="4">
        <v>696.0</v>
      </c>
      <c r="C694" s="46"/>
      <c r="D694" s="11"/>
      <c r="E694" s="11"/>
      <c r="F694" s="11"/>
      <c r="G694" s="11"/>
      <c r="H694" s="11"/>
    </row>
    <row r="695">
      <c r="A695" s="4">
        <v>697.0</v>
      </c>
      <c r="C695" s="46"/>
      <c r="D695" s="11"/>
      <c r="E695" s="11"/>
      <c r="F695" s="11"/>
      <c r="G695" s="11"/>
      <c r="H695" s="11"/>
    </row>
    <row r="696">
      <c r="A696" s="4">
        <v>698.0</v>
      </c>
      <c r="C696" s="46"/>
      <c r="D696" s="11"/>
      <c r="E696" s="11"/>
      <c r="F696" s="11"/>
      <c r="G696" s="11"/>
      <c r="H696" s="11"/>
    </row>
    <row r="697">
      <c r="A697" s="4">
        <v>699.0</v>
      </c>
      <c r="C697" s="46"/>
      <c r="D697" s="11"/>
      <c r="E697" s="11"/>
      <c r="F697" s="11"/>
      <c r="G697" s="11"/>
      <c r="H697" s="11"/>
    </row>
    <row r="698">
      <c r="A698" s="4">
        <v>700.0</v>
      </c>
      <c r="C698" s="46"/>
      <c r="D698" s="11"/>
      <c r="E698" s="11"/>
      <c r="F698" s="11"/>
      <c r="G698" s="11"/>
      <c r="H698" s="11"/>
    </row>
    <row r="699">
      <c r="A699" s="4">
        <v>701.0</v>
      </c>
      <c r="C699" s="46"/>
      <c r="D699" s="11"/>
      <c r="E699" s="11"/>
      <c r="F699" s="11"/>
      <c r="G699" s="11"/>
      <c r="H699" s="11"/>
    </row>
    <row r="700">
      <c r="A700" s="4">
        <v>702.0</v>
      </c>
      <c r="C700" s="46"/>
      <c r="D700" s="11"/>
      <c r="E700" s="11"/>
      <c r="F700" s="11"/>
      <c r="G700" s="11"/>
      <c r="H700" s="11"/>
    </row>
    <row r="701">
      <c r="A701" s="4">
        <v>703.0</v>
      </c>
      <c r="C701" s="46"/>
      <c r="D701" s="11"/>
      <c r="E701" s="11"/>
      <c r="F701" s="11"/>
      <c r="G701" s="11"/>
      <c r="H701" s="11"/>
    </row>
    <row r="702">
      <c r="A702" s="4">
        <v>704.0</v>
      </c>
      <c r="C702" s="46"/>
      <c r="D702" s="11"/>
      <c r="E702" s="11"/>
      <c r="F702" s="11"/>
      <c r="G702" s="11"/>
      <c r="H702" s="11"/>
    </row>
    <row r="703">
      <c r="A703" s="4">
        <v>705.0</v>
      </c>
      <c r="C703" s="46"/>
      <c r="D703" s="11"/>
      <c r="E703" s="11"/>
      <c r="F703" s="11"/>
      <c r="G703" s="11"/>
      <c r="H703" s="11"/>
    </row>
    <row r="704">
      <c r="A704" s="4">
        <v>706.0</v>
      </c>
      <c r="C704" s="46"/>
      <c r="D704" s="11"/>
      <c r="E704" s="11"/>
      <c r="F704" s="11"/>
      <c r="G704" s="11"/>
      <c r="H704" s="11"/>
    </row>
    <row r="705">
      <c r="A705" s="4">
        <v>707.0</v>
      </c>
      <c r="C705" s="46"/>
      <c r="D705" s="11"/>
      <c r="E705" s="11"/>
      <c r="F705" s="11"/>
      <c r="G705" s="11"/>
      <c r="H705" s="11"/>
    </row>
    <row r="706">
      <c r="A706" s="4">
        <v>708.0</v>
      </c>
      <c r="C706" s="46"/>
      <c r="D706" s="11"/>
      <c r="E706" s="11"/>
      <c r="F706" s="11"/>
      <c r="G706" s="11"/>
      <c r="H706" s="11"/>
    </row>
    <row r="707">
      <c r="A707" s="4">
        <v>709.0</v>
      </c>
      <c r="C707" s="46"/>
      <c r="D707" s="11"/>
      <c r="E707" s="11"/>
      <c r="F707" s="11"/>
      <c r="G707" s="11"/>
      <c r="H707" s="11"/>
    </row>
    <row r="708">
      <c r="A708" s="4">
        <v>710.0</v>
      </c>
      <c r="C708" s="46"/>
      <c r="D708" s="11"/>
      <c r="E708" s="11"/>
      <c r="F708" s="11"/>
      <c r="G708" s="11"/>
      <c r="H708" s="11"/>
    </row>
    <row r="709">
      <c r="A709" s="4">
        <v>711.0</v>
      </c>
      <c r="C709" s="46"/>
      <c r="D709" s="11"/>
      <c r="E709" s="11"/>
      <c r="F709" s="11"/>
      <c r="G709" s="11"/>
      <c r="H709" s="11"/>
    </row>
    <row r="710">
      <c r="A710" s="4">
        <v>712.0</v>
      </c>
      <c r="C710" s="46"/>
      <c r="D710" s="11"/>
      <c r="E710" s="11"/>
      <c r="F710" s="11"/>
      <c r="G710" s="11"/>
      <c r="H710" s="11"/>
    </row>
    <row r="711">
      <c r="A711" s="4">
        <v>713.0</v>
      </c>
      <c r="C711" s="46"/>
      <c r="D711" s="11"/>
      <c r="E711" s="11"/>
      <c r="F711" s="11"/>
      <c r="G711" s="11"/>
      <c r="H711" s="11"/>
    </row>
    <row r="712">
      <c r="A712" s="4">
        <v>714.0</v>
      </c>
      <c r="C712" s="46"/>
      <c r="D712" s="11"/>
      <c r="E712" s="11"/>
      <c r="F712" s="11"/>
      <c r="G712" s="11"/>
      <c r="H712" s="11"/>
    </row>
    <row r="713">
      <c r="A713" s="4">
        <v>715.0</v>
      </c>
      <c r="C713" s="46"/>
      <c r="D713" s="11"/>
      <c r="E713" s="11"/>
      <c r="F713" s="11"/>
      <c r="G713" s="11"/>
      <c r="H713" s="11"/>
    </row>
    <row r="714">
      <c r="A714" s="4">
        <v>716.0</v>
      </c>
      <c r="C714" s="46"/>
      <c r="D714" s="11"/>
      <c r="E714" s="11"/>
      <c r="F714" s="11"/>
      <c r="G714" s="11"/>
      <c r="H714" s="11"/>
    </row>
    <row r="715">
      <c r="A715" s="4">
        <v>717.0</v>
      </c>
      <c r="C715" s="46"/>
      <c r="D715" s="11"/>
      <c r="E715" s="11"/>
      <c r="F715" s="11"/>
      <c r="G715" s="11"/>
      <c r="H715" s="11"/>
    </row>
    <row r="716">
      <c r="A716" s="4">
        <v>718.0</v>
      </c>
      <c r="C716" s="46"/>
      <c r="D716" s="11"/>
      <c r="E716" s="11"/>
      <c r="F716" s="11"/>
      <c r="G716" s="11"/>
      <c r="H716" s="11"/>
    </row>
    <row r="717">
      <c r="A717" s="4">
        <v>719.0</v>
      </c>
      <c r="C717" s="46"/>
      <c r="D717" s="11"/>
      <c r="E717" s="11"/>
      <c r="F717" s="11"/>
      <c r="G717" s="11"/>
      <c r="H717" s="11"/>
    </row>
    <row r="718">
      <c r="A718" s="4">
        <v>720.0</v>
      </c>
      <c r="C718" s="46"/>
      <c r="D718" s="11"/>
      <c r="E718" s="11"/>
      <c r="F718" s="11"/>
      <c r="G718" s="11"/>
      <c r="H718" s="11"/>
    </row>
    <row r="719">
      <c r="A719" s="4">
        <v>721.0</v>
      </c>
      <c r="C719" s="46"/>
      <c r="D719" s="11"/>
      <c r="E719" s="11"/>
      <c r="F719" s="11"/>
      <c r="G719" s="11"/>
      <c r="H719" s="11"/>
    </row>
    <row r="720">
      <c r="A720" s="4">
        <v>722.0</v>
      </c>
      <c r="C720" s="46"/>
      <c r="D720" s="11"/>
      <c r="E720" s="11"/>
      <c r="F720" s="11"/>
      <c r="G720" s="11"/>
      <c r="H720" s="11"/>
    </row>
    <row r="721">
      <c r="A721" s="4">
        <v>723.0</v>
      </c>
      <c r="C721" s="46"/>
      <c r="D721" s="11"/>
      <c r="E721" s="11"/>
      <c r="F721" s="11"/>
      <c r="G721" s="11"/>
      <c r="H721" s="11"/>
    </row>
    <row r="722">
      <c r="A722" s="4">
        <v>724.0</v>
      </c>
      <c r="C722" s="46"/>
      <c r="D722" s="11"/>
      <c r="E722" s="11"/>
      <c r="F722" s="11"/>
      <c r="G722" s="11"/>
      <c r="H722" s="11"/>
    </row>
    <row r="723">
      <c r="A723" s="4">
        <v>725.0</v>
      </c>
      <c r="C723" s="46"/>
      <c r="D723" s="11"/>
      <c r="E723" s="11"/>
      <c r="F723" s="11"/>
      <c r="G723" s="11"/>
      <c r="H723" s="11"/>
    </row>
    <row r="724">
      <c r="A724" s="4">
        <v>726.0</v>
      </c>
      <c r="C724" s="46"/>
      <c r="D724" s="11"/>
      <c r="E724" s="11"/>
      <c r="F724" s="11"/>
      <c r="G724" s="11"/>
      <c r="H724" s="11"/>
    </row>
    <row r="725">
      <c r="A725" s="4">
        <v>727.0</v>
      </c>
      <c r="C725" s="46"/>
      <c r="D725" s="11"/>
      <c r="E725" s="11"/>
      <c r="F725" s="11"/>
      <c r="G725" s="11"/>
      <c r="H725" s="11"/>
    </row>
    <row r="726">
      <c r="A726" s="4">
        <v>728.0</v>
      </c>
      <c r="C726" s="46"/>
      <c r="D726" s="11"/>
      <c r="E726" s="11"/>
      <c r="F726" s="11"/>
      <c r="G726" s="11"/>
      <c r="H726" s="11"/>
    </row>
    <row r="727">
      <c r="A727" s="4">
        <v>729.0</v>
      </c>
      <c r="C727" s="46"/>
      <c r="D727" s="11"/>
      <c r="E727" s="11"/>
      <c r="F727" s="11"/>
      <c r="G727" s="11"/>
      <c r="H727" s="11"/>
    </row>
    <row r="728">
      <c r="A728" s="4">
        <v>730.0</v>
      </c>
      <c r="C728" s="46"/>
      <c r="D728" s="11"/>
      <c r="E728" s="11"/>
      <c r="F728" s="11"/>
      <c r="G728" s="11"/>
      <c r="H728" s="11"/>
    </row>
    <row r="729">
      <c r="A729" s="4">
        <v>731.0</v>
      </c>
      <c r="C729" s="46"/>
      <c r="D729" s="11"/>
      <c r="E729" s="11"/>
      <c r="F729" s="11"/>
      <c r="G729" s="11"/>
      <c r="H729" s="11"/>
    </row>
    <row r="730">
      <c r="A730" s="4">
        <v>732.0</v>
      </c>
      <c r="C730" s="46"/>
      <c r="D730" s="11"/>
      <c r="E730" s="11"/>
      <c r="F730" s="11"/>
      <c r="G730" s="11"/>
      <c r="H730" s="11"/>
    </row>
    <row r="731">
      <c r="A731" s="4">
        <v>733.0</v>
      </c>
      <c r="C731" s="46"/>
      <c r="D731" s="11"/>
      <c r="E731" s="11"/>
      <c r="F731" s="11"/>
      <c r="G731" s="11"/>
      <c r="H731" s="11"/>
    </row>
    <row r="732">
      <c r="A732" s="4">
        <v>734.0</v>
      </c>
      <c r="C732" s="46"/>
      <c r="D732" s="11"/>
      <c r="E732" s="11"/>
      <c r="F732" s="11"/>
      <c r="G732" s="11"/>
      <c r="H732" s="11"/>
    </row>
    <row r="733">
      <c r="A733" s="4">
        <v>735.0</v>
      </c>
      <c r="C733" s="46"/>
      <c r="D733" s="11"/>
      <c r="E733" s="11"/>
      <c r="F733" s="11"/>
      <c r="G733" s="11"/>
      <c r="H733" s="11"/>
    </row>
    <row r="734">
      <c r="A734" s="4">
        <v>736.0</v>
      </c>
      <c r="C734" s="46"/>
      <c r="D734" s="11"/>
      <c r="E734" s="11"/>
      <c r="F734" s="11"/>
      <c r="G734" s="11"/>
      <c r="H734" s="11"/>
    </row>
    <row r="735">
      <c r="A735" s="4">
        <v>737.0</v>
      </c>
      <c r="C735" s="46"/>
      <c r="D735" s="11"/>
      <c r="E735" s="11"/>
      <c r="F735" s="11"/>
      <c r="G735" s="11"/>
      <c r="H735" s="11"/>
    </row>
    <row r="736">
      <c r="A736" s="4">
        <v>738.0</v>
      </c>
      <c r="C736" s="46"/>
      <c r="D736" s="11"/>
      <c r="E736" s="11"/>
      <c r="F736" s="11"/>
      <c r="G736" s="11"/>
      <c r="H736" s="11"/>
    </row>
    <row r="737">
      <c r="A737" s="4">
        <v>739.0</v>
      </c>
      <c r="C737" s="46"/>
      <c r="D737" s="11"/>
      <c r="E737" s="11"/>
      <c r="F737" s="11"/>
      <c r="G737" s="11"/>
      <c r="H737" s="11"/>
    </row>
    <row r="738">
      <c r="A738" s="4">
        <v>740.0</v>
      </c>
      <c r="C738" s="46"/>
      <c r="D738" s="11"/>
      <c r="E738" s="11"/>
      <c r="F738" s="11"/>
      <c r="G738" s="11"/>
      <c r="H738" s="11"/>
    </row>
    <row r="739">
      <c r="A739" s="4">
        <v>741.0</v>
      </c>
      <c r="C739" s="46"/>
      <c r="D739" s="11"/>
      <c r="E739" s="11"/>
      <c r="F739" s="11"/>
      <c r="G739" s="11"/>
      <c r="H739" s="11"/>
    </row>
    <row r="740">
      <c r="A740" s="4">
        <v>742.0</v>
      </c>
      <c r="C740" s="46"/>
      <c r="D740" s="11"/>
      <c r="E740" s="11"/>
      <c r="F740" s="11"/>
      <c r="G740" s="11"/>
      <c r="H740" s="11"/>
    </row>
    <row r="741">
      <c r="A741" s="4">
        <v>743.0</v>
      </c>
      <c r="C741" s="46"/>
      <c r="D741" s="11"/>
      <c r="E741" s="11"/>
      <c r="F741" s="11"/>
      <c r="G741" s="11"/>
      <c r="H741" s="11"/>
    </row>
    <row r="742">
      <c r="A742" s="4">
        <v>744.0</v>
      </c>
      <c r="C742" s="46"/>
      <c r="D742" s="11"/>
      <c r="E742" s="11"/>
      <c r="F742" s="11"/>
      <c r="G742" s="11"/>
      <c r="H742" s="11"/>
    </row>
    <row r="743">
      <c r="A743" s="4">
        <v>745.0</v>
      </c>
      <c r="C743" s="46"/>
      <c r="D743" s="11"/>
      <c r="E743" s="11"/>
      <c r="F743" s="11"/>
      <c r="G743" s="11"/>
      <c r="H743" s="11"/>
    </row>
    <row r="744">
      <c r="A744" s="4">
        <v>746.0</v>
      </c>
      <c r="C744" s="46"/>
      <c r="D744" s="11"/>
      <c r="E744" s="11"/>
      <c r="F744" s="11"/>
      <c r="G744" s="11"/>
      <c r="H744" s="11"/>
    </row>
    <row r="745">
      <c r="A745" s="4">
        <v>747.0</v>
      </c>
      <c r="C745" s="46"/>
      <c r="D745" s="11"/>
      <c r="E745" s="11"/>
      <c r="F745" s="11"/>
      <c r="G745" s="11"/>
      <c r="H745" s="11"/>
    </row>
    <row r="746">
      <c r="A746" s="4">
        <v>748.0</v>
      </c>
      <c r="C746" s="46"/>
      <c r="D746" s="11"/>
      <c r="E746" s="11"/>
      <c r="F746" s="11"/>
      <c r="G746" s="11"/>
      <c r="H746" s="11"/>
    </row>
    <row r="747">
      <c r="A747" s="4">
        <v>749.0</v>
      </c>
      <c r="C747" s="46"/>
      <c r="D747" s="11"/>
      <c r="E747" s="11"/>
      <c r="F747" s="11"/>
      <c r="G747" s="11"/>
      <c r="H747" s="11"/>
    </row>
    <row r="748">
      <c r="A748" s="4">
        <v>750.0</v>
      </c>
      <c r="C748" s="46"/>
      <c r="D748" s="11"/>
      <c r="E748" s="11"/>
      <c r="F748" s="11"/>
      <c r="G748" s="11"/>
      <c r="H748" s="11"/>
    </row>
    <row r="749">
      <c r="A749" s="4">
        <v>751.0</v>
      </c>
      <c r="C749" s="46"/>
      <c r="D749" s="11"/>
      <c r="E749" s="11"/>
      <c r="F749" s="11"/>
      <c r="G749" s="11"/>
      <c r="H749" s="11"/>
    </row>
    <row r="750">
      <c r="A750" s="4">
        <v>752.0</v>
      </c>
      <c r="C750" s="46"/>
      <c r="D750" s="11"/>
      <c r="E750" s="11"/>
      <c r="F750" s="11"/>
      <c r="G750" s="11"/>
      <c r="H750" s="11"/>
    </row>
    <row r="751">
      <c r="A751" s="4">
        <v>753.0</v>
      </c>
      <c r="C751" s="46"/>
      <c r="D751" s="11"/>
      <c r="E751" s="11"/>
      <c r="F751" s="11"/>
      <c r="G751" s="11"/>
      <c r="H751" s="11"/>
    </row>
    <row r="752">
      <c r="A752" s="4">
        <v>754.0</v>
      </c>
      <c r="C752" s="46"/>
      <c r="D752" s="11"/>
      <c r="E752" s="11"/>
      <c r="F752" s="11"/>
      <c r="G752" s="11"/>
      <c r="H752" s="11"/>
    </row>
    <row r="753">
      <c r="A753" s="4">
        <v>755.0</v>
      </c>
      <c r="C753" s="46"/>
      <c r="D753" s="11"/>
      <c r="E753" s="11"/>
      <c r="F753" s="11"/>
      <c r="G753" s="11"/>
      <c r="H753" s="11"/>
    </row>
    <row r="754">
      <c r="A754" s="4">
        <v>756.0</v>
      </c>
      <c r="C754" s="46"/>
      <c r="D754" s="11"/>
      <c r="E754" s="11"/>
      <c r="F754" s="11"/>
      <c r="G754" s="11"/>
      <c r="H754" s="11"/>
    </row>
    <row r="755">
      <c r="A755" s="4">
        <v>757.0</v>
      </c>
      <c r="C755" s="46"/>
      <c r="D755" s="11"/>
      <c r="E755" s="11"/>
      <c r="F755" s="11"/>
      <c r="G755" s="11"/>
      <c r="H755" s="11"/>
    </row>
    <row r="756">
      <c r="A756" s="4">
        <v>758.0</v>
      </c>
      <c r="C756" s="46"/>
      <c r="D756" s="11"/>
      <c r="E756" s="11"/>
      <c r="F756" s="11"/>
      <c r="G756" s="11"/>
      <c r="H756" s="11"/>
    </row>
    <row r="757">
      <c r="A757" s="4">
        <v>759.0</v>
      </c>
      <c r="C757" s="46"/>
      <c r="D757" s="11"/>
      <c r="E757" s="11"/>
      <c r="F757" s="11"/>
      <c r="G757" s="11"/>
      <c r="H757" s="11"/>
    </row>
    <row r="758">
      <c r="A758" s="4">
        <v>760.0</v>
      </c>
      <c r="C758" s="46"/>
      <c r="D758" s="11"/>
      <c r="E758" s="11"/>
      <c r="F758" s="11"/>
      <c r="G758" s="11"/>
      <c r="H758" s="11"/>
    </row>
    <row r="759">
      <c r="A759" s="4">
        <v>761.0</v>
      </c>
      <c r="C759" s="46"/>
      <c r="D759" s="11"/>
      <c r="E759" s="11"/>
      <c r="F759" s="11"/>
      <c r="G759" s="11"/>
      <c r="H759" s="11"/>
    </row>
    <row r="760">
      <c r="A760" s="4">
        <v>762.0</v>
      </c>
      <c r="C760" s="46"/>
      <c r="D760" s="11"/>
      <c r="E760" s="11"/>
      <c r="F760" s="11"/>
      <c r="G760" s="11"/>
      <c r="H760" s="11"/>
    </row>
    <row r="761">
      <c r="A761" s="4">
        <v>763.0</v>
      </c>
      <c r="C761" s="46"/>
      <c r="D761" s="11"/>
      <c r="E761" s="11"/>
      <c r="F761" s="11"/>
      <c r="G761" s="11"/>
      <c r="H761" s="11"/>
    </row>
    <row r="762">
      <c r="A762" s="4">
        <v>764.0</v>
      </c>
      <c r="C762" s="46"/>
      <c r="D762" s="11"/>
      <c r="E762" s="11"/>
      <c r="F762" s="11"/>
      <c r="G762" s="11"/>
      <c r="H762" s="11"/>
    </row>
    <row r="763">
      <c r="A763" s="4">
        <v>765.0</v>
      </c>
      <c r="C763" s="46"/>
      <c r="D763" s="11"/>
      <c r="E763" s="11"/>
      <c r="F763" s="11"/>
      <c r="G763" s="11"/>
      <c r="H763" s="11"/>
    </row>
    <row r="764">
      <c r="A764" s="4">
        <v>766.0</v>
      </c>
      <c r="C764" s="46"/>
      <c r="D764" s="11"/>
      <c r="E764" s="11"/>
      <c r="F764" s="11"/>
      <c r="G764" s="11"/>
      <c r="H764" s="11"/>
    </row>
    <row r="765">
      <c r="A765" s="4">
        <v>767.0</v>
      </c>
      <c r="C765" s="46"/>
      <c r="D765" s="11"/>
      <c r="E765" s="11"/>
      <c r="F765" s="11"/>
      <c r="G765" s="11"/>
      <c r="H765" s="11"/>
    </row>
    <row r="766">
      <c r="A766" s="4">
        <v>768.0</v>
      </c>
      <c r="C766" s="46"/>
      <c r="D766" s="11"/>
      <c r="E766" s="11"/>
      <c r="F766" s="11"/>
      <c r="G766" s="11"/>
      <c r="H766" s="11"/>
    </row>
    <row r="767">
      <c r="A767" s="4">
        <v>769.0</v>
      </c>
      <c r="C767" s="46"/>
      <c r="D767" s="11"/>
      <c r="E767" s="11"/>
      <c r="F767" s="11"/>
      <c r="G767" s="11"/>
      <c r="H767" s="11"/>
    </row>
    <row r="768">
      <c r="A768" s="4">
        <v>770.0</v>
      </c>
      <c r="C768" s="46"/>
      <c r="D768" s="11"/>
      <c r="E768" s="11"/>
      <c r="F768" s="11"/>
      <c r="G768" s="11"/>
      <c r="H768" s="11"/>
    </row>
    <row r="769">
      <c r="A769" s="4">
        <v>771.0</v>
      </c>
      <c r="C769" s="46"/>
      <c r="D769" s="11"/>
      <c r="E769" s="11"/>
      <c r="F769" s="11"/>
      <c r="G769" s="11"/>
      <c r="H769" s="11"/>
    </row>
    <row r="770">
      <c r="A770" s="4">
        <v>772.0</v>
      </c>
      <c r="C770" s="46"/>
      <c r="D770" s="11"/>
      <c r="E770" s="11"/>
      <c r="F770" s="11"/>
      <c r="G770" s="11"/>
      <c r="H770" s="11"/>
    </row>
    <row r="771">
      <c r="A771" s="4">
        <v>773.0</v>
      </c>
      <c r="C771" s="46"/>
      <c r="D771" s="11"/>
      <c r="E771" s="11"/>
      <c r="F771" s="11"/>
      <c r="G771" s="11"/>
      <c r="H771" s="11"/>
    </row>
    <row r="772">
      <c r="A772" s="4">
        <v>774.0</v>
      </c>
      <c r="C772" s="46"/>
      <c r="D772" s="11"/>
      <c r="E772" s="11"/>
      <c r="F772" s="11"/>
      <c r="G772" s="11"/>
      <c r="H772" s="11"/>
    </row>
    <row r="773">
      <c r="A773" s="4">
        <v>775.0</v>
      </c>
      <c r="C773" s="46"/>
      <c r="D773" s="11"/>
      <c r="E773" s="11"/>
      <c r="F773" s="11"/>
      <c r="G773" s="11"/>
      <c r="H773" s="11"/>
    </row>
    <row r="774">
      <c r="A774" s="4">
        <v>776.0</v>
      </c>
      <c r="C774" s="46"/>
      <c r="D774" s="11"/>
      <c r="E774" s="11"/>
      <c r="F774" s="11"/>
      <c r="G774" s="11"/>
      <c r="H774" s="11"/>
    </row>
    <row r="775">
      <c r="A775" s="4">
        <v>777.0</v>
      </c>
      <c r="C775" s="46"/>
      <c r="D775" s="11"/>
      <c r="E775" s="11"/>
      <c r="F775" s="11"/>
      <c r="G775" s="11"/>
      <c r="H775" s="11"/>
    </row>
    <row r="776">
      <c r="A776" s="4">
        <v>778.0</v>
      </c>
      <c r="C776" s="46"/>
      <c r="D776" s="11"/>
      <c r="E776" s="11"/>
      <c r="F776" s="11"/>
      <c r="G776" s="11"/>
      <c r="H776" s="11"/>
    </row>
    <row r="777">
      <c r="A777" s="4">
        <v>779.0</v>
      </c>
      <c r="C777" s="46"/>
      <c r="D777" s="11"/>
      <c r="E777" s="11"/>
      <c r="F777" s="11"/>
      <c r="G777" s="11"/>
      <c r="H777" s="11"/>
    </row>
    <row r="778">
      <c r="A778" s="4">
        <v>780.0</v>
      </c>
      <c r="C778" s="46"/>
      <c r="D778" s="11"/>
      <c r="E778" s="11"/>
      <c r="F778" s="11"/>
      <c r="G778" s="11"/>
      <c r="H778" s="11"/>
    </row>
    <row r="779">
      <c r="A779" s="4">
        <v>781.0</v>
      </c>
      <c r="C779" s="46"/>
      <c r="D779" s="11"/>
      <c r="E779" s="11"/>
      <c r="F779" s="11"/>
      <c r="G779" s="11"/>
      <c r="H779" s="11"/>
    </row>
    <row r="780">
      <c r="A780" s="4">
        <v>782.0</v>
      </c>
      <c r="C780" s="46"/>
      <c r="D780" s="11"/>
      <c r="E780" s="11"/>
      <c r="F780" s="11"/>
      <c r="G780" s="11"/>
      <c r="H780" s="11"/>
    </row>
    <row r="781">
      <c r="A781" s="4">
        <v>783.0</v>
      </c>
      <c r="C781" s="46"/>
      <c r="D781" s="11"/>
      <c r="E781" s="11"/>
      <c r="F781" s="11"/>
      <c r="G781" s="11"/>
      <c r="H781" s="11"/>
    </row>
    <row r="782">
      <c r="A782" s="4">
        <v>784.0</v>
      </c>
      <c r="C782" s="46"/>
      <c r="D782" s="11"/>
      <c r="E782" s="11"/>
      <c r="F782" s="11"/>
      <c r="G782" s="11"/>
      <c r="H782" s="11"/>
    </row>
    <row r="783">
      <c r="A783" s="4">
        <v>785.0</v>
      </c>
      <c r="C783" s="46"/>
      <c r="D783" s="11"/>
      <c r="E783" s="11"/>
      <c r="F783" s="11"/>
      <c r="G783" s="11"/>
      <c r="H783" s="11"/>
    </row>
    <row r="784">
      <c r="A784" s="4">
        <v>786.0</v>
      </c>
      <c r="C784" s="46"/>
      <c r="D784" s="11"/>
      <c r="E784" s="11"/>
      <c r="F784" s="11"/>
      <c r="G784" s="11"/>
      <c r="H784" s="11"/>
    </row>
    <row r="785">
      <c r="A785" s="4">
        <v>787.0</v>
      </c>
      <c r="C785" s="46"/>
      <c r="D785" s="11"/>
      <c r="E785" s="11"/>
      <c r="F785" s="11"/>
      <c r="G785" s="11"/>
      <c r="H785" s="11"/>
    </row>
    <row r="786">
      <c r="A786" s="4">
        <v>788.0</v>
      </c>
      <c r="C786" s="46"/>
      <c r="D786" s="11"/>
      <c r="E786" s="11"/>
      <c r="F786" s="11"/>
      <c r="G786" s="11"/>
      <c r="H786" s="11"/>
    </row>
    <row r="787">
      <c r="A787" s="4">
        <v>789.0</v>
      </c>
      <c r="C787" s="46"/>
      <c r="D787" s="11"/>
      <c r="E787" s="11"/>
      <c r="F787" s="11"/>
      <c r="G787" s="11"/>
      <c r="H787" s="11"/>
    </row>
    <row r="788">
      <c r="A788" s="4">
        <v>790.0</v>
      </c>
      <c r="C788" s="46"/>
      <c r="D788" s="11"/>
      <c r="E788" s="11"/>
      <c r="F788" s="11"/>
      <c r="G788" s="11"/>
      <c r="H788" s="11"/>
    </row>
    <row r="789">
      <c r="A789" s="4">
        <v>791.0</v>
      </c>
      <c r="C789" s="46"/>
      <c r="D789" s="11"/>
      <c r="E789" s="11"/>
      <c r="F789" s="11"/>
      <c r="G789" s="11"/>
      <c r="H789" s="11"/>
    </row>
    <row r="790">
      <c r="A790" s="4">
        <v>792.0</v>
      </c>
      <c r="C790" s="46"/>
      <c r="D790" s="11"/>
      <c r="E790" s="11"/>
      <c r="F790" s="11"/>
      <c r="G790" s="11"/>
      <c r="H790" s="11"/>
    </row>
    <row r="791">
      <c r="A791" s="4">
        <v>793.0</v>
      </c>
      <c r="C791" s="46"/>
      <c r="D791" s="11"/>
      <c r="E791" s="11"/>
      <c r="F791" s="11"/>
      <c r="G791" s="11"/>
      <c r="H791" s="11"/>
    </row>
    <row r="792">
      <c r="A792" s="4">
        <v>794.0</v>
      </c>
      <c r="C792" s="46"/>
      <c r="D792" s="11"/>
      <c r="E792" s="11"/>
      <c r="F792" s="11"/>
      <c r="G792" s="11"/>
      <c r="H792" s="11"/>
    </row>
    <row r="793">
      <c r="A793" s="4">
        <v>795.0</v>
      </c>
      <c r="C793" s="46"/>
      <c r="D793" s="11"/>
      <c r="E793" s="11"/>
      <c r="F793" s="11"/>
      <c r="G793" s="11"/>
      <c r="H793" s="11"/>
    </row>
    <row r="794">
      <c r="A794" s="4">
        <v>796.0</v>
      </c>
      <c r="C794" s="46"/>
      <c r="D794" s="11"/>
      <c r="E794" s="11"/>
      <c r="F794" s="11"/>
      <c r="G794" s="11"/>
      <c r="H794" s="11"/>
    </row>
    <row r="795">
      <c r="A795" s="4">
        <v>797.0</v>
      </c>
      <c r="C795" s="46"/>
      <c r="D795" s="11"/>
      <c r="E795" s="11"/>
      <c r="F795" s="11"/>
      <c r="G795" s="11"/>
      <c r="H795" s="11"/>
    </row>
    <row r="796">
      <c r="A796" s="4">
        <v>798.0</v>
      </c>
      <c r="C796" s="46"/>
      <c r="D796" s="11"/>
      <c r="E796" s="11"/>
      <c r="F796" s="11"/>
      <c r="G796" s="11"/>
      <c r="H796" s="11"/>
    </row>
    <row r="797">
      <c r="A797" s="4">
        <v>799.0</v>
      </c>
      <c r="C797" s="46"/>
      <c r="D797" s="11"/>
      <c r="E797" s="11"/>
      <c r="F797" s="11"/>
      <c r="G797" s="11"/>
      <c r="H797" s="11"/>
    </row>
    <row r="798">
      <c r="A798" s="4">
        <v>800.0</v>
      </c>
      <c r="C798" s="46"/>
      <c r="D798" s="11"/>
      <c r="E798" s="11"/>
      <c r="F798" s="11"/>
      <c r="G798" s="11"/>
      <c r="H798" s="11"/>
    </row>
    <row r="799">
      <c r="A799" s="4">
        <v>801.0</v>
      </c>
      <c r="C799" s="46"/>
      <c r="D799" s="11"/>
      <c r="E799" s="11"/>
      <c r="F799" s="11"/>
      <c r="G799" s="11"/>
      <c r="H799" s="11"/>
    </row>
    <row r="800">
      <c r="A800" s="4">
        <v>802.0</v>
      </c>
      <c r="C800" s="46"/>
      <c r="D800" s="11"/>
      <c r="E800" s="11"/>
      <c r="F800" s="11"/>
      <c r="G800" s="11"/>
      <c r="H800" s="11"/>
    </row>
    <row r="801">
      <c r="A801" s="4">
        <v>803.0</v>
      </c>
      <c r="C801" s="46"/>
      <c r="D801" s="11"/>
      <c r="E801" s="11"/>
      <c r="F801" s="11"/>
      <c r="G801" s="11"/>
      <c r="H801" s="11"/>
    </row>
    <row r="802">
      <c r="A802" s="4">
        <v>804.0</v>
      </c>
      <c r="C802" s="46"/>
      <c r="D802" s="11"/>
      <c r="E802" s="11"/>
      <c r="F802" s="11"/>
      <c r="G802" s="11"/>
      <c r="H802" s="11"/>
    </row>
    <row r="803">
      <c r="A803" s="4">
        <v>805.0</v>
      </c>
      <c r="C803" s="46"/>
      <c r="D803" s="11"/>
      <c r="E803" s="11"/>
      <c r="F803" s="11"/>
      <c r="G803" s="11"/>
      <c r="H803" s="11"/>
    </row>
    <row r="804">
      <c r="A804" s="4">
        <v>806.0</v>
      </c>
      <c r="C804" s="46"/>
      <c r="D804" s="11"/>
      <c r="E804" s="11"/>
      <c r="F804" s="11"/>
      <c r="G804" s="11"/>
      <c r="H804" s="11"/>
    </row>
    <row r="805">
      <c r="A805" s="4">
        <v>807.0</v>
      </c>
      <c r="C805" s="46"/>
      <c r="D805" s="11"/>
      <c r="E805" s="11"/>
      <c r="F805" s="11"/>
      <c r="G805" s="11"/>
      <c r="H805" s="11"/>
    </row>
    <row r="806">
      <c r="A806" s="4">
        <v>808.0</v>
      </c>
      <c r="C806" s="46"/>
      <c r="D806" s="11"/>
      <c r="E806" s="11"/>
      <c r="F806" s="11"/>
      <c r="G806" s="11"/>
      <c r="H806" s="11"/>
    </row>
    <row r="807">
      <c r="A807" s="4">
        <v>809.0</v>
      </c>
      <c r="C807" s="46"/>
      <c r="D807" s="11"/>
      <c r="E807" s="11"/>
      <c r="F807" s="11"/>
      <c r="G807" s="11"/>
      <c r="H807" s="11"/>
    </row>
    <row r="808">
      <c r="A808" s="4">
        <v>810.0</v>
      </c>
      <c r="C808" s="46"/>
      <c r="D808" s="11"/>
      <c r="E808" s="11"/>
      <c r="F808" s="11"/>
      <c r="G808" s="11"/>
      <c r="H808" s="11"/>
    </row>
    <row r="809">
      <c r="A809" s="4">
        <v>811.0</v>
      </c>
      <c r="C809" s="46"/>
      <c r="D809" s="11"/>
      <c r="E809" s="11"/>
      <c r="F809" s="11"/>
      <c r="G809" s="11"/>
      <c r="H809" s="11"/>
    </row>
    <row r="810">
      <c r="A810" s="4">
        <v>812.0</v>
      </c>
      <c r="C810" s="46"/>
      <c r="D810" s="11"/>
      <c r="E810" s="11"/>
      <c r="F810" s="11"/>
      <c r="G810" s="11"/>
      <c r="H810" s="11"/>
    </row>
    <row r="811">
      <c r="A811" s="4">
        <v>813.0</v>
      </c>
      <c r="C811" s="46"/>
      <c r="D811" s="11"/>
      <c r="E811" s="11"/>
      <c r="F811" s="11"/>
      <c r="G811" s="11"/>
      <c r="H811" s="11"/>
    </row>
    <row r="812">
      <c r="A812" s="4">
        <v>814.0</v>
      </c>
      <c r="C812" s="46"/>
      <c r="D812" s="11"/>
      <c r="E812" s="11"/>
      <c r="F812" s="11"/>
      <c r="G812" s="11"/>
      <c r="H812" s="11"/>
    </row>
    <row r="813">
      <c r="A813" s="4">
        <v>815.0</v>
      </c>
      <c r="C813" s="46"/>
      <c r="D813" s="11"/>
      <c r="E813" s="11"/>
      <c r="F813" s="11"/>
      <c r="G813" s="11"/>
      <c r="H813" s="11"/>
    </row>
    <row r="814">
      <c r="A814" s="4">
        <v>816.0</v>
      </c>
      <c r="C814" s="46"/>
      <c r="D814" s="11"/>
      <c r="E814" s="11"/>
      <c r="F814" s="11"/>
      <c r="G814" s="11"/>
      <c r="H814" s="11"/>
    </row>
    <row r="815">
      <c r="A815" s="4">
        <v>817.0</v>
      </c>
      <c r="C815" s="46"/>
      <c r="D815" s="11"/>
      <c r="E815" s="11"/>
      <c r="F815" s="11"/>
      <c r="G815" s="11"/>
      <c r="H815" s="11"/>
    </row>
    <row r="816">
      <c r="A816" s="4">
        <v>818.0</v>
      </c>
      <c r="C816" s="46"/>
      <c r="D816" s="11"/>
      <c r="E816" s="11"/>
      <c r="F816" s="11"/>
      <c r="G816" s="11"/>
      <c r="H816" s="11"/>
    </row>
    <row r="817">
      <c r="A817" s="4">
        <v>819.0</v>
      </c>
      <c r="C817" s="46"/>
      <c r="D817" s="11"/>
      <c r="E817" s="11"/>
      <c r="F817" s="11"/>
      <c r="G817" s="11"/>
      <c r="H817" s="11"/>
    </row>
    <row r="818">
      <c r="A818" s="4">
        <v>820.0</v>
      </c>
      <c r="C818" s="46"/>
      <c r="D818" s="11"/>
      <c r="E818" s="11"/>
      <c r="F818" s="11"/>
      <c r="G818" s="11"/>
      <c r="H818" s="11"/>
    </row>
    <row r="819">
      <c r="A819" s="4">
        <v>821.0</v>
      </c>
      <c r="C819" s="46"/>
      <c r="D819" s="11"/>
      <c r="E819" s="11"/>
      <c r="F819" s="11"/>
      <c r="G819" s="11"/>
      <c r="H819" s="11"/>
    </row>
    <row r="820">
      <c r="A820" s="4">
        <v>822.0</v>
      </c>
      <c r="C820" s="46"/>
      <c r="D820" s="11"/>
      <c r="E820" s="11"/>
      <c r="F820" s="11"/>
      <c r="G820" s="11"/>
      <c r="H820" s="11"/>
    </row>
    <row r="821">
      <c r="A821" s="4">
        <v>823.0</v>
      </c>
      <c r="C821" s="46"/>
      <c r="D821" s="11"/>
      <c r="E821" s="11"/>
      <c r="F821" s="11"/>
      <c r="G821" s="11"/>
      <c r="H821" s="11"/>
    </row>
    <row r="822">
      <c r="A822" s="4">
        <v>824.0</v>
      </c>
      <c r="C822" s="46"/>
      <c r="D822" s="11"/>
      <c r="E822" s="11"/>
      <c r="F822" s="11"/>
      <c r="G822" s="11"/>
      <c r="H822" s="11"/>
    </row>
    <row r="823">
      <c r="A823" s="4">
        <v>825.0</v>
      </c>
      <c r="C823" s="46"/>
      <c r="D823" s="11"/>
      <c r="E823" s="11"/>
      <c r="F823" s="11"/>
      <c r="G823" s="11"/>
      <c r="H823" s="11"/>
    </row>
    <row r="824">
      <c r="A824" s="4">
        <v>826.0</v>
      </c>
      <c r="C824" s="46"/>
      <c r="D824" s="11"/>
      <c r="E824" s="11"/>
      <c r="F824" s="11"/>
      <c r="G824" s="11"/>
      <c r="H824" s="11"/>
    </row>
    <row r="825">
      <c r="A825" s="4">
        <v>827.0</v>
      </c>
      <c r="C825" s="46"/>
      <c r="D825" s="11"/>
      <c r="E825" s="11"/>
      <c r="F825" s="11"/>
      <c r="G825" s="11"/>
      <c r="H825" s="11"/>
    </row>
    <row r="826">
      <c r="A826" s="4">
        <v>828.0</v>
      </c>
      <c r="C826" s="46"/>
      <c r="D826" s="11"/>
      <c r="E826" s="11"/>
      <c r="F826" s="11"/>
      <c r="G826" s="11"/>
      <c r="H826" s="11"/>
    </row>
    <row r="827">
      <c r="A827" s="4">
        <v>829.0</v>
      </c>
      <c r="C827" s="46"/>
      <c r="D827" s="11"/>
      <c r="E827" s="11"/>
      <c r="F827" s="11"/>
      <c r="G827" s="11"/>
      <c r="H827" s="11"/>
    </row>
    <row r="828">
      <c r="A828" s="4">
        <v>830.0</v>
      </c>
      <c r="C828" s="46"/>
      <c r="D828" s="11"/>
      <c r="E828" s="11"/>
      <c r="F828" s="11"/>
      <c r="G828" s="11"/>
      <c r="H828" s="11"/>
    </row>
    <row r="829">
      <c r="A829" s="4">
        <v>831.0</v>
      </c>
      <c r="C829" s="46"/>
      <c r="D829" s="11"/>
      <c r="E829" s="11"/>
      <c r="F829" s="11"/>
      <c r="G829" s="11"/>
      <c r="H829" s="11"/>
    </row>
    <row r="830">
      <c r="A830" s="4">
        <v>832.0</v>
      </c>
      <c r="C830" s="46"/>
      <c r="D830" s="11"/>
      <c r="E830" s="11"/>
      <c r="F830" s="11"/>
      <c r="G830" s="11"/>
      <c r="H830" s="11"/>
    </row>
    <row r="831">
      <c r="A831" s="4">
        <v>833.0</v>
      </c>
      <c r="C831" s="46"/>
      <c r="D831" s="11"/>
      <c r="E831" s="11"/>
      <c r="F831" s="11"/>
      <c r="G831" s="11"/>
      <c r="H831" s="11"/>
    </row>
    <row r="832">
      <c r="A832" s="4">
        <v>834.0</v>
      </c>
      <c r="C832" s="46"/>
      <c r="D832" s="11"/>
      <c r="E832" s="11"/>
      <c r="F832" s="11"/>
      <c r="G832" s="11"/>
      <c r="H832" s="11"/>
    </row>
    <row r="833">
      <c r="A833" s="4">
        <v>835.0</v>
      </c>
      <c r="C833" s="46"/>
      <c r="D833" s="11"/>
      <c r="E833" s="11"/>
      <c r="F833" s="11"/>
      <c r="G833" s="11"/>
      <c r="H833" s="11"/>
    </row>
    <row r="834">
      <c r="A834" s="4">
        <v>836.0</v>
      </c>
      <c r="C834" s="46"/>
      <c r="D834" s="11"/>
      <c r="E834" s="11"/>
      <c r="F834" s="11"/>
      <c r="G834" s="11"/>
      <c r="H834" s="11"/>
    </row>
    <row r="835">
      <c r="A835" s="4">
        <v>837.0</v>
      </c>
      <c r="C835" s="46"/>
      <c r="D835" s="11"/>
      <c r="E835" s="11"/>
      <c r="F835" s="11"/>
      <c r="G835" s="11"/>
      <c r="H835" s="11"/>
    </row>
    <row r="836">
      <c r="A836" s="4">
        <v>838.0</v>
      </c>
      <c r="C836" s="46"/>
      <c r="D836" s="11"/>
      <c r="E836" s="11"/>
      <c r="F836" s="11"/>
      <c r="G836" s="11"/>
      <c r="H836" s="11"/>
    </row>
    <row r="837">
      <c r="A837" s="4">
        <v>839.0</v>
      </c>
      <c r="C837" s="46"/>
      <c r="D837" s="11"/>
      <c r="E837" s="11"/>
      <c r="F837" s="11"/>
      <c r="G837" s="11"/>
      <c r="H837" s="11"/>
    </row>
    <row r="838">
      <c r="A838" s="4">
        <v>840.0</v>
      </c>
      <c r="C838" s="46"/>
      <c r="D838" s="11"/>
      <c r="E838" s="11"/>
      <c r="F838" s="11"/>
      <c r="G838" s="11"/>
      <c r="H838" s="11"/>
    </row>
    <row r="839">
      <c r="A839" s="4">
        <v>841.0</v>
      </c>
      <c r="C839" s="46"/>
      <c r="D839" s="11"/>
      <c r="E839" s="11"/>
      <c r="F839" s="11"/>
      <c r="G839" s="11"/>
      <c r="H839" s="11"/>
    </row>
    <row r="840">
      <c r="A840" s="4">
        <v>842.0</v>
      </c>
      <c r="C840" s="46"/>
      <c r="D840" s="11"/>
      <c r="E840" s="11"/>
      <c r="F840" s="11"/>
      <c r="G840" s="11"/>
      <c r="H840" s="11"/>
    </row>
    <row r="841">
      <c r="A841" s="4">
        <v>843.0</v>
      </c>
      <c r="C841" s="46"/>
      <c r="D841" s="11"/>
      <c r="E841" s="11"/>
      <c r="F841" s="11"/>
      <c r="G841" s="11"/>
      <c r="H841" s="11"/>
    </row>
    <row r="842">
      <c r="A842" s="4">
        <v>844.0</v>
      </c>
      <c r="C842" s="46"/>
      <c r="D842" s="11"/>
      <c r="E842" s="11"/>
      <c r="F842" s="11"/>
      <c r="G842" s="11"/>
      <c r="H842" s="11"/>
    </row>
    <row r="843">
      <c r="A843" s="4">
        <v>845.0</v>
      </c>
      <c r="C843" s="46"/>
      <c r="D843" s="11"/>
      <c r="E843" s="11"/>
      <c r="F843" s="11"/>
      <c r="G843" s="11"/>
      <c r="H843" s="11"/>
    </row>
    <row r="844">
      <c r="A844" s="4">
        <v>846.0</v>
      </c>
      <c r="C844" s="46"/>
      <c r="D844" s="11"/>
      <c r="E844" s="11"/>
      <c r="F844" s="11"/>
      <c r="G844" s="11"/>
      <c r="H844" s="11"/>
    </row>
    <row r="845">
      <c r="A845" s="4">
        <v>847.0</v>
      </c>
      <c r="C845" s="46"/>
      <c r="D845" s="11"/>
      <c r="E845" s="11"/>
      <c r="F845" s="11"/>
      <c r="G845" s="11"/>
      <c r="H845" s="11"/>
    </row>
    <row r="846">
      <c r="A846" s="4">
        <v>848.0</v>
      </c>
      <c r="C846" s="46"/>
      <c r="D846" s="11"/>
      <c r="E846" s="11"/>
      <c r="F846" s="11"/>
      <c r="G846" s="11"/>
      <c r="H846" s="11"/>
    </row>
    <row r="847">
      <c r="A847" s="4">
        <v>849.0</v>
      </c>
      <c r="C847" s="46"/>
      <c r="D847" s="11"/>
      <c r="E847" s="11"/>
      <c r="F847" s="11"/>
      <c r="G847" s="11"/>
      <c r="H847" s="11"/>
    </row>
    <row r="848">
      <c r="A848" s="4">
        <v>850.0</v>
      </c>
      <c r="C848" s="46"/>
      <c r="D848" s="11"/>
      <c r="E848" s="11"/>
      <c r="F848" s="11"/>
      <c r="G848" s="11"/>
      <c r="H848" s="11"/>
    </row>
    <row r="849">
      <c r="A849" s="4">
        <v>851.0</v>
      </c>
      <c r="C849" s="46"/>
      <c r="D849" s="11"/>
      <c r="E849" s="11"/>
      <c r="F849" s="11"/>
      <c r="G849" s="11"/>
      <c r="H849" s="11"/>
    </row>
    <row r="850">
      <c r="A850" s="4">
        <v>852.0</v>
      </c>
      <c r="C850" s="46"/>
      <c r="D850" s="11"/>
      <c r="E850" s="11"/>
      <c r="F850" s="11"/>
      <c r="G850" s="11"/>
      <c r="H850" s="11"/>
    </row>
    <row r="851">
      <c r="A851" s="4">
        <v>853.0</v>
      </c>
      <c r="C851" s="46"/>
      <c r="D851" s="11"/>
      <c r="E851" s="11"/>
      <c r="F851" s="11"/>
      <c r="G851" s="11"/>
      <c r="H851" s="11"/>
    </row>
    <row r="852">
      <c r="A852" s="4">
        <v>854.0</v>
      </c>
      <c r="C852" s="46"/>
      <c r="D852" s="11"/>
      <c r="E852" s="11"/>
      <c r="F852" s="11"/>
      <c r="G852" s="11"/>
      <c r="H852" s="11"/>
    </row>
    <row r="853">
      <c r="A853" s="4">
        <v>855.0</v>
      </c>
      <c r="C853" s="46"/>
      <c r="D853" s="11"/>
      <c r="E853" s="11"/>
      <c r="F853" s="11"/>
      <c r="G853" s="11"/>
      <c r="H853" s="11"/>
    </row>
    <row r="854">
      <c r="A854" s="4">
        <v>856.0</v>
      </c>
      <c r="C854" s="46"/>
      <c r="D854" s="11"/>
      <c r="E854" s="11"/>
      <c r="F854" s="11"/>
      <c r="G854" s="11"/>
      <c r="H854" s="11"/>
    </row>
    <row r="855">
      <c r="A855" s="4">
        <v>857.0</v>
      </c>
      <c r="C855" s="46"/>
      <c r="D855" s="11"/>
      <c r="E855" s="11"/>
      <c r="F855" s="11"/>
      <c r="G855" s="11"/>
      <c r="H855" s="11"/>
    </row>
    <row r="856">
      <c r="A856" s="4">
        <v>858.0</v>
      </c>
      <c r="C856" s="46"/>
      <c r="D856" s="11"/>
      <c r="E856" s="11"/>
      <c r="F856" s="11"/>
      <c r="G856" s="11"/>
      <c r="H856" s="11"/>
    </row>
    <row r="857">
      <c r="A857" s="4">
        <v>859.0</v>
      </c>
      <c r="C857" s="46"/>
      <c r="D857" s="11"/>
      <c r="E857" s="11"/>
      <c r="F857" s="11"/>
      <c r="G857" s="11"/>
      <c r="H857" s="11"/>
    </row>
    <row r="858">
      <c r="A858" s="4">
        <v>860.0</v>
      </c>
      <c r="C858" s="46"/>
      <c r="D858" s="11"/>
      <c r="E858" s="11"/>
      <c r="F858" s="11"/>
      <c r="G858" s="11"/>
      <c r="H858" s="11"/>
    </row>
    <row r="859">
      <c r="A859" s="4">
        <v>861.0</v>
      </c>
      <c r="C859" s="46"/>
      <c r="D859" s="11"/>
      <c r="E859" s="11"/>
      <c r="F859" s="11"/>
      <c r="G859" s="11"/>
      <c r="H859" s="11"/>
    </row>
    <row r="860">
      <c r="A860" s="4">
        <v>862.0</v>
      </c>
      <c r="C860" s="46"/>
      <c r="D860" s="11"/>
      <c r="E860" s="11"/>
      <c r="F860" s="11"/>
      <c r="G860" s="11"/>
      <c r="H860" s="11"/>
    </row>
    <row r="861">
      <c r="A861" s="4">
        <v>863.0</v>
      </c>
      <c r="C861" s="46"/>
      <c r="D861" s="11"/>
      <c r="E861" s="11"/>
      <c r="F861" s="11"/>
      <c r="G861" s="11"/>
      <c r="H861" s="11"/>
    </row>
    <row r="862">
      <c r="A862" s="4">
        <v>864.0</v>
      </c>
      <c r="C862" s="46"/>
      <c r="D862" s="11"/>
      <c r="E862" s="11"/>
      <c r="F862" s="11"/>
      <c r="G862" s="11"/>
      <c r="H862" s="11"/>
    </row>
    <row r="863">
      <c r="A863" s="4">
        <v>865.0</v>
      </c>
      <c r="C863" s="46"/>
      <c r="D863" s="11"/>
      <c r="E863" s="11"/>
      <c r="F863" s="11"/>
      <c r="G863" s="11"/>
      <c r="H863" s="11"/>
    </row>
    <row r="864">
      <c r="A864" s="4">
        <v>866.0</v>
      </c>
      <c r="C864" s="46"/>
      <c r="D864" s="11"/>
      <c r="E864" s="11"/>
      <c r="F864" s="11"/>
      <c r="G864" s="11"/>
      <c r="H864" s="11"/>
    </row>
    <row r="865">
      <c r="A865" s="4">
        <v>867.0</v>
      </c>
      <c r="C865" s="46"/>
      <c r="D865" s="11"/>
      <c r="E865" s="11"/>
      <c r="F865" s="11"/>
      <c r="G865" s="11"/>
      <c r="H865" s="11"/>
    </row>
    <row r="866">
      <c r="A866" s="4">
        <v>868.0</v>
      </c>
      <c r="C866" s="46"/>
      <c r="D866" s="11"/>
      <c r="E866" s="11"/>
      <c r="F866" s="11"/>
      <c r="G866" s="11"/>
      <c r="H866" s="11"/>
    </row>
    <row r="867">
      <c r="A867" s="4">
        <v>869.0</v>
      </c>
      <c r="C867" s="46"/>
      <c r="D867" s="11"/>
      <c r="E867" s="11"/>
      <c r="F867" s="11"/>
      <c r="G867" s="11"/>
      <c r="H867" s="11"/>
    </row>
    <row r="868">
      <c r="A868" s="4">
        <v>870.0</v>
      </c>
      <c r="C868" s="46"/>
      <c r="D868" s="11"/>
      <c r="E868" s="11"/>
      <c r="F868" s="11"/>
      <c r="G868" s="11"/>
      <c r="H868" s="11"/>
    </row>
    <row r="869">
      <c r="A869" s="4">
        <v>871.0</v>
      </c>
      <c r="C869" s="46"/>
      <c r="D869" s="11"/>
      <c r="E869" s="11"/>
      <c r="F869" s="11"/>
      <c r="G869" s="11"/>
      <c r="H869" s="11"/>
    </row>
    <row r="870">
      <c r="A870" s="4">
        <v>872.0</v>
      </c>
      <c r="C870" s="46"/>
      <c r="D870" s="11"/>
      <c r="E870" s="11"/>
      <c r="F870" s="11"/>
      <c r="G870" s="11"/>
      <c r="H870" s="11"/>
    </row>
    <row r="871">
      <c r="A871" s="4">
        <v>873.0</v>
      </c>
      <c r="C871" s="46"/>
      <c r="D871" s="11"/>
      <c r="E871" s="11"/>
      <c r="F871" s="11"/>
      <c r="G871" s="11"/>
      <c r="H871" s="11"/>
    </row>
    <row r="872">
      <c r="A872" s="4">
        <v>874.0</v>
      </c>
      <c r="C872" s="46"/>
      <c r="D872" s="11"/>
      <c r="E872" s="11"/>
      <c r="F872" s="11"/>
      <c r="G872" s="11"/>
      <c r="H872" s="11"/>
    </row>
    <row r="873">
      <c r="A873" s="4">
        <v>875.0</v>
      </c>
      <c r="C873" s="46"/>
      <c r="D873" s="11"/>
      <c r="E873" s="11"/>
      <c r="F873" s="11"/>
      <c r="G873" s="11"/>
      <c r="H873" s="11"/>
    </row>
    <row r="874">
      <c r="A874" s="4">
        <v>876.0</v>
      </c>
      <c r="C874" s="46"/>
      <c r="D874" s="11"/>
      <c r="E874" s="11"/>
      <c r="F874" s="11"/>
      <c r="G874" s="11"/>
      <c r="H874" s="11"/>
    </row>
    <row r="875">
      <c r="A875" s="4">
        <v>877.0</v>
      </c>
      <c r="C875" s="46"/>
      <c r="D875" s="11"/>
      <c r="E875" s="11"/>
      <c r="F875" s="11"/>
      <c r="G875" s="11"/>
      <c r="H875" s="11"/>
    </row>
    <row r="876">
      <c r="A876" s="4">
        <v>878.0</v>
      </c>
      <c r="C876" s="46"/>
      <c r="D876" s="11"/>
      <c r="E876" s="11"/>
      <c r="F876" s="11"/>
      <c r="G876" s="11"/>
      <c r="H876" s="11"/>
    </row>
    <row r="877">
      <c r="A877" s="4">
        <v>879.0</v>
      </c>
      <c r="C877" s="46"/>
      <c r="D877" s="11"/>
      <c r="E877" s="11"/>
      <c r="F877" s="11"/>
      <c r="G877" s="11"/>
      <c r="H877" s="11"/>
    </row>
    <row r="878">
      <c r="A878" s="4">
        <v>880.0</v>
      </c>
      <c r="C878" s="46"/>
      <c r="D878" s="11"/>
      <c r="E878" s="11"/>
      <c r="F878" s="11"/>
      <c r="G878" s="11"/>
      <c r="H878" s="11"/>
    </row>
    <row r="879">
      <c r="A879" s="4">
        <v>881.0</v>
      </c>
      <c r="C879" s="46"/>
      <c r="D879" s="11"/>
      <c r="E879" s="11"/>
      <c r="F879" s="11"/>
      <c r="G879" s="11"/>
      <c r="H879" s="11"/>
    </row>
    <row r="880">
      <c r="A880" s="4">
        <v>882.0</v>
      </c>
      <c r="C880" s="46"/>
      <c r="D880" s="11"/>
      <c r="E880" s="11"/>
      <c r="F880" s="11"/>
      <c r="G880" s="11"/>
      <c r="H880" s="11"/>
    </row>
    <row r="881">
      <c r="A881" s="4">
        <v>883.0</v>
      </c>
      <c r="C881" s="46"/>
      <c r="D881" s="11"/>
      <c r="E881" s="11"/>
      <c r="F881" s="11"/>
      <c r="G881" s="11"/>
      <c r="H881" s="11"/>
    </row>
    <row r="882">
      <c r="A882" s="4">
        <v>884.0</v>
      </c>
      <c r="C882" s="46"/>
      <c r="D882" s="11"/>
      <c r="E882" s="11"/>
      <c r="F882" s="11"/>
      <c r="G882" s="11"/>
      <c r="H882" s="11"/>
    </row>
    <row r="883">
      <c r="A883" s="4">
        <v>885.0</v>
      </c>
      <c r="C883" s="46"/>
      <c r="D883" s="11"/>
      <c r="E883" s="11"/>
      <c r="F883" s="11"/>
      <c r="G883" s="11"/>
      <c r="H883" s="11"/>
    </row>
    <row r="884">
      <c r="A884" s="4">
        <v>886.0</v>
      </c>
      <c r="C884" s="46"/>
      <c r="D884" s="11"/>
      <c r="E884" s="11"/>
      <c r="F884" s="11"/>
      <c r="G884" s="11"/>
      <c r="H884" s="11"/>
    </row>
    <row r="885">
      <c r="A885" s="4">
        <v>887.0</v>
      </c>
      <c r="C885" s="46"/>
      <c r="D885" s="11"/>
      <c r="E885" s="11"/>
      <c r="F885" s="11"/>
      <c r="G885" s="11"/>
      <c r="H885" s="11"/>
    </row>
    <row r="886">
      <c r="A886" s="4">
        <v>888.0</v>
      </c>
      <c r="C886" s="46"/>
      <c r="D886" s="11"/>
      <c r="E886" s="11"/>
      <c r="F886" s="11"/>
      <c r="G886" s="11"/>
      <c r="H886" s="11"/>
    </row>
    <row r="887">
      <c r="A887" s="4">
        <v>889.0</v>
      </c>
      <c r="C887" s="46"/>
      <c r="D887" s="11"/>
      <c r="E887" s="11"/>
      <c r="F887" s="11"/>
      <c r="G887" s="11"/>
      <c r="H887" s="11"/>
    </row>
    <row r="888">
      <c r="A888" s="4">
        <v>890.0</v>
      </c>
      <c r="C888" s="46"/>
      <c r="D888" s="11"/>
      <c r="E888" s="11"/>
      <c r="F888" s="11"/>
      <c r="G888" s="11"/>
      <c r="H888" s="11"/>
    </row>
    <row r="889">
      <c r="A889" s="4">
        <v>891.0</v>
      </c>
      <c r="C889" s="46"/>
      <c r="D889" s="11"/>
      <c r="E889" s="11"/>
      <c r="F889" s="11"/>
      <c r="G889" s="11"/>
      <c r="H889" s="11"/>
    </row>
    <row r="890">
      <c r="A890" s="4">
        <v>892.0</v>
      </c>
      <c r="C890" s="46"/>
      <c r="D890" s="11"/>
      <c r="E890" s="11"/>
      <c r="F890" s="11"/>
      <c r="G890" s="11"/>
      <c r="H890" s="11"/>
    </row>
    <row r="891">
      <c r="A891" s="4">
        <v>893.0</v>
      </c>
      <c r="C891" s="46"/>
      <c r="D891" s="11"/>
      <c r="E891" s="11"/>
      <c r="F891" s="11"/>
      <c r="G891" s="11"/>
      <c r="H891" s="11"/>
    </row>
    <row r="892">
      <c r="A892" s="4">
        <v>894.0</v>
      </c>
      <c r="C892" s="46"/>
      <c r="D892" s="11"/>
      <c r="E892" s="11"/>
      <c r="F892" s="11"/>
      <c r="G892" s="11"/>
      <c r="H892" s="11"/>
    </row>
    <row r="893">
      <c r="A893" s="4">
        <v>895.0</v>
      </c>
      <c r="C893" s="46"/>
      <c r="D893" s="11"/>
      <c r="E893" s="11"/>
      <c r="F893" s="11"/>
      <c r="G893" s="11"/>
      <c r="H893" s="11"/>
    </row>
    <row r="894">
      <c r="A894" s="4">
        <v>896.0</v>
      </c>
      <c r="C894" s="46"/>
      <c r="D894" s="11"/>
      <c r="E894" s="11"/>
      <c r="F894" s="11"/>
      <c r="G894" s="11"/>
      <c r="H894" s="11"/>
    </row>
    <row r="895">
      <c r="A895" s="4">
        <v>897.0</v>
      </c>
      <c r="C895" s="46"/>
      <c r="D895" s="11"/>
      <c r="E895" s="11"/>
      <c r="F895" s="11"/>
      <c r="G895" s="11"/>
      <c r="H895" s="11"/>
    </row>
    <row r="896">
      <c r="A896" s="4">
        <v>898.0</v>
      </c>
      <c r="C896" s="46"/>
      <c r="D896" s="11"/>
      <c r="E896" s="11"/>
      <c r="F896" s="11"/>
      <c r="G896" s="11"/>
      <c r="H896" s="11"/>
    </row>
    <row r="897">
      <c r="A897" s="4">
        <v>899.0</v>
      </c>
      <c r="C897" s="46"/>
      <c r="D897" s="11"/>
      <c r="E897" s="11"/>
      <c r="F897" s="11"/>
      <c r="G897" s="11"/>
      <c r="H897" s="11"/>
    </row>
    <row r="898">
      <c r="A898" s="4">
        <v>900.0</v>
      </c>
      <c r="C898" s="46"/>
      <c r="D898" s="11"/>
      <c r="E898" s="11"/>
      <c r="F898" s="11"/>
      <c r="G898" s="11"/>
      <c r="H898" s="11"/>
    </row>
    <row r="899">
      <c r="A899" s="4">
        <v>901.0</v>
      </c>
      <c r="C899" s="46"/>
      <c r="D899" s="11"/>
      <c r="E899" s="11"/>
      <c r="F899" s="11"/>
      <c r="G899" s="11"/>
      <c r="H899" s="11"/>
    </row>
    <row r="900">
      <c r="A900" s="4">
        <v>902.0</v>
      </c>
      <c r="C900" s="46"/>
      <c r="D900" s="11"/>
      <c r="E900" s="11"/>
      <c r="F900" s="11"/>
      <c r="G900" s="11"/>
      <c r="H900" s="11"/>
    </row>
    <row r="901">
      <c r="A901" s="4">
        <v>903.0</v>
      </c>
      <c r="C901" s="46"/>
      <c r="D901" s="11"/>
      <c r="E901" s="11"/>
      <c r="F901" s="11"/>
      <c r="G901" s="11"/>
      <c r="H901" s="11"/>
    </row>
    <row r="902">
      <c r="A902" s="4">
        <v>904.0</v>
      </c>
      <c r="C902" s="46"/>
      <c r="D902" s="11"/>
      <c r="E902" s="11"/>
      <c r="F902" s="11"/>
      <c r="G902" s="11"/>
      <c r="H902" s="11"/>
    </row>
    <row r="903">
      <c r="A903" s="4">
        <v>905.0</v>
      </c>
      <c r="C903" s="46"/>
      <c r="D903" s="11"/>
      <c r="E903" s="11"/>
      <c r="F903" s="11"/>
      <c r="G903" s="11"/>
      <c r="H903" s="11"/>
    </row>
    <row r="904">
      <c r="A904" s="4">
        <v>906.0</v>
      </c>
      <c r="C904" s="46"/>
      <c r="D904" s="11"/>
      <c r="E904" s="11"/>
      <c r="F904" s="11"/>
      <c r="G904" s="11"/>
      <c r="H904" s="11"/>
    </row>
    <row r="905">
      <c r="A905" s="4">
        <v>907.0</v>
      </c>
      <c r="C905" s="46"/>
      <c r="D905" s="11"/>
      <c r="E905" s="11"/>
      <c r="F905" s="11"/>
      <c r="G905" s="11"/>
      <c r="H905" s="11"/>
    </row>
    <row r="906">
      <c r="A906" s="4">
        <v>908.0</v>
      </c>
      <c r="C906" s="46"/>
      <c r="D906" s="11"/>
      <c r="E906" s="11"/>
      <c r="F906" s="11"/>
      <c r="G906" s="11"/>
      <c r="H906" s="11"/>
    </row>
    <row r="907">
      <c r="A907" s="4">
        <v>909.0</v>
      </c>
      <c r="C907" s="46"/>
      <c r="D907" s="11"/>
      <c r="E907" s="11"/>
      <c r="F907" s="11"/>
      <c r="G907" s="11"/>
      <c r="H907" s="11"/>
    </row>
    <row r="908">
      <c r="A908" s="4">
        <v>910.0</v>
      </c>
      <c r="C908" s="46"/>
      <c r="D908" s="11"/>
      <c r="E908" s="11"/>
      <c r="F908" s="11"/>
      <c r="G908" s="11"/>
      <c r="H908" s="11"/>
    </row>
    <row r="909">
      <c r="A909" s="4">
        <v>911.0</v>
      </c>
      <c r="C909" s="46"/>
      <c r="D909" s="11"/>
      <c r="E909" s="11"/>
      <c r="F909" s="11"/>
      <c r="G909" s="11"/>
      <c r="H909" s="11"/>
    </row>
    <row r="910">
      <c r="A910" s="4">
        <v>912.0</v>
      </c>
      <c r="C910" s="46"/>
      <c r="D910" s="11"/>
      <c r="E910" s="11"/>
      <c r="F910" s="11"/>
      <c r="G910" s="11"/>
      <c r="H910" s="11"/>
    </row>
    <row r="911">
      <c r="A911" s="4">
        <v>913.0</v>
      </c>
      <c r="C911" s="46"/>
      <c r="D911" s="11"/>
      <c r="E911" s="11"/>
      <c r="F911" s="11"/>
      <c r="G911" s="11"/>
      <c r="H911" s="11"/>
    </row>
    <row r="912">
      <c r="A912" s="4">
        <v>914.0</v>
      </c>
      <c r="C912" s="46"/>
      <c r="D912" s="11"/>
      <c r="E912" s="11"/>
      <c r="F912" s="11"/>
      <c r="G912" s="11"/>
      <c r="H912" s="11"/>
    </row>
    <row r="913">
      <c r="A913" s="4">
        <v>915.0</v>
      </c>
      <c r="C913" s="46"/>
      <c r="D913" s="11"/>
      <c r="E913" s="11"/>
      <c r="F913" s="11"/>
      <c r="G913" s="11"/>
      <c r="H913" s="11"/>
    </row>
    <row r="914">
      <c r="A914" s="4">
        <v>916.0</v>
      </c>
      <c r="C914" s="46"/>
      <c r="D914" s="11"/>
      <c r="E914" s="11"/>
      <c r="F914" s="11"/>
      <c r="G914" s="11"/>
      <c r="H914" s="11"/>
    </row>
    <row r="915">
      <c r="A915" s="4">
        <v>917.0</v>
      </c>
      <c r="C915" s="46"/>
      <c r="D915" s="11"/>
      <c r="E915" s="11"/>
      <c r="F915" s="11"/>
      <c r="G915" s="11"/>
      <c r="H915" s="11"/>
    </row>
    <row r="916">
      <c r="A916" s="4">
        <v>918.0</v>
      </c>
      <c r="C916" s="46"/>
      <c r="D916" s="11"/>
      <c r="E916" s="11"/>
      <c r="F916" s="11"/>
      <c r="G916" s="11"/>
      <c r="H916" s="11"/>
    </row>
    <row r="917">
      <c r="A917" s="4">
        <v>919.0</v>
      </c>
      <c r="C917" s="46"/>
      <c r="D917" s="11"/>
      <c r="E917" s="11"/>
      <c r="F917" s="11"/>
      <c r="G917" s="11"/>
      <c r="H917" s="11"/>
    </row>
    <row r="918">
      <c r="A918" s="4">
        <v>920.0</v>
      </c>
      <c r="C918" s="46"/>
      <c r="D918" s="11"/>
      <c r="E918" s="11"/>
      <c r="F918" s="11"/>
      <c r="G918" s="11"/>
      <c r="H918" s="11"/>
    </row>
    <row r="919">
      <c r="A919" s="4">
        <v>921.0</v>
      </c>
      <c r="C919" s="46"/>
      <c r="D919" s="11"/>
      <c r="E919" s="11"/>
      <c r="F919" s="11"/>
      <c r="G919" s="11"/>
      <c r="H919" s="11"/>
    </row>
    <row r="920">
      <c r="A920" s="4">
        <v>922.0</v>
      </c>
      <c r="C920" s="46"/>
      <c r="D920" s="11"/>
      <c r="E920" s="11"/>
      <c r="F920" s="11"/>
      <c r="G920" s="11"/>
      <c r="H920" s="11"/>
    </row>
    <row r="921">
      <c r="A921" s="4">
        <v>923.0</v>
      </c>
      <c r="C921" s="46"/>
      <c r="D921" s="11"/>
      <c r="E921" s="11"/>
      <c r="F921" s="11"/>
      <c r="G921" s="11"/>
      <c r="H921" s="11"/>
    </row>
    <row r="922">
      <c r="A922" s="4">
        <v>924.0</v>
      </c>
      <c r="C922" s="46"/>
      <c r="D922" s="11"/>
      <c r="E922" s="11"/>
      <c r="F922" s="11"/>
      <c r="G922" s="11"/>
      <c r="H922" s="11"/>
    </row>
    <row r="923">
      <c r="A923" s="4">
        <v>925.0</v>
      </c>
      <c r="C923" s="46"/>
      <c r="D923" s="11"/>
      <c r="E923" s="11"/>
      <c r="F923" s="11"/>
      <c r="G923" s="11"/>
      <c r="H923" s="11"/>
    </row>
    <row r="924">
      <c r="A924" s="4">
        <v>926.0</v>
      </c>
      <c r="C924" s="46"/>
      <c r="D924" s="11"/>
      <c r="E924" s="11"/>
      <c r="F924" s="11"/>
      <c r="G924" s="11"/>
      <c r="H924" s="11"/>
    </row>
    <row r="925">
      <c r="A925" s="4">
        <v>927.0</v>
      </c>
      <c r="C925" s="46"/>
      <c r="D925" s="11"/>
      <c r="E925" s="11"/>
      <c r="F925" s="11"/>
      <c r="G925" s="11"/>
      <c r="H925" s="11"/>
    </row>
    <row r="926">
      <c r="A926" s="4">
        <v>928.0</v>
      </c>
      <c r="C926" s="46"/>
      <c r="D926" s="11"/>
      <c r="E926" s="11"/>
      <c r="F926" s="11"/>
      <c r="G926" s="11"/>
      <c r="H926" s="11"/>
    </row>
    <row r="927">
      <c r="A927" s="4">
        <v>929.0</v>
      </c>
      <c r="C927" s="46"/>
      <c r="D927" s="11"/>
      <c r="E927" s="11"/>
      <c r="F927" s="11"/>
      <c r="G927" s="11"/>
      <c r="H927" s="11"/>
    </row>
    <row r="928">
      <c r="A928" s="4">
        <v>930.0</v>
      </c>
      <c r="C928" s="46"/>
      <c r="D928" s="11"/>
      <c r="E928" s="11"/>
      <c r="F928" s="11"/>
      <c r="G928" s="11"/>
      <c r="H928" s="11"/>
    </row>
    <row r="929">
      <c r="A929" s="4">
        <v>931.0</v>
      </c>
      <c r="C929" s="46"/>
      <c r="D929" s="11"/>
      <c r="E929" s="11"/>
      <c r="F929" s="11"/>
      <c r="G929" s="11"/>
      <c r="H929" s="11"/>
    </row>
    <row r="930">
      <c r="A930" s="4">
        <v>932.0</v>
      </c>
      <c r="C930" s="46"/>
      <c r="D930" s="11"/>
      <c r="E930" s="11"/>
      <c r="F930" s="11"/>
      <c r="G930" s="11"/>
      <c r="H930" s="11"/>
    </row>
    <row r="931">
      <c r="A931" s="4">
        <v>933.0</v>
      </c>
      <c r="C931" s="46"/>
      <c r="D931" s="11"/>
      <c r="E931" s="11"/>
      <c r="F931" s="11"/>
      <c r="G931" s="11"/>
      <c r="H931" s="11"/>
    </row>
    <row r="932">
      <c r="A932" s="4">
        <v>934.0</v>
      </c>
      <c r="C932" s="46"/>
      <c r="D932" s="11"/>
      <c r="E932" s="11"/>
      <c r="F932" s="11"/>
      <c r="G932" s="11"/>
      <c r="H932" s="11"/>
    </row>
    <row r="933">
      <c r="A933" s="4">
        <v>935.0</v>
      </c>
      <c r="C933" s="46"/>
      <c r="D933" s="11"/>
      <c r="E933" s="11"/>
      <c r="F933" s="11"/>
      <c r="G933" s="11"/>
      <c r="H933" s="11"/>
    </row>
    <row r="934">
      <c r="A934" s="4">
        <v>936.0</v>
      </c>
      <c r="C934" s="46"/>
      <c r="D934" s="11"/>
      <c r="E934" s="11"/>
      <c r="F934" s="11"/>
      <c r="G934" s="11"/>
      <c r="H934" s="11"/>
    </row>
    <row r="935">
      <c r="A935" s="4">
        <v>937.0</v>
      </c>
      <c r="C935" s="46"/>
      <c r="D935" s="11"/>
      <c r="E935" s="11"/>
      <c r="F935" s="11"/>
      <c r="G935" s="11"/>
      <c r="H935" s="11"/>
    </row>
    <row r="936">
      <c r="A936" s="4">
        <v>938.0</v>
      </c>
      <c r="C936" s="46"/>
      <c r="D936" s="11"/>
      <c r="E936" s="11"/>
      <c r="F936" s="11"/>
      <c r="G936" s="11"/>
      <c r="H936" s="11"/>
    </row>
    <row r="937">
      <c r="A937" s="4">
        <v>939.0</v>
      </c>
      <c r="C937" s="46"/>
      <c r="D937" s="11"/>
      <c r="E937" s="11"/>
      <c r="F937" s="11"/>
      <c r="G937" s="11"/>
      <c r="H937" s="11"/>
    </row>
    <row r="938">
      <c r="A938" s="4">
        <v>940.0</v>
      </c>
      <c r="C938" s="46"/>
      <c r="D938" s="11"/>
      <c r="E938" s="11"/>
      <c r="F938" s="11"/>
      <c r="G938" s="11"/>
      <c r="H938" s="11"/>
    </row>
    <row r="939">
      <c r="A939" s="4">
        <v>941.0</v>
      </c>
      <c r="C939" s="46"/>
      <c r="D939" s="11"/>
      <c r="E939" s="11"/>
      <c r="F939" s="11"/>
      <c r="G939" s="11"/>
      <c r="H939" s="11"/>
    </row>
    <row r="940">
      <c r="A940" s="4">
        <v>942.0</v>
      </c>
      <c r="C940" s="46"/>
      <c r="D940" s="11"/>
      <c r="E940" s="11"/>
      <c r="F940" s="11"/>
      <c r="G940" s="11"/>
      <c r="H940" s="11"/>
    </row>
    <row r="941">
      <c r="A941" s="4">
        <v>943.0</v>
      </c>
      <c r="C941" s="46"/>
      <c r="D941" s="11"/>
      <c r="E941" s="11"/>
      <c r="F941" s="11"/>
      <c r="G941" s="11"/>
      <c r="H941" s="11"/>
    </row>
    <row r="942">
      <c r="A942" s="4">
        <v>944.0</v>
      </c>
      <c r="C942" s="46"/>
      <c r="D942" s="11"/>
      <c r="E942" s="11"/>
      <c r="F942" s="11"/>
      <c r="G942" s="11"/>
      <c r="H942" s="11"/>
    </row>
    <row r="943">
      <c r="A943" s="4">
        <v>945.0</v>
      </c>
      <c r="C943" s="46"/>
      <c r="D943" s="11"/>
      <c r="E943" s="11"/>
      <c r="F943" s="11"/>
      <c r="G943" s="11"/>
      <c r="H943" s="11"/>
    </row>
    <row r="944">
      <c r="A944" s="4">
        <v>946.0</v>
      </c>
      <c r="C944" s="46"/>
      <c r="D944" s="11"/>
      <c r="E944" s="11"/>
      <c r="F944" s="11"/>
      <c r="G944" s="11"/>
      <c r="H944" s="11"/>
    </row>
    <row r="945">
      <c r="A945" s="4">
        <v>947.0</v>
      </c>
      <c r="C945" s="46"/>
      <c r="D945" s="11"/>
      <c r="E945" s="11"/>
      <c r="F945" s="11"/>
      <c r="G945" s="11"/>
      <c r="H945" s="11"/>
    </row>
    <row r="946">
      <c r="A946" s="4">
        <v>948.0</v>
      </c>
      <c r="C946" s="46"/>
      <c r="D946" s="11"/>
      <c r="E946" s="11"/>
      <c r="F946" s="11"/>
      <c r="G946" s="11"/>
      <c r="H946" s="11"/>
    </row>
    <row r="947">
      <c r="A947" s="4">
        <v>949.0</v>
      </c>
      <c r="C947" s="46"/>
      <c r="D947" s="11"/>
      <c r="E947" s="11"/>
      <c r="F947" s="11"/>
      <c r="G947" s="11"/>
      <c r="H947" s="11"/>
    </row>
    <row r="948">
      <c r="A948" s="4">
        <v>950.0</v>
      </c>
      <c r="C948" s="46"/>
      <c r="D948" s="11"/>
      <c r="E948" s="11"/>
      <c r="F948" s="11"/>
      <c r="G948" s="11"/>
      <c r="H948" s="11"/>
    </row>
    <row r="949">
      <c r="A949" s="4">
        <v>951.0</v>
      </c>
      <c r="C949" s="46"/>
      <c r="D949" s="11"/>
      <c r="E949" s="11"/>
      <c r="F949" s="11"/>
      <c r="G949" s="11"/>
      <c r="H949" s="11"/>
    </row>
    <row r="950">
      <c r="A950" s="4">
        <v>952.0</v>
      </c>
      <c r="C950" s="46"/>
      <c r="D950" s="11"/>
      <c r="E950" s="11"/>
      <c r="F950" s="11"/>
      <c r="G950" s="11"/>
      <c r="H950" s="11"/>
    </row>
    <row r="951">
      <c r="A951" s="4">
        <v>953.0</v>
      </c>
      <c r="C951" s="46"/>
      <c r="D951" s="11"/>
      <c r="E951" s="11"/>
      <c r="F951" s="11"/>
      <c r="G951" s="11"/>
      <c r="H951" s="11"/>
    </row>
    <row r="952">
      <c r="A952" s="4">
        <v>954.0</v>
      </c>
      <c r="C952" s="46"/>
      <c r="D952" s="11"/>
      <c r="E952" s="11"/>
      <c r="F952" s="11"/>
      <c r="G952" s="11"/>
      <c r="H952" s="11"/>
    </row>
    <row r="953">
      <c r="A953" s="4">
        <v>955.0</v>
      </c>
      <c r="C953" s="46"/>
      <c r="D953" s="11"/>
      <c r="E953" s="11"/>
      <c r="F953" s="11"/>
      <c r="G953" s="11"/>
      <c r="H953" s="11"/>
    </row>
    <row r="954">
      <c r="A954" s="4">
        <v>956.0</v>
      </c>
      <c r="C954" s="46"/>
      <c r="D954" s="11"/>
      <c r="E954" s="11"/>
      <c r="F954" s="11"/>
      <c r="G954" s="11"/>
      <c r="H954" s="11"/>
    </row>
    <row r="955">
      <c r="A955" s="4">
        <v>957.0</v>
      </c>
      <c r="C955" s="46"/>
      <c r="D955" s="11"/>
      <c r="E955" s="11"/>
      <c r="F955" s="11"/>
      <c r="G955" s="11"/>
      <c r="H955" s="11"/>
    </row>
    <row r="956">
      <c r="A956" s="4">
        <v>958.0</v>
      </c>
      <c r="C956" s="46"/>
      <c r="D956" s="11"/>
      <c r="E956" s="11"/>
      <c r="F956" s="11"/>
      <c r="G956" s="11"/>
      <c r="H956" s="11"/>
    </row>
    <row r="957">
      <c r="A957" s="4">
        <v>959.0</v>
      </c>
      <c r="C957" s="46"/>
      <c r="D957" s="11"/>
      <c r="E957" s="11"/>
      <c r="F957" s="11"/>
      <c r="G957" s="11"/>
      <c r="H957" s="11"/>
    </row>
    <row r="958">
      <c r="A958" s="4">
        <v>960.0</v>
      </c>
      <c r="C958" s="46"/>
      <c r="D958" s="11"/>
      <c r="E958" s="11"/>
      <c r="F958" s="11"/>
      <c r="G958" s="11"/>
      <c r="H958" s="11"/>
    </row>
    <row r="959">
      <c r="A959" s="4">
        <v>961.0</v>
      </c>
      <c r="C959" s="46"/>
      <c r="D959" s="11"/>
      <c r="E959" s="11"/>
      <c r="F959" s="11"/>
      <c r="G959" s="11"/>
      <c r="H959" s="11"/>
    </row>
    <row r="960">
      <c r="A960" s="4">
        <v>962.0</v>
      </c>
      <c r="C960" s="46"/>
      <c r="D960" s="11"/>
      <c r="E960" s="11"/>
      <c r="F960" s="11"/>
      <c r="G960" s="11"/>
      <c r="H960" s="11"/>
    </row>
    <row r="961">
      <c r="A961" s="4">
        <v>963.0</v>
      </c>
      <c r="C961" s="46"/>
      <c r="D961" s="11"/>
      <c r="E961" s="11"/>
      <c r="F961" s="11"/>
      <c r="G961" s="11"/>
      <c r="H961" s="11"/>
    </row>
    <row r="962">
      <c r="A962" s="4">
        <v>964.0</v>
      </c>
      <c r="C962" s="46"/>
      <c r="D962" s="11"/>
      <c r="E962" s="11"/>
      <c r="F962" s="11"/>
      <c r="G962" s="11"/>
      <c r="H962" s="11"/>
    </row>
    <row r="963">
      <c r="A963" s="4">
        <v>965.0</v>
      </c>
      <c r="C963" s="46"/>
      <c r="D963" s="11"/>
      <c r="E963" s="11"/>
      <c r="F963" s="11"/>
      <c r="G963" s="11"/>
      <c r="H963" s="11"/>
    </row>
    <row r="964">
      <c r="A964" s="4">
        <v>966.0</v>
      </c>
      <c r="C964" s="46"/>
      <c r="D964" s="11"/>
      <c r="E964" s="11"/>
      <c r="F964" s="11"/>
      <c r="G964" s="11"/>
      <c r="H964" s="11"/>
    </row>
    <row r="965">
      <c r="A965" s="4">
        <v>967.0</v>
      </c>
      <c r="C965" s="46"/>
      <c r="D965" s="11"/>
      <c r="E965" s="11"/>
      <c r="F965" s="11"/>
      <c r="G965" s="11"/>
      <c r="H965" s="11"/>
    </row>
    <row r="966">
      <c r="A966" s="4">
        <v>968.0</v>
      </c>
      <c r="C966" s="46"/>
      <c r="D966" s="11"/>
      <c r="E966" s="11"/>
      <c r="F966" s="11"/>
      <c r="G966" s="11"/>
      <c r="H966" s="11"/>
    </row>
    <row r="967">
      <c r="A967" s="4">
        <v>969.0</v>
      </c>
      <c r="C967" s="46"/>
      <c r="D967" s="11"/>
      <c r="E967" s="11"/>
      <c r="F967" s="11"/>
      <c r="G967" s="11"/>
      <c r="H967" s="11"/>
    </row>
    <row r="968">
      <c r="A968" s="4">
        <v>970.0</v>
      </c>
      <c r="C968" s="46"/>
      <c r="D968" s="11"/>
      <c r="E968" s="11"/>
      <c r="F968" s="11"/>
      <c r="G968" s="11"/>
      <c r="H968" s="11"/>
    </row>
    <row r="969">
      <c r="A969" s="4">
        <v>971.0</v>
      </c>
      <c r="C969" s="46"/>
      <c r="D969" s="11"/>
      <c r="E969" s="11"/>
      <c r="F969" s="11"/>
      <c r="G969" s="11"/>
      <c r="H969" s="11"/>
    </row>
    <row r="970">
      <c r="A970" s="4">
        <v>972.0</v>
      </c>
      <c r="C970" s="46"/>
      <c r="D970" s="11"/>
      <c r="E970" s="11"/>
      <c r="F970" s="11"/>
      <c r="G970" s="11"/>
      <c r="H970" s="11"/>
    </row>
    <row r="971">
      <c r="A971" s="4">
        <v>973.0</v>
      </c>
      <c r="C971" s="46"/>
      <c r="D971" s="11"/>
      <c r="E971" s="11"/>
      <c r="F971" s="11"/>
      <c r="G971" s="11"/>
      <c r="H971" s="11"/>
    </row>
    <row r="972">
      <c r="A972" s="4">
        <v>974.0</v>
      </c>
      <c r="C972" s="46"/>
      <c r="D972" s="11"/>
      <c r="E972" s="11"/>
      <c r="F972" s="11"/>
      <c r="G972" s="11"/>
      <c r="H972" s="11"/>
    </row>
    <row r="973">
      <c r="A973" s="4">
        <v>975.0</v>
      </c>
      <c r="C973" s="46"/>
      <c r="D973" s="11"/>
      <c r="E973" s="11"/>
      <c r="F973" s="11"/>
      <c r="G973" s="11"/>
      <c r="H973" s="11"/>
    </row>
    <row r="974">
      <c r="A974" s="4">
        <v>976.0</v>
      </c>
      <c r="C974" s="46"/>
      <c r="D974" s="11"/>
      <c r="E974" s="11"/>
      <c r="F974" s="11"/>
      <c r="G974" s="11"/>
      <c r="H974" s="11"/>
    </row>
    <row r="975">
      <c r="A975" s="4">
        <v>977.0</v>
      </c>
      <c r="C975" s="46"/>
      <c r="D975" s="11"/>
      <c r="E975" s="11"/>
      <c r="F975" s="11"/>
      <c r="G975" s="11"/>
      <c r="H975" s="11"/>
    </row>
    <row r="976">
      <c r="A976" s="4">
        <v>978.0</v>
      </c>
      <c r="C976" s="46"/>
      <c r="D976" s="11"/>
      <c r="E976" s="11"/>
      <c r="F976" s="11"/>
      <c r="G976" s="11"/>
      <c r="H976" s="11"/>
    </row>
    <row r="977">
      <c r="A977" s="4">
        <v>979.0</v>
      </c>
      <c r="C977" s="46"/>
      <c r="D977" s="11"/>
      <c r="E977" s="11"/>
      <c r="F977" s="11"/>
      <c r="G977" s="11"/>
      <c r="H977" s="11"/>
    </row>
    <row r="978">
      <c r="A978" s="4">
        <v>980.0</v>
      </c>
      <c r="C978" s="46"/>
      <c r="D978" s="11"/>
      <c r="E978" s="11"/>
      <c r="F978" s="11"/>
      <c r="G978" s="11"/>
      <c r="H978" s="11"/>
    </row>
    <row r="979">
      <c r="A979" s="4">
        <v>981.0</v>
      </c>
      <c r="C979" s="46"/>
      <c r="D979" s="11"/>
      <c r="E979" s="11"/>
      <c r="F979" s="11"/>
      <c r="G979" s="11"/>
      <c r="H979" s="11"/>
    </row>
    <row r="980">
      <c r="A980" s="4">
        <v>982.0</v>
      </c>
      <c r="C980" s="46"/>
      <c r="D980" s="11"/>
      <c r="E980" s="11"/>
      <c r="F980" s="11"/>
      <c r="G980" s="11"/>
      <c r="H980" s="11"/>
    </row>
    <row r="981">
      <c r="A981" s="4">
        <v>983.0</v>
      </c>
      <c r="C981" s="46"/>
      <c r="D981" s="11"/>
      <c r="E981" s="11"/>
      <c r="F981" s="11"/>
      <c r="G981" s="11"/>
      <c r="H981" s="11"/>
    </row>
    <row r="982">
      <c r="A982" s="4">
        <v>984.0</v>
      </c>
      <c r="C982" s="46"/>
      <c r="D982" s="11"/>
      <c r="E982" s="11"/>
      <c r="F982" s="11"/>
      <c r="G982" s="11"/>
      <c r="H982" s="11"/>
    </row>
    <row r="983">
      <c r="A983" s="4">
        <v>985.0</v>
      </c>
      <c r="C983" s="46"/>
      <c r="D983" s="11"/>
      <c r="E983" s="11"/>
      <c r="F983" s="11"/>
      <c r="G983" s="11"/>
      <c r="H983" s="11"/>
    </row>
    <row r="984">
      <c r="A984" s="4">
        <v>986.0</v>
      </c>
      <c r="C984" s="46"/>
      <c r="D984" s="11"/>
      <c r="E984" s="11"/>
      <c r="F984" s="11"/>
      <c r="G984" s="11"/>
      <c r="H984" s="11"/>
    </row>
    <row r="985">
      <c r="A985" s="4">
        <v>987.0</v>
      </c>
      <c r="C985" s="46"/>
      <c r="D985" s="11"/>
      <c r="E985" s="11"/>
      <c r="F985" s="11"/>
      <c r="G985" s="11"/>
      <c r="H985" s="11"/>
    </row>
    <row r="986">
      <c r="A986" s="4">
        <v>988.0</v>
      </c>
      <c r="C986" s="46"/>
      <c r="D986" s="11"/>
      <c r="E986" s="11"/>
      <c r="F986" s="11"/>
      <c r="G986" s="11"/>
      <c r="H986" s="11"/>
    </row>
    <row r="987">
      <c r="A987" s="4">
        <v>989.0</v>
      </c>
      <c r="C987" s="46"/>
      <c r="D987" s="11"/>
      <c r="E987" s="11"/>
      <c r="F987" s="11"/>
      <c r="G987" s="11"/>
      <c r="H987" s="11"/>
    </row>
    <row r="988">
      <c r="A988" s="4">
        <v>990.0</v>
      </c>
      <c r="C988" s="46"/>
      <c r="D988" s="11"/>
      <c r="E988" s="11"/>
      <c r="F988" s="11"/>
      <c r="G988" s="11"/>
      <c r="H988" s="11"/>
    </row>
    <row r="989">
      <c r="A989" s="4">
        <v>991.0</v>
      </c>
      <c r="C989" s="46"/>
      <c r="D989" s="11"/>
      <c r="E989" s="11"/>
      <c r="F989" s="11"/>
      <c r="G989" s="11"/>
      <c r="H989" s="11"/>
    </row>
    <row r="990">
      <c r="A990" s="4">
        <v>992.0</v>
      </c>
      <c r="C990" s="46"/>
      <c r="D990" s="11"/>
      <c r="E990" s="11"/>
      <c r="F990" s="11"/>
      <c r="G990" s="11"/>
      <c r="H990" s="11"/>
    </row>
    <row r="991">
      <c r="A991" s="4">
        <v>993.0</v>
      </c>
      <c r="C991" s="46"/>
      <c r="D991" s="11"/>
      <c r="E991" s="11"/>
      <c r="F991" s="11"/>
      <c r="G991" s="11"/>
      <c r="H991" s="11"/>
    </row>
    <row r="992">
      <c r="A992" s="4">
        <v>994.0</v>
      </c>
      <c r="C992" s="46"/>
      <c r="D992" s="11"/>
      <c r="E992" s="11"/>
      <c r="F992" s="11"/>
      <c r="G992" s="11"/>
      <c r="H992" s="11"/>
    </row>
    <row r="993">
      <c r="A993" s="4">
        <v>995.0</v>
      </c>
      <c r="C993" s="46"/>
      <c r="D993" s="11"/>
      <c r="E993" s="11"/>
      <c r="F993" s="11"/>
      <c r="G993" s="11"/>
      <c r="H993" s="11"/>
    </row>
    <row r="994">
      <c r="A994" s="4">
        <v>996.0</v>
      </c>
      <c r="C994" s="46"/>
      <c r="D994" s="11"/>
      <c r="E994" s="11"/>
      <c r="F994" s="11"/>
      <c r="G994" s="11"/>
      <c r="H994" s="11"/>
    </row>
    <row r="995">
      <c r="A995" s="4">
        <v>997.0</v>
      </c>
      <c r="C995" s="46"/>
      <c r="D995" s="11"/>
      <c r="E995" s="11"/>
      <c r="F995" s="11"/>
      <c r="G995" s="11"/>
      <c r="H995" s="11"/>
    </row>
    <row r="996">
      <c r="A996" s="4">
        <v>998.0</v>
      </c>
      <c r="C996" s="46"/>
      <c r="D996" s="11"/>
      <c r="E996" s="11"/>
      <c r="F996" s="11"/>
      <c r="G996" s="11"/>
      <c r="H996" s="11"/>
    </row>
    <row r="997">
      <c r="A997" s="4">
        <v>999.0</v>
      </c>
      <c r="C997" s="46"/>
      <c r="D997" s="11"/>
      <c r="E997" s="11"/>
      <c r="F997" s="11"/>
      <c r="G997" s="11"/>
      <c r="H997" s="11"/>
    </row>
  </sheetData>
  <customSheetViews>
    <customSheetView guid="{EB776536-651E-4F9B-ABBD-F1C41402D620}" filter="1" showAutoFilter="1">
      <autoFilter ref="$B$1:$B$997">
        <filterColumn colId="0">
          <filters>
            <filter val="SUPERINTENDÊNCIA DE OBRAS DO PLANO DE DESENVOLVIMENTO DO ESTADO - SUPLAN"/>
            <filter val="MN EMPREENDIMENTOS E SOLUÇÕES ADMINISTRATIVAS EIRELI"/>
            <filter val="MULTINTEGRADA LTDA"/>
            <filter val="PREFEITURA MUNICIPAL DE TAUÁ - SECRETARIA DE DESENVOLVIMENTO RURAL E RECURSOS HIDRICOS"/>
            <filter val="PREFEITURA MUNICIPAL DE FORTALEZA - SECRETARIA MUNICIPAL DO ESPORTE E LAZER"/>
            <filter val="ESCRITORIO DE REPRESENTAÇÃO DO MINISTÉRIO DAS RELAÇÕES EXTERIORES"/>
          </filters>
        </filterColumn>
      </autoFilter>
    </customSheetView>
  </customSheetViews>
  <dataValidations>
    <dataValidation type="list" allowBlank="1" showErrorMessage="1" sqref="H2:H997">
      <formula1>CLIENTE!$A$2:$A$20000</formula1>
    </dataValidation>
    <dataValidation type="list" allowBlank="1" showErrorMessage="1" sqref="D2:D997">
      <formula1>CONTRATOS!$A$2:$A$19998</formula1>
    </dataValidation>
    <dataValidation type="list" allowBlank="1" showErrorMessage="1" sqref="E2:E997">
      <formula1>"LICITAÇÃO,PESSOA FÍSICA,PESSOA JURÍDICA,SUB-ROGAÇÃO"</formula1>
    </dataValidation>
    <dataValidation type="list" allowBlank="1" showErrorMessage="1" sqref="F2:F997">
      <formula1>"AGUARDANDO INÍCIO,EM ANDAMENTO,ENCERRADO"</formula1>
    </dataValidation>
    <dataValidation type="list" allowBlank="1" showErrorMessage="1" sqref="G2:G997">
      <formula1>"ALUCOM,AS SISTEMAS,IP SERVIÇOS,MOREIA"</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38"/>
    <col customWidth="1" min="3" max="3" width="80.38"/>
  </cols>
  <sheetData>
    <row r="1">
      <c r="A1" s="1" t="s">
        <v>799</v>
      </c>
      <c r="B1" s="1" t="s">
        <v>1319</v>
      </c>
      <c r="C1" s="1" t="s">
        <v>1320</v>
      </c>
    </row>
    <row r="2">
      <c r="B2" s="11"/>
      <c r="C2" s="11"/>
    </row>
    <row r="3">
      <c r="B3" s="11"/>
      <c r="C3" s="11"/>
    </row>
    <row r="4">
      <c r="B4" s="11"/>
      <c r="C4" s="11"/>
    </row>
    <row r="5">
      <c r="B5" s="11"/>
      <c r="C5" s="11"/>
    </row>
    <row r="6">
      <c r="B6" s="11"/>
      <c r="C6" s="11"/>
    </row>
    <row r="7">
      <c r="A7" s="6">
        <v>6.0</v>
      </c>
      <c r="B7" s="6" t="s">
        <v>1321</v>
      </c>
      <c r="C7" s="6" t="s">
        <v>808</v>
      </c>
    </row>
    <row r="8">
      <c r="A8" s="6">
        <v>7.0</v>
      </c>
      <c r="B8" s="6" t="s">
        <v>1322</v>
      </c>
      <c r="C8" s="6" t="s">
        <v>808</v>
      </c>
    </row>
    <row r="9">
      <c r="A9" s="6">
        <v>8.0</v>
      </c>
      <c r="B9" s="6" t="s">
        <v>1321</v>
      </c>
      <c r="C9" s="6" t="s">
        <v>814</v>
      </c>
    </row>
    <row r="10">
      <c r="A10" s="6">
        <v>9.0</v>
      </c>
      <c r="B10" s="6" t="s">
        <v>1323</v>
      </c>
      <c r="C10" s="6" t="s">
        <v>814</v>
      </c>
    </row>
    <row r="11">
      <c r="A11" s="6">
        <v>10.0</v>
      </c>
      <c r="B11" s="6" t="s">
        <v>1321</v>
      </c>
      <c r="C11" s="6" t="s">
        <v>16</v>
      </c>
    </row>
    <row r="12">
      <c r="A12" s="6">
        <v>11.0</v>
      </c>
      <c r="B12" s="6" t="s">
        <v>1323</v>
      </c>
      <c r="C12" s="6" t="s">
        <v>16</v>
      </c>
    </row>
    <row r="13">
      <c r="A13" s="6">
        <v>12.0</v>
      </c>
      <c r="B13" s="6" t="s">
        <v>1323</v>
      </c>
      <c r="C13" s="6" t="s">
        <v>16</v>
      </c>
    </row>
    <row r="14">
      <c r="A14" s="6">
        <v>13.0</v>
      </c>
      <c r="B14" s="6" t="s">
        <v>1321</v>
      </c>
      <c r="C14" s="6" t="s">
        <v>20</v>
      </c>
    </row>
    <row r="15">
      <c r="A15" s="6">
        <v>14.0</v>
      </c>
      <c r="B15" s="6" t="s">
        <v>1323</v>
      </c>
      <c r="C15" s="6" t="s">
        <v>20</v>
      </c>
    </row>
    <row r="16">
      <c r="A16" s="6">
        <v>15.0</v>
      </c>
      <c r="B16" s="6" t="s">
        <v>1321</v>
      </c>
      <c r="C16" s="6" t="s">
        <v>821</v>
      </c>
    </row>
    <row r="17">
      <c r="A17" s="6">
        <v>16.0</v>
      </c>
      <c r="B17" s="6" t="s">
        <v>1324</v>
      </c>
      <c r="C17" s="6" t="s">
        <v>821</v>
      </c>
    </row>
    <row r="18">
      <c r="A18" s="6">
        <v>17.0</v>
      </c>
      <c r="B18" s="6" t="s">
        <v>1325</v>
      </c>
      <c r="C18" s="6" t="s">
        <v>821</v>
      </c>
    </row>
    <row r="19">
      <c r="A19" s="6">
        <v>18.0</v>
      </c>
      <c r="B19" s="6" t="s">
        <v>1321</v>
      </c>
      <c r="C19" s="6" t="s">
        <v>824</v>
      </c>
    </row>
    <row r="20">
      <c r="A20" s="6">
        <v>19.0</v>
      </c>
      <c r="B20" s="6" t="s">
        <v>1323</v>
      </c>
      <c r="C20" s="6" t="s">
        <v>824</v>
      </c>
    </row>
    <row r="21">
      <c r="A21" s="6">
        <v>20.0</v>
      </c>
      <c r="B21" s="6" t="s">
        <v>1321</v>
      </c>
      <c r="C21" s="6" t="s">
        <v>827</v>
      </c>
    </row>
    <row r="22">
      <c r="A22" s="6">
        <v>21.0</v>
      </c>
      <c r="B22" s="6" t="s">
        <v>1325</v>
      </c>
      <c r="C22" s="6" t="s">
        <v>827</v>
      </c>
    </row>
    <row r="23">
      <c r="A23" s="6">
        <v>22.0</v>
      </c>
      <c r="B23" s="6" t="s">
        <v>1324</v>
      </c>
      <c r="C23" s="6" t="s">
        <v>827</v>
      </c>
    </row>
    <row r="24">
      <c r="A24" s="6">
        <v>23.0</v>
      </c>
      <c r="B24" s="6" t="s">
        <v>1321</v>
      </c>
      <c r="C24" s="6" t="s">
        <v>830</v>
      </c>
    </row>
    <row r="25">
      <c r="A25" s="6">
        <v>24.0</v>
      </c>
      <c r="B25" s="6" t="s">
        <v>1323</v>
      </c>
      <c r="C25" s="6" t="s">
        <v>830</v>
      </c>
    </row>
    <row r="26">
      <c r="A26" s="6">
        <v>25.0</v>
      </c>
      <c r="B26" s="6" t="s">
        <v>1321</v>
      </c>
      <c r="C26" s="6" t="s">
        <v>832</v>
      </c>
    </row>
    <row r="27">
      <c r="A27" s="6">
        <v>26.0</v>
      </c>
      <c r="B27" s="6" t="s">
        <v>1324</v>
      </c>
      <c r="C27" s="6" t="s">
        <v>832</v>
      </c>
    </row>
    <row r="28">
      <c r="A28" s="6">
        <v>27.0</v>
      </c>
      <c r="B28" s="6" t="s">
        <v>1321</v>
      </c>
      <c r="C28" s="6" t="s">
        <v>835</v>
      </c>
    </row>
    <row r="29">
      <c r="A29" s="6">
        <v>28.0</v>
      </c>
      <c r="B29" s="6" t="s">
        <v>1323</v>
      </c>
      <c r="C29" s="6" t="s">
        <v>835</v>
      </c>
    </row>
    <row r="30">
      <c r="A30" s="6">
        <v>29.0</v>
      </c>
      <c r="B30" s="6" t="s">
        <v>1321</v>
      </c>
      <c r="C30" s="6" t="s">
        <v>48</v>
      </c>
    </row>
    <row r="31">
      <c r="A31" s="6">
        <v>30.0</v>
      </c>
      <c r="B31" s="6" t="s">
        <v>1321</v>
      </c>
      <c r="C31" s="6" t="s">
        <v>53</v>
      </c>
    </row>
    <row r="32">
      <c r="A32" s="6">
        <v>31.0</v>
      </c>
      <c r="B32" s="6" t="s">
        <v>1323</v>
      </c>
      <c r="C32" s="6" t="s">
        <v>53</v>
      </c>
    </row>
    <row r="33">
      <c r="A33" s="6">
        <v>32.0</v>
      </c>
      <c r="B33" s="6" t="s">
        <v>1321</v>
      </c>
      <c r="C33" s="6" t="s">
        <v>842</v>
      </c>
    </row>
    <row r="34">
      <c r="A34" s="6">
        <v>33.0</v>
      </c>
      <c r="B34" s="6" t="s">
        <v>1323</v>
      </c>
      <c r="C34" s="6" t="s">
        <v>842</v>
      </c>
    </row>
    <row r="35">
      <c r="A35" s="6">
        <v>34.0</v>
      </c>
      <c r="B35" s="6" t="s">
        <v>1321</v>
      </c>
      <c r="C35" s="6" t="s">
        <v>845</v>
      </c>
    </row>
    <row r="36">
      <c r="A36" s="6">
        <v>35.0</v>
      </c>
      <c r="B36" s="6" t="s">
        <v>1323</v>
      </c>
      <c r="C36" s="6" t="s">
        <v>845</v>
      </c>
    </row>
    <row r="37">
      <c r="A37" s="6">
        <v>36.0</v>
      </c>
      <c r="B37" s="6" t="s">
        <v>1321</v>
      </c>
      <c r="C37" s="6" t="s">
        <v>848</v>
      </c>
    </row>
    <row r="38">
      <c r="A38" s="6">
        <v>37.0</v>
      </c>
      <c r="B38" s="6" t="s">
        <v>1321</v>
      </c>
      <c r="C38" s="6" t="s">
        <v>73</v>
      </c>
    </row>
    <row r="39">
      <c r="A39" s="6">
        <v>38.0</v>
      </c>
      <c r="B39" s="6" t="s">
        <v>1321</v>
      </c>
      <c r="C39" s="6" t="s">
        <v>78</v>
      </c>
    </row>
    <row r="40">
      <c r="A40" s="6">
        <v>39.0</v>
      </c>
      <c r="B40" s="6" t="s">
        <v>1321</v>
      </c>
      <c r="C40" s="6" t="s">
        <v>82</v>
      </c>
    </row>
    <row r="41">
      <c r="A41" s="6">
        <v>40.0</v>
      </c>
      <c r="B41" s="6" t="s">
        <v>1321</v>
      </c>
      <c r="C41" s="6" t="s">
        <v>856</v>
      </c>
    </row>
    <row r="42">
      <c r="A42" s="6">
        <v>41.0</v>
      </c>
      <c r="B42" s="6" t="s">
        <v>1321</v>
      </c>
      <c r="C42" s="6" t="s">
        <v>90</v>
      </c>
    </row>
    <row r="43">
      <c r="A43" s="6">
        <v>42.0</v>
      </c>
      <c r="B43" s="6" t="s">
        <v>1321</v>
      </c>
      <c r="C43" s="6" t="s">
        <v>861</v>
      </c>
    </row>
    <row r="44">
      <c r="A44" s="6">
        <v>43.0</v>
      </c>
      <c r="B44" s="6" t="s">
        <v>1321</v>
      </c>
      <c r="C44" s="6" t="s">
        <v>864</v>
      </c>
    </row>
    <row r="45">
      <c r="A45" s="6">
        <v>44.0</v>
      </c>
      <c r="B45" s="6" t="s">
        <v>1322</v>
      </c>
      <c r="C45" s="6" t="s">
        <v>864</v>
      </c>
    </row>
    <row r="46">
      <c r="A46" s="6">
        <v>45.0</v>
      </c>
      <c r="B46" s="6" t="s">
        <v>1321</v>
      </c>
      <c r="C46" s="6" t="s">
        <v>103</v>
      </c>
    </row>
    <row r="47">
      <c r="A47" s="6">
        <v>46.0</v>
      </c>
      <c r="B47" s="6" t="s">
        <v>1321</v>
      </c>
      <c r="C47" s="6" t="s">
        <v>869</v>
      </c>
    </row>
    <row r="48">
      <c r="A48" s="6">
        <v>47.0</v>
      </c>
      <c r="B48" s="6" t="s">
        <v>1321</v>
      </c>
      <c r="C48" s="6" t="s">
        <v>871</v>
      </c>
    </row>
    <row r="49">
      <c r="A49" s="6">
        <v>48.0</v>
      </c>
      <c r="B49" s="6" t="s">
        <v>1321</v>
      </c>
      <c r="C49" s="6" t="s">
        <v>874</v>
      </c>
    </row>
    <row r="50">
      <c r="A50" s="6">
        <v>49.0</v>
      </c>
      <c r="B50" s="6" t="s">
        <v>1325</v>
      </c>
      <c r="C50" s="6" t="s">
        <v>874</v>
      </c>
    </row>
    <row r="51">
      <c r="A51" s="6">
        <v>50.0</v>
      </c>
      <c r="B51" s="6" t="s">
        <v>1321</v>
      </c>
      <c r="C51" s="6" t="s">
        <v>119</v>
      </c>
    </row>
    <row r="52">
      <c r="A52" s="6">
        <v>51.0</v>
      </c>
      <c r="B52" s="6" t="s">
        <v>1321</v>
      </c>
      <c r="C52" s="6" t="s">
        <v>123</v>
      </c>
    </row>
    <row r="53">
      <c r="A53" s="6">
        <v>52.0</v>
      </c>
      <c r="B53" s="6" t="s">
        <v>1323</v>
      </c>
      <c r="C53" s="6" t="s">
        <v>123</v>
      </c>
    </row>
    <row r="54">
      <c r="A54" s="6">
        <v>53.0</v>
      </c>
      <c r="B54" s="6" t="s">
        <v>1323</v>
      </c>
      <c r="C54" s="6" t="s">
        <v>123</v>
      </c>
    </row>
    <row r="55">
      <c r="A55" s="6">
        <v>54.0</v>
      </c>
      <c r="B55" s="6" t="s">
        <v>1321</v>
      </c>
      <c r="C55" s="6" t="s">
        <v>881</v>
      </c>
    </row>
    <row r="56">
      <c r="A56" s="6">
        <v>55.0</v>
      </c>
      <c r="B56" s="6" t="s">
        <v>1321</v>
      </c>
      <c r="C56" s="6" t="s">
        <v>883</v>
      </c>
    </row>
    <row r="57">
      <c r="A57" s="6">
        <v>56.0</v>
      </c>
      <c r="B57" s="6" t="s">
        <v>1321</v>
      </c>
      <c r="C57" s="6" t="s">
        <v>886</v>
      </c>
    </row>
    <row r="58">
      <c r="A58" s="6">
        <v>57.0</v>
      </c>
      <c r="B58" s="6" t="s">
        <v>1321</v>
      </c>
      <c r="C58" s="6" t="s">
        <v>889</v>
      </c>
    </row>
    <row r="59">
      <c r="A59" s="6">
        <v>58.0</v>
      </c>
      <c r="B59" s="6" t="s">
        <v>1322</v>
      </c>
      <c r="C59" s="6" t="s">
        <v>889</v>
      </c>
    </row>
    <row r="60">
      <c r="A60" s="6">
        <v>59.0</v>
      </c>
      <c r="B60" s="6" t="s">
        <v>1321</v>
      </c>
      <c r="C60" s="6" t="s">
        <v>145</v>
      </c>
    </row>
    <row r="61">
      <c r="A61" s="6">
        <v>60.0</v>
      </c>
      <c r="B61" s="6" t="s">
        <v>1323</v>
      </c>
      <c r="C61" s="6" t="s">
        <v>145</v>
      </c>
    </row>
    <row r="62">
      <c r="A62" s="6">
        <v>61.0</v>
      </c>
      <c r="B62" s="6" t="s">
        <v>1324</v>
      </c>
      <c r="C62" s="6" t="s">
        <v>145</v>
      </c>
    </row>
    <row r="63">
      <c r="A63" s="6">
        <v>62.0</v>
      </c>
      <c r="B63" s="6" t="s">
        <v>1325</v>
      </c>
      <c r="C63" s="6" t="s">
        <v>145</v>
      </c>
    </row>
    <row r="64">
      <c r="A64" s="6">
        <v>63.0</v>
      </c>
      <c r="B64" s="6" t="s">
        <v>1321</v>
      </c>
      <c r="C64" s="6" t="s">
        <v>894</v>
      </c>
    </row>
    <row r="65">
      <c r="A65" s="6">
        <v>64.0</v>
      </c>
      <c r="B65" s="6" t="s">
        <v>1323</v>
      </c>
      <c r="C65" s="6" t="s">
        <v>894</v>
      </c>
    </row>
    <row r="66">
      <c r="A66" s="6">
        <v>65.0</v>
      </c>
      <c r="B66" s="6" t="s">
        <v>1321</v>
      </c>
      <c r="C66" s="6" t="s">
        <v>897</v>
      </c>
    </row>
    <row r="67">
      <c r="A67" s="6">
        <v>66.0</v>
      </c>
      <c r="B67" s="6" t="s">
        <v>1324</v>
      </c>
      <c r="C67" s="6" t="s">
        <v>897</v>
      </c>
    </row>
    <row r="68">
      <c r="A68" s="6">
        <v>67.0</v>
      </c>
      <c r="B68" s="6" t="s">
        <v>1324</v>
      </c>
      <c r="C68" s="6" t="s">
        <v>897</v>
      </c>
    </row>
    <row r="69">
      <c r="A69" s="6">
        <v>68.0</v>
      </c>
      <c r="B69" s="6" t="s">
        <v>1324</v>
      </c>
      <c r="C69" s="6" t="s">
        <v>900</v>
      </c>
    </row>
    <row r="70">
      <c r="A70" s="6">
        <v>69.0</v>
      </c>
      <c r="B70" s="6" t="s">
        <v>1321</v>
      </c>
      <c r="C70" s="6" t="s">
        <v>903</v>
      </c>
    </row>
    <row r="71">
      <c r="A71" s="6">
        <v>70.0</v>
      </c>
      <c r="B71" s="6" t="s">
        <v>1321</v>
      </c>
      <c r="C71" s="6" t="s">
        <v>166</v>
      </c>
    </row>
    <row r="72">
      <c r="A72" s="6">
        <v>71.0</v>
      </c>
      <c r="B72" s="6" t="s">
        <v>1326</v>
      </c>
      <c r="C72" s="6" t="s">
        <v>166</v>
      </c>
    </row>
    <row r="73">
      <c r="A73" s="6">
        <v>72.0</v>
      </c>
      <c r="B73" s="6" t="s">
        <v>1324</v>
      </c>
      <c r="C73" s="6" t="s">
        <v>166</v>
      </c>
    </row>
    <row r="74">
      <c r="A74" s="6">
        <v>73.0</v>
      </c>
      <c r="B74" s="6" t="s">
        <v>1323</v>
      </c>
      <c r="C74" s="6" t="s">
        <v>166</v>
      </c>
    </row>
    <row r="75">
      <c r="A75" s="6">
        <v>74.0</v>
      </c>
      <c r="B75" s="6" t="s">
        <v>1321</v>
      </c>
      <c r="C75" s="6" t="s">
        <v>908</v>
      </c>
    </row>
    <row r="76">
      <c r="A76" s="6">
        <v>75.0</v>
      </c>
      <c r="B76" s="6" t="s">
        <v>1321</v>
      </c>
      <c r="C76" s="6" t="s">
        <v>911</v>
      </c>
    </row>
    <row r="77">
      <c r="A77" s="6">
        <v>76.0</v>
      </c>
      <c r="B77" s="6" t="s">
        <v>1321</v>
      </c>
      <c r="C77" s="6" t="s">
        <v>914</v>
      </c>
    </row>
    <row r="78">
      <c r="A78" s="6">
        <v>77.0</v>
      </c>
      <c r="B78" s="6" t="s">
        <v>1323</v>
      </c>
      <c r="C78" s="6" t="s">
        <v>911</v>
      </c>
    </row>
    <row r="79">
      <c r="A79" s="6">
        <v>77.0</v>
      </c>
      <c r="B79" s="6" t="s">
        <v>1322</v>
      </c>
      <c r="C79" s="6" t="s">
        <v>911</v>
      </c>
    </row>
    <row r="80">
      <c r="A80" s="6">
        <v>78.0</v>
      </c>
      <c r="B80" s="6" t="s">
        <v>1321</v>
      </c>
      <c r="C80" s="6" t="s">
        <v>917</v>
      </c>
    </row>
    <row r="81">
      <c r="A81" s="6">
        <v>79.0</v>
      </c>
      <c r="B81" s="6" t="s">
        <v>1324</v>
      </c>
      <c r="C81" s="6" t="s">
        <v>914</v>
      </c>
    </row>
    <row r="82">
      <c r="A82" s="6">
        <v>80.0</v>
      </c>
      <c r="B82" s="6" t="s">
        <v>1323</v>
      </c>
      <c r="C82" s="6" t="s">
        <v>914</v>
      </c>
    </row>
    <row r="83">
      <c r="A83" s="6">
        <v>81.0</v>
      </c>
      <c r="B83" s="6" t="s">
        <v>1321</v>
      </c>
      <c r="C83" s="6" t="s">
        <v>920</v>
      </c>
    </row>
    <row r="84">
      <c r="A84" s="6">
        <v>82.0</v>
      </c>
      <c r="B84" s="6" t="s">
        <v>1326</v>
      </c>
      <c r="C84" s="6" t="s">
        <v>917</v>
      </c>
    </row>
    <row r="85">
      <c r="A85" s="6">
        <v>83.0</v>
      </c>
      <c r="B85" s="6" t="s">
        <v>1321</v>
      </c>
      <c r="C85" s="6" t="s">
        <v>192</v>
      </c>
    </row>
    <row r="86">
      <c r="A86" s="6">
        <v>84.0</v>
      </c>
      <c r="B86" s="6" t="s">
        <v>1321</v>
      </c>
      <c r="C86" s="6" t="s">
        <v>925</v>
      </c>
    </row>
    <row r="87">
      <c r="A87" s="6">
        <v>85.0</v>
      </c>
      <c r="B87" s="6" t="s">
        <v>1321</v>
      </c>
      <c r="C87" s="6" t="s">
        <v>928</v>
      </c>
    </row>
    <row r="88">
      <c r="A88" s="6">
        <v>86.0</v>
      </c>
      <c r="B88" s="6" t="s">
        <v>1321</v>
      </c>
      <c r="C88" s="6" t="s">
        <v>931</v>
      </c>
    </row>
    <row r="89">
      <c r="A89" s="6">
        <v>87.0</v>
      </c>
      <c r="B89" s="6" t="s">
        <v>1324</v>
      </c>
      <c r="C89" s="6" t="s">
        <v>931</v>
      </c>
    </row>
    <row r="90">
      <c r="A90" s="6">
        <v>88.0</v>
      </c>
      <c r="B90" s="6" t="s">
        <v>1324</v>
      </c>
      <c r="C90" s="6" t="s">
        <v>931</v>
      </c>
    </row>
    <row r="91">
      <c r="A91" s="6">
        <v>89.0</v>
      </c>
      <c r="B91" s="6" t="s">
        <v>1325</v>
      </c>
      <c r="C91" s="6" t="s">
        <v>931</v>
      </c>
    </row>
    <row r="92">
      <c r="A92" s="6">
        <v>90.0</v>
      </c>
      <c r="B92" s="6" t="s">
        <v>1324</v>
      </c>
      <c r="C92" s="6" t="s">
        <v>931</v>
      </c>
    </row>
    <row r="93">
      <c r="A93" s="6">
        <v>91.0</v>
      </c>
      <c r="B93" s="6" t="s">
        <v>1321</v>
      </c>
      <c r="C93" s="6" t="s">
        <v>934</v>
      </c>
    </row>
    <row r="94">
      <c r="A94" s="6">
        <v>92.0</v>
      </c>
      <c r="B94" s="6" t="s">
        <v>1323</v>
      </c>
      <c r="C94" s="6" t="s">
        <v>934</v>
      </c>
    </row>
    <row r="95">
      <c r="A95" s="6">
        <v>93.0</v>
      </c>
      <c r="B95" s="6" t="s">
        <v>1323</v>
      </c>
      <c r="C95" s="6" t="s">
        <v>934</v>
      </c>
    </row>
    <row r="96">
      <c r="A96" s="6">
        <v>94.0</v>
      </c>
      <c r="B96" s="6" t="s">
        <v>1324</v>
      </c>
      <c r="C96" s="6" t="s">
        <v>928</v>
      </c>
    </row>
    <row r="97">
      <c r="A97" s="6">
        <v>95.0</v>
      </c>
      <c r="B97" s="6" t="s">
        <v>1321</v>
      </c>
      <c r="C97" s="6" t="s">
        <v>937</v>
      </c>
    </row>
    <row r="98">
      <c r="A98" s="6">
        <v>96.0</v>
      </c>
      <c r="B98" s="6" t="s">
        <v>1324</v>
      </c>
      <c r="C98" s="6" t="s">
        <v>937</v>
      </c>
    </row>
    <row r="99">
      <c r="A99" s="6">
        <v>97.0</v>
      </c>
      <c r="B99" s="6" t="s">
        <v>1324</v>
      </c>
      <c r="C99" s="6" t="s">
        <v>937</v>
      </c>
    </row>
    <row r="100">
      <c r="A100" s="6">
        <v>98.0</v>
      </c>
      <c r="B100" s="6" t="s">
        <v>1323</v>
      </c>
      <c r="C100" s="6" t="s">
        <v>925</v>
      </c>
    </row>
    <row r="101">
      <c r="A101" s="6">
        <v>99.0</v>
      </c>
      <c r="B101" s="6" t="s">
        <v>1323</v>
      </c>
      <c r="C101" s="6" t="s">
        <v>925</v>
      </c>
    </row>
    <row r="102">
      <c r="A102" s="6">
        <v>100.0</v>
      </c>
      <c r="B102" s="6" t="s">
        <v>1324</v>
      </c>
      <c r="C102" s="6" t="s">
        <v>925</v>
      </c>
    </row>
    <row r="103">
      <c r="A103" s="6">
        <v>101.0</v>
      </c>
      <c r="B103" s="6" t="s">
        <v>1321</v>
      </c>
      <c r="C103" s="6" t="s">
        <v>940</v>
      </c>
    </row>
    <row r="104">
      <c r="A104" s="6">
        <v>102.0</v>
      </c>
      <c r="B104" s="6" t="s">
        <v>1324</v>
      </c>
      <c r="C104" s="6" t="s">
        <v>940</v>
      </c>
    </row>
    <row r="105">
      <c r="A105" s="6">
        <v>103.0</v>
      </c>
      <c r="B105" s="6" t="s">
        <v>1322</v>
      </c>
      <c r="C105" s="6" t="s">
        <v>940</v>
      </c>
    </row>
    <row r="106">
      <c r="A106" s="6">
        <v>104.0</v>
      </c>
      <c r="B106" s="6" t="s">
        <v>1324</v>
      </c>
      <c r="C106" s="6" t="s">
        <v>940</v>
      </c>
    </row>
    <row r="107">
      <c r="A107" s="6">
        <v>105.0</v>
      </c>
      <c r="B107" s="6" t="s">
        <v>1321</v>
      </c>
      <c r="C107" s="6" t="s">
        <v>943</v>
      </c>
    </row>
    <row r="108">
      <c r="A108" s="6">
        <v>106.0</v>
      </c>
      <c r="B108" s="6" t="s">
        <v>1323</v>
      </c>
      <c r="C108" s="6" t="s">
        <v>943</v>
      </c>
    </row>
    <row r="109">
      <c r="A109" s="6">
        <v>107.0</v>
      </c>
      <c r="B109" s="6" t="s">
        <v>1324</v>
      </c>
      <c r="C109" s="6" t="s">
        <v>943</v>
      </c>
    </row>
    <row r="110">
      <c r="A110" s="6">
        <v>108.0</v>
      </c>
      <c r="B110" s="6" t="s">
        <v>1324</v>
      </c>
      <c r="C110" s="6" t="s">
        <v>943</v>
      </c>
    </row>
    <row r="111">
      <c r="A111" s="6">
        <v>109.0</v>
      </c>
      <c r="B111" s="6" t="s">
        <v>1324</v>
      </c>
      <c r="C111" s="6" t="s">
        <v>943</v>
      </c>
    </row>
    <row r="112">
      <c r="A112" s="6">
        <v>110.0</v>
      </c>
      <c r="B112" s="6" t="s">
        <v>1321</v>
      </c>
      <c r="C112" s="6" t="s">
        <v>226</v>
      </c>
    </row>
    <row r="113">
      <c r="A113" s="6">
        <v>111.0</v>
      </c>
      <c r="B113" s="6" t="s">
        <v>1324</v>
      </c>
      <c r="C113" s="6" t="s">
        <v>226</v>
      </c>
    </row>
    <row r="114">
      <c r="A114" s="6">
        <v>112.0</v>
      </c>
      <c r="B114" s="6" t="s">
        <v>1324</v>
      </c>
      <c r="C114" s="6" t="s">
        <v>226</v>
      </c>
    </row>
    <row r="115">
      <c r="A115" s="6">
        <v>113.0</v>
      </c>
      <c r="B115" s="6" t="s">
        <v>1324</v>
      </c>
      <c r="C115" s="6" t="s">
        <v>226</v>
      </c>
    </row>
    <row r="116">
      <c r="A116" s="6">
        <v>114.0</v>
      </c>
      <c r="B116" s="6" t="s">
        <v>1324</v>
      </c>
      <c r="C116" s="6" t="s">
        <v>226</v>
      </c>
    </row>
    <row r="117">
      <c r="A117" s="6">
        <v>115.0</v>
      </c>
      <c r="B117" s="6" t="s">
        <v>1324</v>
      </c>
      <c r="C117" s="6" t="s">
        <v>821</v>
      </c>
    </row>
    <row r="118">
      <c r="A118" s="6">
        <v>116.0</v>
      </c>
      <c r="B118" s="6" t="s">
        <v>1321</v>
      </c>
      <c r="C118" s="6" t="s">
        <v>231</v>
      </c>
    </row>
    <row r="119">
      <c r="A119" s="6">
        <v>117.0</v>
      </c>
      <c r="B119" s="6" t="s">
        <v>1324</v>
      </c>
      <c r="C119" s="6" t="s">
        <v>226</v>
      </c>
    </row>
    <row r="120">
      <c r="A120" s="6">
        <v>118.0</v>
      </c>
      <c r="B120" s="6" t="s">
        <v>1324</v>
      </c>
      <c r="C120" s="6" t="s">
        <v>231</v>
      </c>
    </row>
    <row r="121">
      <c r="A121" s="6">
        <v>119.0</v>
      </c>
      <c r="B121" s="6" t="s">
        <v>1324</v>
      </c>
      <c r="C121" s="6" t="s">
        <v>231</v>
      </c>
    </row>
    <row r="122">
      <c r="A122" s="6">
        <v>120.0</v>
      </c>
      <c r="B122" s="6" t="s">
        <v>1321</v>
      </c>
      <c r="C122" s="6" t="s">
        <v>950</v>
      </c>
    </row>
    <row r="123">
      <c r="A123" s="6">
        <v>121.0</v>
      </c>
      <c r="B123" s="6" t="s">
        <v>1324</v>
      </c>
      <c r="C123" s="6" t="s">
        <v>950</v>
      </c>
    </row>
    <row r="124">
      <c r="A124" s="6">
        <v>122.0</v>
      </c>
      <c r="B124" s="6" t="s">
        <v>1324</v>
      </c>
      <c r="C124" s="6" t="s">
        <v>950</v>
      </c>
    </row>
    <row r="125">
      <c r="A125" s="6">
        <v>123.0</v>
      </c>
      <c r="B125" s="6" t="s">
        <v>1324</v>
      </c>
      <c r="C125" s="6" t="s">
        <v>950</v>
      </c>
    </row>
    <row r="126">
      <c r="A126" s="6">
        <v>124.0</v>
      </c>
      <c r="B126" s="6" t="s">
        <v>1324</v>
      </c>
      <c r="C126" s="6" t="s">
        <v>950</v>
      </c>
    </row>
    <row r="127">
      <c r="A127" s="6">
        <v>125.0</v>
      </c>
      <c r="B127" s="6" t="s">
        <v>1324</v>
      </c>
      <c r="C127" s="6" t="s">
        <v>950</v>
      </c>
    </row>
    <row r="128">
      <c r="A128" s="6">
        <v>126.0</v>
      </c>
      <c r="B128" s="6" t="s">
        <v>1321</v>
      </c>
      <c r="C128" s="6" t="s">
        <v>952</v>
      </c>
    </row>
    <row r="129">
      <c r="A129" s="6">
        <v>127.0</v>
      </c>
      <c r="B129" s="6" t="s">
        <v>1324</v>
      </c>
      <c r="C129" s="6" t="s">
        <v>952</v>
      </c>
    </row>
    <row r="130">
      <c r="A130" s="6">
        <v>128.0</v>
      </c>
      <c r="B130" s="6" t="s">
        <v>1324</v>
      </c>
      <c r="C130" s="6" t="s">
        <v>952</v>
      </c>
    </row>
    <row r="131">
      <c r="A131" s="6">
        <v>129.0</v>
      </c>
      <c r="B131" s="6" t="s">
        <v>1324</v>
      </c>
      <c r="C131" s="6" t="s">
        <v>952</v>
      </c>
    </row>
    <row r="132">
      <c r="A132" s="6">
        <v>130.0</v>
      </c>
      <c r="B132" s="6" t="s">
        <v>1324</v>
      </c>
      <c r="C132" s="6" t="s">
        <v>952</v>
      </c>
    </row>
    <row r="133">
      <c r="A133" s="6">
        <v>131.0</v>
      </c>
      <c r="B133" s="6" t="s">
        <v>1324</v>
      </c>
      <c r="C133" s="6" t="s">
        <v>952</v>
      </c>
    </row>
    <row r="134">
      <c r="A134" s="6">
        <v>132.0</v>
      </c>
      <c r="B134" s="6" t="s">
        <v>1321</v>
      </c>
      <c r="C134" s="6" t="s">
        <v>958</v>
      </c>
    </row>
    <row r="135">
      <c r="A135" s="6">
        <v>133.0</v>
      </c>
      <c r="B135" s="6" t="s">
        <v>1321</v>
      </c>
      <c r="C135" s="6" t="s">
        <v>239</v>
      </c>
    </row>
    <row r="136">
      <c r="A136" s="6">
        <v>134.0</v>
      </c>
      <c r="B136" s="6" t="s">
        <v>1321</v>
      </c>
      <c r="C136" s="6" t="s">
        <v>243</v>
      </c>
    </row>
    <row r="137">
      <c r="A137" s="6">
        <v>135.0</v>
      </c>
      <c r="B137" s="6" t="s">
        <v>1324</v>
      </c>
      <c r="C137" s="6" t="s">
        <v>958</v>
      </c>
    </row>
    <row r="138">
      <c r="A138" s="6">
        <v>136.0</v>
      </c>
      <c r="B138" s="6" t="s">
        <v>1324</v>
      </c>
      <c r="C138" s="6" t="s">
        <v>958</v>
      </c>
    </row>
    <row r="139">
      <c r="A139" s="6">
        <v>137.0</v>
      </c>
      <c r="B139" s="6" t="s">
        <v>1324</v>
      </c>
      <c r="C139" s="6" t="s">
        <v>958</v>
      </c>
    </row>
    <row r="140">
      <c r="A140" s="6">
        <v>138.0</v>
      </c>
      <c r="B140" s="6" t="s">
        <v>1324</v>
      </c>
      <c r="C140" s="6" t="s">
        <v>958</v>
      </c>
    </row>
    <row r="141">
      <c r="A141" s="6">
        <v>139.0</v>
      </c>
      <c r="B141" s="6" t="s">
        <v>1324</v>
      </c>
      <c r="C141" s="6" t="s">
        <v>958</v>
      </c>
    </row>
    <row r="142">
      <c r="A142" s="6">
        <v>140.0</v>
      </c>
      <c r="B142" s="6" t="s">
        <v>1321</v>
      </c>
      <c r="C142" s="6" t="s">
        <v>247</v>
      </c>
    </row>
    <row r="143">
      <c r="A143" s="6">
        <v>141.0</v>
      </c>
      <c r="B143" s="6" t="s">
        <v>1321</v>
      </c>
      <c r="C143" s="6" t="s">
        <v>253</v>
      </c>
    </row>
    <row r="144">
      <c r="A144" s="6">
        <v>142.0</v>
      </c>
      <c r="B144" s="6" t="s">
        <v>1322</v>
      </c>
      <c r="C144" s="6" t="s">
        <v>247</v>
      </c>
    </row>
    <row r="145">
      <c r="A145" s="6">
        <v>143.0</v>
      </c>
      <c r="B145" s="6" t="s">
        <v>1321</v>
      </c>
      <c r="C145" s="6" t="s">
        <v>255</v>
      </c>
    </row>
    <row r="146">
      <c r="A146" s="6">
        <v>144.0</v>
      </c>
      <c r="B146" s="6" t="s">
        <v>1322</v>
      </c>
      <c r="C146" s="6" t="s">
        <v>247</v>
      </c>
    </row>
    <row r="147">
      <c r="A147" s="6">
        <v>145.0</v>
      </c>
      <c r="B147" s="6" t="s">
        <v>1324</v>
      </c>
      <c r="C147" s="6" t="s">
        <v>247</v>
      </c>
    </row>
    <row r="148">
      <c r="A148" s="6">
        <v>146.0</v>
      </c>
      <c r="B148" s="6" t="s">
        <v>1321</v>
      </c>
      <c r="C148" s="6" t="s">
        <v>257</v>
      </c>
    </row>
    <row r="149">
      <c r="A149" s="6">
        <v>147.0</v>
      </c>
      <c r="B149" s="6" t="s">
        <v>1324</v>
      </c>
      <c r="C149" s="6" t="s">
        <v>257</v>
      </c>
    </row>
    <row r="150">
      <c r="A150" s="6">
        <v>148.0</v>
      </c>
      <c r="B150" s="6" t="s">
        <v>1324</v>
      </c>
      <c r="C150" s="6" t="s">
        <v>257</v>
      </c>
    </row>
    <row r="151">
      <c r="A151" s="6">
        <v>149.0</v>
      </c>
      <c r="B151" s="6" t="s">
        <v>1324</v>
      </c>
      <c r="C151" s="6" t="s">
        <v>257</v>
      </c>
    </row>
    <row r="152">
      <c r="A152" s="6">
        <v>150.0</v>
      </c>
      <c r="B152" s="6" t="s">
        <v>1324</v>
      </c>
      <c r="C152" s="6" t="s">
        <v>257</v>
      </c>
    </row>
    <row r="153">
      <c r="A153" s="6">
        <v>151.0</v>
      </c>
      <c r="B153" s="6" t="s">
        <v>1324</v>
      </c>
      <c r="C153" s="6" t="s">
        <v>257</v>
      </c>
    </row>
    <row r="154">
      <c r="A154" s="6">
        <v>152.0</v>
      </c>
      <c r="B154" s="6" t="s">
        <v>1321</v>
      </c>
      <c r="C154" s="6" t="s">
        <v>259</v>
      </c>
    </row>
    <row r="155">
      <c r="A155" s="6">
        <v>153.0</v>
      </c>
      <c r="B155" s="6" t="s">
        <v>1321</v>
      </c>
      <c r="C155" s="6" t="s">
        <v>263</v>
      </c>
    </row>
    <row r="156">
      <c r="A156" s="6">
        <v>154.0</v>
      </c>
      <c r="B156" s="6" t="s">
        <v>1324</v>
      </c>
      <c r="C156" s="6" t="s">
        <v>263</v>
      </c>
    </row>
    <row r="157">
      <c r="A157" s="6">
        <v>155.0</v>
      </c>
      <c r="B157" s="6" t="s">
        <v>1324</v>
      </c>
      <c r="C157" s="6" t="s">
        <v>263</v>
      </c>
    </row>
    <row r="158">
      <c r="A158" s="6">
        <v>156.0</v>
      </c>
      <c r="B158" s="6" t="s">
        <v>1321</v>
      </c>
      <c r="C158" s="6" t="s">
        <v>267</v>
      </c>
    </row>
    <row r="159">
      <c r="A159" s="6">
        <v>157.0</v>
      </c>
      <c r="B159" s="6" t="s">
        <v>1321</v>
      </c>
      <c r="C159" s="6" t="s">
        <v>973</v>
      </c>
    </row>
    <row r="160">
      <c r="A160" s="6">
        <v>158.0</v>
      </c>
      <c r="B160" s="6" t="s">
        <v>1321</v>
      </c>
      <c r="C160" s="6" t="s">
        <v>976</v>
      </c>
    </row>
    <row r="161">
      <c r="A161" s="6">
        <v>159.0</v>
      </c>
      <c r="B161" s="6" t="s">
        <v>1321</v>
      </c>
      <c r="C161" s="6" t="s">
        <v>271</v>
      </c>
    </row>
    <row r="162">
      <c r="A162" s="6">
        <v>160.0</v>
      </c>
      <c r="B162" s="6" t="s">
        <v>1324</v>
      </c>
      <c r="C162" s="6" t="s">
        <v>271</v>
      </c>
    </row>
    <row r="163">
      <c r="A163" s="6">
        <v>161.0</v>
      </c>
      <c r="B163" s="6" t="s">
        <v>1324</v>
      </c>
      <c r="C163" s="6" t="s">
        <v>271</v>
      </c>
    </row>
    <row r="164">
      <c r="A164" s="6">
        <v>162.0</v>
      </c>
      <c r="B164" s="6" t="s">
        <v>1321</v>
      </c>
      <c r="C164" s="6" t="s">
        <v>273</v>
      </c>
    </row>
    <row r="165">
      <c r="A165" s="6">
        <v>163.0</v>
      </c>
      <c r="B165" s="6" t="s">
        <v>1324</v>
      </c>
      <c r="C165" s="6" t="s">
        <v>273</v>
      </c>
    </row>
    <row r="166">
      <c r="A166" s="6">
        <v>164.0</v>
      </c>
      <c r="B166" s="6" t="s">
        <v>1324</v>
      </c>
      <c r="C166" s="6" t="s">
        <v>273</v>
      </c>
    </row>
    <row r="167">
      <c r="A167" s="6">
        <v>165.0</v>
      </c>
      <c r="B167" s="6" t="s">
        <v>1321</v>
      </c>
      <c r="C167" s="6" t="s">
        <v>275</v>
      </c>
    </row>
    <row r="168">
      <c r="A168" s="6">
        <v>166.0</v>
      </c>
      <c r="B168" s="6" t="s">
        <v>1324</v>
      </c>
      <c r="C168" s="6" t="s">
        <v>275</v>
      </c>
    </row>
    <row r="169">
      <c r="A169" s="6">
        <v>167.0</v>
      </c>
      <c r="B169" s="6" t="s">
        <v>1324</v>
      </c>
      <c r="C169" s="6" t="s">
        <v>275</v>
      </c>
    </row>
    <row r="170">
      <c r="A170" s="6">
        <v>168.0</v>
      </c>
      <c r="B170" s="6" t="s">
        <v>1321</v>
      </c>
      <c r="C170" s="6" t="s">
        <v>277</v>
      </c>
    </row>
    <row r="171">
      <c r="A171" s="6">
        <v>169.0</v>
      </c>
      <c r="B171" s="6" t="s">
        <v>1324</v>
      </c>
      <c r="C171" s="6" t="s">
        <v>277</v>
      </c>
    </row>
    <row r="172">
      <c r="A172" s="6">
        <v>170.0</v>
      </c>
      <c r="B172" s="6" t="s">
        <v>1324</v>
      </c>
      <c r="C172" s="6" t="s">
        <v>277</v>
      </c>
    </row>
    <row r="173">
      <c r="A173" s="6">
        <v>171.0</v>
      </c>
      <c r="B173" s="6" t="s">
        <v>1321</v>
      </c>
      <c r="C173" s="6" t="s">
        <v>278</v>
      </c>
    </row>
    <row r="174">
      <c r="A174" s="6">
        <v>172.0</v>
      </c>
      <c r="B174" s="6" t="s">
        <v>1321</v>
      </c>
      <c r="C174" s="6" t="s">
        <v>282</v>
      </c>
    </row>
    <row r="175">
      <c r="A175" s="6">
        <v>173.0</v>
      </c>
      <c r="B175" s="6" t="s">
        <v>1321</v>
      </c>
      <c r="C175" s="6" t="s">
        <v>286</v>
      </c>
    </row>
    <row r="176">
      <c r="A176" s="6">
        <v>174.0</v>
      </c>
      <c r="B176" s="6" t="s">
        <v>1321</v>
      </c>
      <c r="C176" s="6" t="s">
        <v>289</v>
      </c>
    </row>
    <row r="177">
      <c r="A177" s="6">
        <v>175.0</v>
      </c>
      <c r="B177" s="6" t="s">
        <v>1321</v>
      </c>
      <c r="C177" s="6" t="s">
        <v>293</v>
      </c>
    </row>
    <row r="178">
      <c r="A178" s="6">
        <v>176.0</v>
      </c>
      <c r="B178" s="6" t="s">
        <v>1321</v>
      </c>
      <c r="C178" s="6" t="s">
        <v>296</v>
      </c>
    </row>
    <row r="179">
      <c r="A179" s="6">
        <v>177.0</v>
      </c>
      <c r="B179" s="6" t="s">
        <v>1321</v>
      </c>
      <c r="C179" s="6" t="s">
        <v>298</v>
      </c>
    </row>
    <row r="180">
      <c r="A180" s="6">
        <v>178.0</v>
      </c>
      <c r="B180" s="6" t="s">
        <v>1321</v>
      </c>
      <c r="C180" s="6" t="s">
        <v>300</v>
      </c>
    </row>
    <row r="181">
      <c r="A181" s="6">
        <v>179.0</v>
      </c>
      <c r="B181" s="6" t="s">
        <v>1321</v>
      </c>
      <c r="C181" s="6" t="s">
        <v>303</v>
      </c>
    </row>
    <row r="182">
      <c r="A182" s="6">
        <v>180.0</v>
      </c>
      <c r="B182" s="6" t="s">
        <v>1321</v>
      </c>
      <c r="C182" s="6" t="s">
        <v>306</v>
      </c>
    </row>
    <row r="183">
      <c r="A183" s="6">
        <v>181.0</v>
      </c>
      <c r="B183" s="6" t="s">
        <v>1321</v>
      </c>
      <c r="C183" s="6" t="s">
        <v>1327</v>
      </c>
    </row>
    <row r="184">
      <c r="A184" s="6">
        <v>182.0</v>
      </c>
      <c r="B184" s="6" t="s">
        <v>1321</v>
      </c>
      <c r="C184" s="6" t="s">
        <v>311</v>
      </c>
    </row>
    <row r="185">
      <c r="A185" s="6">
        <v>183.0</v>
      </c>
      <c r="B185" s="6" t="s">
        <v>1321</v>
      </c>
      <c r="C185" s="6" t="s">
        <v>302</v>
      </c>
    </row>
    <row r="186">
      <c r="A186" s="6">
        <v>184.0</v>
      </c>
      <c r="B186" s="6" t="s">
        <v>1324</v>
      </c>
      <c r="C186" s="6" t="s">
        <v>302</v>
      </c>
    </row>
    <row r="187">
      <c r="A187" s="6">
        <v>185.0</v>
      </c>
      <c r="B187" s="6" t="s">
        <v>1324</v>
      </c>
      <c r="C187" s="6" t="s">
        <v>302</v>
      </c>
    </row>
    <row r="188">
      <c r="A188" s="6">
        <v>186.0</v>
      </c>
      <c r="B188" s="6" t="s">
        <v>1324</v>
      </c>
      <c r="C188" s="6" t="s">
        <v>302</v>
      </c>
    </row>
    <row r="189">
      <c r="A189" s="6">
        <v>187.0</v>
      </c>
      <c r="B189" s="6" t="s">
        <v>1324</v>
      </c>
      <c r="C189" s="6" t="s">
        <v>302</v>
      </c>
    </row>
    <row r="190">
      <c r="A190" s="6">
        <v>188.0</v>
      </c>
      <c r="B190" s="6" t="s">
        <v>1324</v>
      </c>
      <c r="C190" s="6" t="s">
        <v>302</v>
      </c>
    </row>
    <row r="191">
      <c r="A191" s="6">
        <v>189.0</v>
      </c>
      <c r="B191" s="6" t="s">
        <v>1321</v>
      </c>
      <c r="C191" s="6" t="s">
        <v>313</v>
      </c>
    </row>
    <row r="192">
      <c r="A192" s="6">
        <v>190.0</v>
      </c>
      <c r="B192" s="6" t="s">
        <v>1321</v>
      </c>
      <c r="C192" s="6" t="s">
        <v>315</v>
      </c>
    </row>
    <row r="193">
      <c r="A193" s="6">
        <v>191.0</v>
      </c>
      <c r="B193" s="6" t="s">
        <v>1324</v>
      </c>
      <c r="C193" s="6" t="s">
        <v>315</v>
      </c>
    </row>
    <row r="194">
      <c r="A194" s="6">
        <v>192.0</v>
      </c>
      <c r="B194" s="6" t="s">
        <v>1324</v>
      </c>
      <c r="C194" s="6" t="s">
        <v>315</v>
      </c>
    </row>
    <row r="195">
      <c r="A195" s="6">
        <v>193.0</v>
      </c>
      <c r="B195" s="6" t="s">
        <v>1324</v>
      </c>
      <c r="C195" s="6" t="s">
        <v>315</v>
      </c>
    </row>
    <row r="196">
      <c r="A196" s="6">
        <v>194.0</v>
      </c>
      <c r="B196" s="6" t="s">
        <v>1321</v>
      </c>
      <c r="C196" s="6" t="s">
        <v>319</v>
      </c>
    </row>
    <row r="197">
      <c r="A197" s="6">
        <v>195.0</v>
      </c>
      <c r="B197" s="6" t="s">
        <v>1324</v>
      </c>
      <c r="C197" s="6" t="s">
        <v>319</v>
      </c>
    </row>
    <row r="198">
      <c r="A198" s="6">
        <v>196.0</v>
      </c>
      <c r="B198" s="6" t="s">
        <v>1324</v>
      </c>
      <c r="C198" s="6" t="s">
        <v>319</v>
      </c>
    </row>
    <row r="199">
      <c r="A199" s="6">
        <v>197.0</v>
      </c>
      <c r="B199" s="6" t="s">
        <v>1324</v>
      </c>
      <c r="C199" s="6" t="s">
        <v>319</v>
      </c>
    </row>
    <row r="200">
      <c r="A200" s="6">
        <v>198.0</v>
      </c>
      <c r="B200" s="6" t="s">
        <v>1324</v>
      </c>
      <c r="C200" s="6" t="s">
        <v>319</v>
      </c>
    </row>
    <row r="201">
      <c r="A201" s="6">
        <v>199.0</v>
      </c>
      <c r="B201" s="6" t="s">
        <v>1324</v>
      </c>
      <c r="C201" s="6" t="s">
        <v>319</v>
      </c>
    </row>
    <row r="202">
      <c r="A202" s="6">
        <v>200.0</v>
      </c>
      <c r="B202" s="6" t="s">
        <v>1321</v>
      </c>
      <c r="C202" s="6" t="s">
        <v>321</v>
      </c>
    </row>
    <row r="203">
      <c r="A203" s="6">
        <v>201.0</v>
      </c>
      <c r="B203" s="6" t="s">
        <v>1324</v>
      </c>
      <c r="C203" s="6" t="s">
        <v>321</v>
      </c>
    </row>
    <row r="204">
      <c r="A204" s="6">
        <v>202.0</v>
      </c>
      <c r="B204" s="6" t="s">
        <v>1324</v>
      </c>
      <c r="C204" s="6" t="s">
        <v>321</v>
      </c>
    </row>
    <row r="205">
      <c r="A205" s="6">
        <v>203.0</v>
      </c>
      <c r="B205" s="6" t="s">
        <v>1324</v>
      </c>
      <c r="C205" s="6" t="s">
        <v>321</v>
      </c>
    </row>
    <row r="206">
      <c r="A206" s="6">
        <v>204.0</v>
      </c>
      <c r="B206" s="6" t="s">
        <v>1328</v>
      </c>
      <c r="C206" s="6" t="s">
        <v>321</v>
      </c>
    </row>
    <row r="207">
      <c r="A207" s="6">
        <v>205.0</v>
      </c>
      <c r="B207" s="6" t="s">
        <v>1324</v>
      </c>
      <c r="C207" s="6" t="s">
        <v>321</v>
      </c>
    </row>
    <row r="208">
      <c r="A208" s="6">
        <v>206.0</v>
      </c>
      <c r="B208" s="6" t="s">
        <v>1321</v>
      </c>
      <c r="C208" s="6" t="s">
        <v>327</v>
      </c>
    </row>
    <row r="209">
      <c r="A209" s="6">
        <v>207.0</v>
      </c>
      <c r="B209" s="6" t="s">
        <v>1324</v>
      </c>
      <c r="C209" s="6" t="s">
        <v>327</v>
      </c>
    </row>
    <row r="210">
      <c r="A210" s="6">
        <v>208.0</v>
      </c>
      <c r="B210" s="6" t="s">
        <v>1324</v>
      </c>
      <c r="C210" s="6" t="s">
        <v>327</v>
      </c>
    </row>
    <row r="211">
      <c r="A211" s="6">
        <v>209.0</v>
      </c>
      <c r="B211" s="6" t="s">
        <v>1324</v>
      </c>
      <c r="C211" s="6" t="s">
        <v>327</v>
      </c>
    </row>
    <row r="212">
      <c r="A212" s="6">
        <v>210.0</v>
      </c>
      <c r="B212" s="6" t="s">
        <v>1324</v>
      </c>
      <c r="C212" s="6" t="s">
        <v>327</v>
      </c>
    </row>
    <row r="213">
      <c r="A213" s="6">
        <v>211.0</v>
      </c>
      <c r="B213" s="6" t="s">
        <v>1324</v>
      </c>
      <c r="C213" s="6" t="s">
        <v>327</v>
      </c>
    </row>
    <row r="214">
      <c r="A214" s="6">
        <v>212.0</v>
      </c>
      <c r="B214" s="6" t="s">
        <v>1321</v>
      </c>
      <c r="C214" s="6" t="s">
        <v>324</v>
      </c>
    </row>
    <row r="215">
      <c r="A215" s="6">
        <v>213.0</v>
      </c>
      <c r="B215" s="6" t="s">
        <v>1324</v>
      </c>
      <c r="C215" s="6" t="s">
        <v>324</v>
      </c>
    </row>
    <row r="216">
      <c r="A216" s="6">
        <v>214.0</v>
      </c>
      <c r="B216" s="6" t="s">
        <v>1324</v>
      </c>
      <c r="C216" s="6" t="s">
        <v>324</v>
      </c>
    </row>
    <row r="217">
      <c r="A217" s="6">
        <v>215.0</v>
      </c>
      <c r="B217" s="6" t="s">
        <v>1324</v>
      </c>
      <c r="C217" s="6" t="s">
        <v>324</v>
      </c>
    </row>
    <row r="218">
      <c r="A218" s="6">
        <v>216.0</v>
      </c>
      <c r="B218" s="6" t="s">
        <v>1324</v>
      </c>
      <c r="C218" s="6" t="s">
        <v>324</v>
      </c>
    </row>
    <row r="219">
      <c r="A219" s="6">
        <v>217.0</v>
      </c>
      <c r="B219" s="6" t="s">
        <v>1321</v>
      </c>
      <c r="C219" s="6" t="s">
        <v>329</v>
      </c>
    </row>
    <row r="220">
      <c r="A220" s="6">
        <v>218.0</v>
      </c>
      <c r="B220" s="6" t="s">
        <v>1322</v>
      </c>
      <c r="C220" s="6" t="s">
        <v>329</v>
      </c>
    </row>
    <row r="221">
      <c r="A221" s="6">
        <v>219.0</v>
      </c>
      <c r="B221" s="6" t="s">
        <v>1321</v>
      </c>
      <c r="C221" s="6" t="s">
        <v>335</v>
      </c>
    </row>
    <row r="222">
      <c r="A222" s="6">
        <v>220.0</v>
      </c>
      <c r="B222" s="6" t="s">
        <v>1324</v>
      </c>
      <c r="C222" s="6" t="s">
        <v>335</v>
      </c>
    </row>
    <row r="223">
      <c r="A223" s="6">
        <v>221.0</v>
      </c>
      <c r="B223" s="6" t="s">
        <v>1324</v>
      </c>
      <c r="C223" s="6" t="s">
        <v>335</v>
      </c>
    </row>
    <row r="224">
      <c r="A224" s="6">
        <v>222.0</v>
      </c>
      <c r="B224" s="6" t="s">
        <v>1324</v>
      </c>
      <c r="C224" s="6" t="s">
        <v>335</v>
      </c>
    </row>
    <row r="225">
      <c r="A225" s="6">
        <v>223.0</v>
      </c>
      <c r="B225" s="6" t="s">
        <v>1324</v>
      </c>
      <c r="C225" s="6" t="s">
        <v>335</v>
      </c>
    </row>
    <row r="226">
      <c r="A226" s="6">
        <v>224.0</v>
      </c>
      <c r="B226" s="6" t="s">
        <v>1324</v>
      </c>
      <c r="C226" s="6" t="s">
        <v>335</v>
      </c>
    </row>
    <row r="227">
      <c r="A227" s="6">
        <v>225.0</v>
      </c>
      <c r="B227" s="6" t="s">
        <v>1324</v>
      </c>
      <c r="C227" s="6" t="s">
        <v>329</v>
      </c>
    </row>
    <row r="228">
      <c r="A228" s="6">
        <v>226.0</v>
      </c>
      <c r="B228" s="6" t="s">
        <v>1324</v>
      </c>
      <c r="C228" s="6" t="s">
        <v>329</v>
      </c>
    </row>
    <row r="229">
      <c r="A229" s="6">
        <v>227.0</v>
      </c>
      <c r="B229" s="6" t="s">
        <v>1324</v>
      </c>
      <c r="C229" s="6" t="s">
        <v>329</v>
      </c>
    </row>
    <row r="230">
      <c r="A230" s="6">
        <v>228.0</v>
      </c>
      <c r="B230" s="6" t="s">
        <v>1321</v>
      </c>
      <c r="C230" s="6" t="s">
        <v>333</v>
      </c>
    </row>
    <row r="231">
      <c r="A231" s="6">
        <v>229.0</v>
      </c>
      <c r="B231" s="6" t="s">
        <v>1324</v>
      </c>
      <c r="C231" s="6" t="s">
        <v>329</v>
      </c>
    </row>
    <row r="232">
      <c r="A232" s="6">
        <v>230.0</v>
      </c>
      <c r="B232" s="6" t="s">
        <v>1324</v>
      </c>
      <c r="C232" s="6" t="s">
        <v>333</v>
      </c>
    </row>
    <row r="233">
      <c r="A233" s="6">
        <v>231.0</v>
      </c>
      <c r="B233" s="6" t="s">
        <v>1324</v>
      </c>
      <c r="C233" s="6" t="s">
        <v>333</v>
      </c>
    </row>
    <row r="234">
      <c r="A234" s="6">
        <v>232.0</v>
      </c>
      <c r="B234" s="6" t="s">
        <v>1321</v>
      </c>
      <c r="C234" s="6" t="s">
        <v>337</v>
      </c>
    </row>
    <row r="235">
      <c r="A235" s="6">
        <v>233.0</v>
      </c>
      <c r="B235" s="6" t="s">
        <v>1324</v>
      </c>
      <c r="C235" s="6" t="s">
        <v>337</v>
      </c>
    </row>
    <row r="236">
      <c r="A236" s="6">
        <v>234.0</v>
      </c>
      <c r="B236" s="6" t="s">
        <v>1324</v>
      </c>
      <c r="C236" s="6" t="s">
        <v>337</v>
      </c>
    </row>
    <row r="237">
      <c r="A237" s="6">
        <v>235.0</v>
      </c>
      <c r="B237" s="6" t="s">
        <v>1324</v>
      </c>
      <c r="C237" s="6" t="s">
        <v>337</v>
      </c>
    </row>
    <row r="238">
      <c r="A238" s="6">
        <v>236.0</v>
      </c>
      <c r="B238" s="6" t="s">
        <v>1324</v>
      </c>
      <c r="C238" s="6" t="s">
        <v>337</v>
      </c>
    </row>
    <row r="239">
      <c r="A239" s="6">
        <v>237.0</v>
      </c>
      <c r="B239" s="6" t="s">
        <v>1324</v>
      </c>
      <c r="C239" s="6" t="s">
        <v>337</v>
      </c>
    </row>
    <row r="240">
      <c r="A240" s="6">
        <v>238.0</v>
      </c>
      <c r="B240" s="6" t="s">
        <v>1321</v>
      </c>
      <c r="C240" s="6" t="s">
        <v>339</v>
      </c>
    </row>
    <row r="241">
      <c r="A241" s="6">
        <v>239.0</v>
      </c>
      <c r="B241" s="6" t="s">
        <v>1324</v>
      </c>
      <c r="C241" s="6" t="s">
        <v>339</v>
      </c>
    </row>
    <row r="242">
      <c r="A242" s="6">
        <v>240.0</v>
      </c>
      <c r="B242" s="6" t="s">
        <v>1324</v>
      </c>
      <c r="C242" s="6" t="s">
        <v>339</v>
      </c>
    </row>
    <row r="243">
      <c r="A243" s="6">
        <v>241.0</v>
      </c>
      <c r="B243" s="6" t="s">
        <v>1324</v>
      </c>
      <c r="C243" s="6" t="s">
        <v>339</v>
      </c>
    </row>
    <row r="244">
      <c r="A244" s="6">
        <v>242.0</v>
      </c>
      <c r="B244" s="6" t="s">
        <v>1324</v>
      </c>
      <c r="C244" s="6" t="s">
        <v>339</v>
      </c>
    </row>
    <row r="245">
      <c r="A245" s="6">
        <v>243.0</v>
      </c>
      <c r="B245" s="6" t="s">
        <v>1324</v>
      </c>
      <c r="C245" s="6" t="s">
        <v>339</v>
      </c>
    </row>
    <row r="246">
      <c r="A246" s="6">
        <v>244.0</v>
      </c>
      <c r="B246" s="6" t="s">
        <v>1321</v>
      </c>
      <c r="C246" s="6" t="s">
        <v>341</v>
      </c>
    </row>
    <row r="247">
      <c r="A247" s="6">
        <v>245.0</v>
      </c>
      <c r="B247" s="6" t="s">
        <v>1324</v>
      </c>
      <c r="C247" s="6" t="s">
        <v>341</v>
      </c>
    </row>
    <row r="248">
      <c r="A248" s="6">
        <v>246.0</v>
      </c>
      <c r="B248" s="6" t="s">
        <v>1324</v>
      </c>
      <c r="C248" s="6" t="s">
        <v>341</v>
      </c>
    </row>
    <row r="249">
      <c r="A249" s="6">
        <v>247.0</v>
      </c>
      <c r="B249" s="6" t="s">
        <v>1324</v>
      </c>
      <c r="C249" s="6" t="s">
        <v>341</v>
      </c>
    </row>
    <row r="250">
      <c r="A250" s="6">
        <v>248.0</v>
      </c>
      <c r="B250" s="6" t="s">
        <v>1324</v>
      </c>
      <c r="C250" s="6" t="s">
        <v>341</v>
      </c>
    </row>
    <row r="251">
      <c r="A251" s="6">
        <v>249.0</v>
      </c>
      <c r="B251" s="6" t="s">
        <v>1324</v>
      </c>
      <c r="C251" s="6" t="s">
        <v>341</v>
      </c>
    </row>
    <row r="252">
      <c r="A252" s="6">
        <v>250.0</v>
      </c>
      <c r="B252" s="6" t="s">
        <v>1321</v>
      </c>
      <c r="C252" s="6" t="s">
        <v>344</v>
      </c>
    </row>
    <row r="253">
      <c r="A253" s="6">
        <v>251.0</v>
      </c>
      <c r="B253" s="6" t="s">
        <v>1323</v>
      </c>
      <c r="C253" s="6" t="s">
        <v>344</v>
      </c>
    </row>
    <row r="254">
      <c r="A254" s="6">
        <v>252.0</v>
      </c>
      <c r="B254" s="6" t="s">
        <v>1321</v>
      </c>
      <c r="C254" s="6" t="s">
        <v>348</v>
      </c>
    </row>
    <row r="255">
      <c r="A255" s="6">
        <v>253.0</v>
      </c>
      <c r="B255" s="6" t="s">
        <v>1324</v>
      </c>
      <c r="C255" s="6" t="s">
        <v>348</v>
      </c>
    </row>
    <row r="256">
      <c r="A256" s="6">
        <v>254.0</v>
      </c>
      <c r="B256" s="6" t="s">
        <v>1324</v>
      </c>
      <c r="C256" s="6" t="s">
        <v>348</v>
      </c>
    </row>
    <row r="257">
      <c r="A257" s="6">
        <v>255.0</v>
      </c>
      <c r="B257" s="6" t="s">
        <v>1321</v>
      </c>
      <c r="C257" s="6" t="s">
        <v>352</v>
      </c>
    </row>
    <row r="258">
      <c r="A258" s="6">
        <v>256.0</v>
      </c>
      <c r="B258" s="6" t="s">
        <v>1324</v>
      </c>
      <c r="C258" s="6" t="s">
        <v>352</v>
      </c>
    </row>
    <row r="259">
      <c r="A259" s="6">
        <v>257.0</v>
      </c>
      <c r="B259" s="6" t="s">
        <v>1324</v>
      </c>
      <c r="C259" s="6" t="s">
        <v>352</v>
      </c>
    </row>
    <row r="260">
      <c r="A260" s="6">
        <v>258.0</v>
      </c>
      <c r="B260" s="6" t="s">
        <v>1321</v>
      </c>
      <c r="C260" s="6" t="s">
        <v>354</v>
      </c>
    </row>
    <row r="261">
      <c r="A261" s="6">
        <v>259.0</v>
      </c>
      <c r="B261" s="6" t="s">
        <v>1324</v>
      </c>
      <c r="C261" s="6" t="s">
        <v>354</v>
      </c>
    </row>
    <row r="262">
      <c r="A262" s="6">
        <v>260.0</v>
      </c>
      <c r="B262" s="6" t="s">
        <v>1324</v>
      </c>
      <c r="C262" s="6" t="s">
        <v>354</v>
      </c>
    </row>
    <row r="263">
      <c r="A263" s="6">
        <v>261.0</v>
      </c>
      <c r="B263" s="6" t="s">
        <v>1321</v>
      </c>
      <c r="C263" s="6" t="s">
        <v>356</v>
      </c>
    </row>
    <row r="264">
      <c r="A264" s="6">
        <v>262.0</v>
      </c>
      <c r="B264" s="6" t="s">
        <v>1324</v>
      </c>
      <c r="C264" s="6" t="s">
        <v>356</v>
      </c>
    </row>
    <row r="265">
      <c r="A265" s="6">
        <v>263.0</v>
      </c>
      <c r="B265" s="6" t="s">
        <v>1324</v>
      </c>
      <c r="C265" s="6" t="s">
        <v>356</v>
      </c>
    </row>
    <row r="266">
      <c r="A266" s="6">
        <v>264.0</v>
      </c>
      <c r="B266" s="6" t="s">
        <v>1321</v>
      </c>
      <c r="C266" s="6" t="s">
        <v>357</v>
      </c>
    </row>
    <row r="267">
      <c r="A267" s="6">
        <v>265.0</v>
      </c>
      <c r="B267" s="6" t="s">
        <v>1324</v>
      </c>
      <c r="C267" s="6" t="s">
        <v>357</v>
      </c>
    </row>
    <row r="268">
      <c r="A268" s="6">
        <v>266.0</v>
      </c>
      <c r="B268" s="6" t="s">
        <v>1324</v>
      </c>
      <c r="C268" s="6" t="s">
        <v>357</v>
      </c>
    </row>
    <row r="269">
      <c r="A269" s="6">
        <v>267.0</v>
      </c>
      <c r="B269" s="6" t="s">
        <v>1321</v>
      </c>
      <c r="C269" s="6" t="s">
        <v>358</v>
      </c>
    </row>
    <row r="270">
      <c r="A270" s="6">
        <v>268.0</v>
      </c>
      <c r="B270" s="6" t="s">
        <v>1324</v>
      </c>
      <c r="C270" s="6" t="s">
        <v>358</v>
      </c>
    </row>
    <row r="271">
      <c r="A271" s="6">
        <v>269.0</v>
      </c>
      <c r="B271" s="6" t="s">
        <v>1324</v>
      </c>
      <c r="C271" s="6" t="s">
        <v>358</v>
      </c>
    </row>
    <row r="272">
      <c r="A272" s="6">
        <v>270.0</v>
      </c>
      <c r="B272" s="6" t="s">
        <v>1321</v>
      </c>
      <c r="C272" s="6" t="s">
        <v>359</v>
      </c>
    </row>
    <row r="273">
      <c r="A273" s="6">
        <v>271.0</v>
      </c>
      <c r="B273" s="6" t="s">
        <v>1324</v>
      </c>
      <c r="C273" s="6" t="s">
        <v>359</v>
      </c>
    </row>
    <row r="274">
      <c r="A274" s="6">
        <v>272.0</v>
      </c>
      <c r="B274" s="6" t="s">
        <v>1324</v>
      </c>
      <c r="C274" s="6" t="s">
        <v>359</v>
      </c>
    </row>
    <row r="275">
      <c r="A275" s="6">
        <v>273.0</v>
      </c>
      <c r="B275" s="6" t="s">
        <v>1321</v>
      </c>
      <c r="C275" s="6" t="s">
        <v>360</v>
      </c>
    </row>
    <row r="276">
      <c r="A276" s="6">
        <v>274.0</v>
      </c>
      <c r="B276" s="6" t="s">
        <v>1324</v>
      </c>
      <c r="C276" s="6" t="s">
        <v>360</v>
      </c>
    </row>
    <row r="277">
      <c r="A277" s="6">
        <v>275.0</v>
      </c>
      <c r="B277" s="6" t="s">
        <v>1324</v>
      </c>
      <c r="C277" s="6" t="s">
        <v>360</v>
      </c>
    </row>
    <row r="278">
      <c r="A278" s="6">
        <v>276.0</v>
      </c>
      <c r="B278" s="6" t="s">
        <v>1321</v>
      </c>
      <c r="C278" s="6" t="s">
        <v>361</v>
      </c>
    </row>
    <row r="279">
      <c r="A279" s="6">
        <v>277.0</v>
      </c>
      <c r="B279" s="6" t="s">
        <v>1324</v>
      </c>
      <c r="C279" s="6" t="s">
        <v>361</v>
      </c>
    </row>
    <row r="280">
      <c r="A280" s="6">
        <v>278.0</v>
      </c>
      <c r="B280" s="6" t="s">
        <v>1324</v>
      </c>
      <c r="C280" s="6" t="s">
        <v>361</v>
      </c>
    </row>
    <row r="281">
      <c r="A281" s="6">
        <v>279.0</v>
      </c>
      <c r="B281" s="6" t="s">
        <v>1321</v>
      </c>
      <c r="C281" s="6" t="s">
        <v>362</v>
      </c>
    </row>
    <row r="282">
      <c r="A282" s="6">
        <v>280.0</v>
      </c>
      <c r="B282" s="6" t="s">
        <v>1324</v>
      </c>
      <c r="C282" s="6" t="s">
        <v>362</v>
      </c>
    </row>
    <row r="283">
      <c r="A283" s="6">
        <v>281.0</v>
      </c>
      <c r="B283" s="6" t="s">
        <v>1324</v>
      </c>
      <c r="C283" s="6" t="s">
        <v>362</v>
      </c>
    </row>
    <row r="284">
      <c r="A284" s="6">
        <v>282.0</v>
      </c>
      <c r="B284" s="6" t="s">
        <v>1321</v>
      </c>
      <c r="C284" s="6" t="s">
        <v>363</v>
      </c>
    </row>
    <row r="285">
      <c r="A285" s="6">
        <v>283.0</v>
      </c>
      <c r="B285" s="6" t="s">
        <v>1324</v>
      </c>
      <c r="C285" s="6" t="s">
        <v>363</v>
      </c>
    </row>
    <row r="286">
      <c r="A286" s="6">
        <v>284.0</v>
      </c>
      <c r="B286" s="6" t="s">
        <v>1324</v>
      </c>
      <c r="C286" s="6" t="s">
        <v>363</v>
      </c>
    </row>
    <row r="287">
      <c r="A287" s="6">
        <v>285.0</v>
      </c>
      <c r="B287" s="6" t="s">
        <v>1321</v>
      </c>
      <c r="C287" s="6" t="s">
        <v>366</v>
      </c>
    </row>
    <row r="288">
      <c r="A288" s="6">
        <v>286.0</v>
      </c>
      <c r="B288" s="6" t="s">
        <v>1321</v>
      </c>
      <c r="C288" s="6" t="s">
        <v>364</v>
      </c>
    </row>
    <row r="289">
      <c r="A289" s="6">
        <v>287.0</v>
      </c>
      <c r="B289" s="6" t="s">
        <v>1324</v>
      </c>
      <c r="C289" s="6" t="s">
        <v>364</v>
      </c>
    </row>
    <row r="290">
      <c r="A290" s="6">
        <v>288.0</v>
      </c>
      <c r="B290" s="6" t="s">
        <v>1324</v>
      </c>
      <c r="C290" s="6" t="s">
        <v>364</v>
      </c>
    </row>
    <row r="291">
      <c r="A291" s="6">
        <v>289.0</v>
      </c>
      <c r="B291" s="6" t="s">
        <v>1324</v>
      </c>
      <c r="C291" s="6" t="s">
        <v>366</v>
      </c>
    </row>
    <row r="292">
      <c r="A292" s="6">
        <v>290.0</v>
      </c>
      <c r="B292" s="6" t="s">
        <v>1324</v>
      </c>
      <c r="C292" s="6" t="s">
        <v>366</v>
      </c>
    </row>
    <row r="293">
      <c r="A293" s="6">
        <v>291.0</v>
      </c>
      <c r="B293" s="6" t="s">
        <v>1324</v>
      </c>
      <c r="C293" s="6" t="s">
        <v>366</v>
      </c>
    </row>
    <row r="294">
      <c r="A294" s="6">
        <v>292.0</v>
      </c>
      <c r="B294" s="6" t="s">
        <v>1324</v>
      </c>
      <c r="C294" s="6" t="s">
        <v>366</v>
      </c>
    </row>
    <row r="295">
      <c r="A295" s="6">
        <v>293.0</v>
      </c>
      <c r="B295" s="6" t="s">
        <v>1321</v>
      </c>
      <c r="C295" s="6" t="s">
        <v>369</v>
      </c>
    </row>
    <row r="296">
      <c r="A296" s="6">
        <v>294.0</v>
      </c>
      <c r="B296" s="6" t="s">
        <v>1321</v>
      </c>
      <c r="C296" s="6" t="s">
        <v>365</v>
      </c>
    </row>
    <row r="297">
      <c r="A297" s="6">
        <v>295.0</v>
      </c>
      <c r="B297" s="6" t="s">
        <v>1324</v>
      </c>
      <c r="C297" s="6" t="s">
        <v>365</v>
      </c>
    </row>
    <row r="298">
      <c r="A298" s="6">
        <v>296.0</v>
      </c>
      <c r="B298" s="6" t="s">
        <v>1324</v>
      </c>
      <c r="C298" s="6" t="s">
        <v>365</v>
      </c>
    </row>
    <row r="299">
      <c r="A299" s="6">
        <v>297.0</v>
      </c>
      <c r="B299" s="6" t="s">
        <v>1324</v>
      </c>
      <c r="C299" s="6" t="s">
        <v>369</v>
      </c>
    </row>
    <row r="300">
      <c r="A300" s="6">
        <v>298.0</v>
      </c>
      <c r="B300" s="6" t="s">
        <v>1324</v>
      </c>
      <c r="C300" s="6" t="s">
        <v>369</v>
      </c>
    </row>
    <row r="301">
      <c r="A301" s="6">
        <v>299.0</v>
      </c>
      <c r="B301" s="6" t="s">
        <v>1324</v>
      </c>
      <c r="C301" s="6" t="s">
        <v>369</v>
      </c>
    </row>
    <row r="302">
      <c r="A302" s="6">
        <v>300.0</v>
      </c>
      <c r="B302" s="6" t="s">
        <v>1324</v>
      </c>
      <c r="C302" s="6" t="s">
        <v>369</v>
      </c>
    </row>
    <row r="303">
      <c r="A303" s="6">
        <v>301.0</v>
      </c>
      <c r="B303" s="6" t="s">
        <v>1321</v>
      </c>
      <c r="C303" s="6" t="s">
        <v>371</v>
      </c>
    </row>
    <row r="304">
      <c r="A304" s="6">
        <v>302.0</v>
      </c>
      <c r="B304" s="6" t="s">
        <v>1324</v>
      </c>
      <c r="C304" s="6" t="s">
        <v>371</v>
      </c>
    </row>
    <row r="305">
      <c r="A305" s="6">
        <v>303.0</v>
      </c>
      <c r="B305" s="6" t="s">
        <v>1322</v>
      </c>
      <c r="C305" s="6" t="s">
        <v>371</v>
      </c>
    </row>
    <row r="306">
      <c r="A306" s="6">
        <v>304.0</v>
      </c>
      <c r="B306" s="6" t="s">
        <v>1324</v>
      </c>
      <c r="C306" s="6" t="s">
        <v>371</v>
      </c>
    </row>
    <row r="307">
      <c r="A307" s="6">
        <v>305.0</v>
      </c>
      <c r="B307" s="6" t="s">
        <v>1324</v>
      </c>
      <c r="C307" s="6" t="s">
        <v>371</v>
      </c>
    </row>
    <row r="308">
      <c r="A308" s="6">
        <v>306.0</v>
      </c>
      <c r="B308" s="6" t="s">
        <v>1324</v>
      </c>
      <c r="C308" s="6" t="s">
        <v>371</v>
      </c>
    </row>
    <row r="309">
      <c r="A309" s="6">
        <v>307.0</v>
      </c>
      <c r="B309" s="6" t="s">
        <v>1321</v>
      </c>
      <c r="C309" s="6" t="s">
        <v>373</v>
      </c>
    </row>
    <row r="310">
      <c r="A310" s="6">
        <v>308.0</v>
      </c>
      <c r="B310" s="6" t="s">
        <v>1324</v>
      </c>
      <c r="C310" s="6" t="s">
        <v>373</v>
      </c>
    </row>
    <row r="311">
      <c r="A311" s="6">
        <v>309.0</v>
      </c>
      <c r="B311" s="6" t="s">
        <v>1324</v>
      </c>
      <c r="C311" s="6" t="s">
        <v>373</v>
      </c>
    </row>
    <row r="312">
      <c r="A312" s="6">
        <v>310.0</v>
      </c>
      <c r="B312" s="6" t="s">
        <v>1324</v>
      </c>
      <c r="C312" s="6" t="s">
        <v>373</v>
      </c>
    </row>
    <row r="313">
      <c r="A313" s="6">
        <v>311.0</v>
      </c>
      <c r="B313" s="6" t="s">
        <v>1324</v>
      </c>
      <c r="C313" s="6" t="s">
        <v>373</v>
      </c>
    </row>
    <row r="314">
      <c r="A314" s="6">
        <v>312.0</v>
      </c>
      <c r="B314" s="6" t="s">
        <v>1324</v>
      </c>
      <c r="C314" s="6" t="s">
        <v>373</v>
      </c>
    </row>
    <row r="315">
      <c r="A315" s="6">
        <v>313.0</v>
      </c>
      <c r="B315" s="6" t="s">
        <v>1321</v>
      </c>
      <c r="C315" s="6" t="s">
        <v>376</v>
      </c>
    </row>
    <row r="316">
      <c r="A316" s="6">
        <v>314.0</v>
      </c>
      <c r="B316" s="6" t="s">
        <v>1324</v>
      </c>
      <c r="C316" s="6" t="s">
        <v>376</v>
      </c>
    </row>
    <row r="317">
      <c r="A317" s="6">
        <v>315.0</v>
      </c>
      <c r="B317" s="6" t="s">
        <v>1324</v>
      </c>
      <c r="C317" s="6" t="s">
        <v>376</v>
      </c>
    </row>
    <row r="318">
      <c r="A318" s="6">
        <v>316.0</v>
      </c>
      <c r="B318" s="6" t="s">
        <v>1324</v>
      </c>
      <c r="C318" s="6" t="s">
        <v>376</v>
      </c>
    </row>
    <row r="319">
      <c r="A319" s="6">
        <v>317.0</v>
      </c>
      <c r="B319" s="6" t="s">
        <v>1324</v>
      </c>
      <c r="C319" s="6" t="s">
        <v>376</v>
      </c>
    </row>
    <row r="320">
      <c r="A320" s="6">
        <v>318.0</v>
      </c>
      <c r="B320" s="6" t="s">
        <v>1324</v>
      </c>
      <c r="C320" s="6" t="s">
        <v>376</v>
      </c>
    </row>
    <row r="321">
      <c r="A321" s="6">
        <v>319.0</v>
      </c>
      <c r="B321" s="6" t="s">
        <v>1321</v>
      </c>
      <c r="C321" s="6" t="s">
        <v>377</v>
      </c>
    </row>
    <row r="322">
      <c r="A322" s="6">
        <v>320.0</v>
      </c>
      <c r="B322" s="6" t="s">
        <v>1324</v>
      </c>
      <c r="C322" s="6" t="s">
        <v>377</v>
      </c>
    </row>
    <row r="323">
      <c r="A323" s="6">
        <v>321.0</v>
      </c>
      <c r="B323" s="6" t="s">
        <v>1324</v>
      </c>
      <c r="C323" s="6" t="s">
        <v>377</v>
      </c>
    </row>
    <row r="324">
      <c r="A324" s="6">
        <v>322.0</v>
      </c>
      <c r="B324" s="6" t="s">
        <v>1324</v>
      </c>
      <c r="C324" s="6" t="s">
        <v>377</v>
      </c>
    </row>
    <row r="325">
      <c r="A325" s="6">
        <v>323.0</v>
      </c>
      <c r="B325" s="6" t="s">
        <v>1324</v>
      </c>
      <c r="C325" s="6" t="s">
        <v>377</v>
      </c>
    </row>
    <row r="326">
      <c r="A326" s="6">
        <v>324.0</v>
      </c>
      <c r="B326" s="6" t="s">
        <v>1324</v>
      </c>
      <c r="C326" s="6" t="s">
        <v>377</v>
      </c>
    </row>
    <row r="327">
      <c r="A327" s="6">
        <v>325.0</v>
      </c>
      <c r="B327" s="6" t="s">
        <v>1321</v>
      </c>
      <c r="C327" s="6" t="s">
        <v>263</v>
      </c>
    </row>
    <row r="328">
      <c r="A328" s="6">
        <v>326.0</v>
      </c>
      <c r="B328" s="6" t="s">
        <v>1324</v>
      </c>
      <c r="C328" s="6" t="s">
        <v>263</v>
      </c>
    </row>
    <row r="329">
      <c r="A329" s="6">
        <v>327.0</v>
      </c>
      <c r="B329" s="6" t="s">
        <v>1324</v>
      </c>
      <c r="C329" s="6" t="s">
        <v>263</v>
      </c>
    </row>
    <row r="330">
      <c r="A330" s="6">
        <v>328.0</v>
      </c>
      <c r="B330" s="6" t="s">
        <v>1324</v>
      </c>
      <c r="C330" s="6" t="s">
        <v>263</v>
      </c>
    </row>
    <row r="331">
      <c r="A331" s="6">
        <v>329.0</v>
      </c>
      <c r="B331" s="6" t="s">
        <v>1324</v>
      </c>
      <c r="C331" s="6" t="s">
        <v>263</v>
      </c>
    </row>
    <row r="332">
      <c r="A332" s="6">
        <v>330.0</v>
      </c>
      <c r="B332" s="6" t="s">
        <v>1324</v>
      </c>
      <c r="C332" s="6" t="s">
        <v>263</v>
      </c>
    </row>
    <row r="333">
      <c r="A333" s="6">
        <v>331.0</v>
      </c>
      <c r="B333" s="6" t="s">
        <v>1324</v>
      </c>
      <c r="C333" s="6" t="s">
        <v>231</v>
      </c>
    </row>
    <row r="334">
      <c r="A334" s="6">
        <v>332.0</v>
      </c>
      <c r="B334" s="6" t="s">
        <v>1324</v>
      </c>
      <c r="C334" s="6" t="s">
        <v>333</v>
      </c>
    </row>
    <row r="335">
      <c r="A335" s="6">
        <v>333.0</v>
      </c>
      <c r="B335" s="6" t="s">
        <v>1321</v>
      </c>
      <c r="C335" s="6" t="s">
        <v>1039</v>
      </c>
    </row>
    <row r="336">
      <c r="A336" s="6">
        <v>334.0</v>
      </c>
      <c r="B336" s="6" t="s">
        <v>1324</v>
      </c>
      <c r="C336" s="6" t="s">
        <v>1039</v>
      </c>
    </row>
    <row r="337">
      <c r="A337" s="6">
        <v>335.0</v>
      </c>
      <c r="B337" s="6" t="s">
        <v>1322</v>
      </c>
      <c r="C337" s="6" t="s">
        <v>1039</v>
      </c>
    </row>
    <row r="338">
      <c r="A338" s="6">
        <v>336.0</v>
      </c>
      <c r="B338" s="6" t="s">
        <v>1324</v>
      </c>
      <c r="C338" s="6" t="s">
        <v>1039</v>
      </c>
    </row>
    <row r="339">
      <c r="A339" s="6">
        <v>337.0</v>
      </c>
      <c r="B339" s="6" t="s">
        <v>1324</v>
      </c>
      <c r="C339" s="6" t="s">
        <v>1039</v>
      </c>
    </row>
    <row r="340">
      <c r="A340" s="6">
        <v>338.0</v>
      </c>
      <c r="B340" s="6" t="s">
        <v>1321</v>
      </c>
      <c r="C340" s="6" t="s">
        <v>383</v>
      </c>
    </row>
    <row r="341">
      <c r="A341" s="6">
        <v>339.0</v>
      </c>
      <c r="B341" s="6" t="s">
        <v>1324</v>
      </c>
      <c r="C341" s="6" t="s">
        <v>383</v>
      </c>
    </row>
    <row r="342">
      <c r="A342" s="6">
        <v>340.0</v>
      </c>
      <c r="B342" s="6" t="s">
        <v>1324</v>
      </c>
      <c r="C342" s="6" t="s">
        <v>383</v>
      </c>
    </row>
    <row r="343">
      <c r="A343" s="6">
        <v>341.0</v>
      </c>
      <c r="B343" s="6" t="s">
        <v>1324</v>
      </c>
      <c r="C343" s="6" t="s">
        <v>383</v>
      </c>
    </row>
    <row r="344">
      <c r="A344" s="6">
        <v>342.0</v>
      </c>
      <c r="B344" s="6" t="s">
        <v>1321</v>
      </c>
      <c r="C344" s="6" t="s">
        <v>1044</v>
      </c>
    </row>
    <row r="345">
      <c r="A345" s="6">
        <v>343.0</v>
      </c>
      <c r="B345" s="6" t="s">
        <v>1324</v>
      </c>
      <c r="C345" s="6" t="s">
        <v>1044</v>
      </c>
    </row>
    <row r="346">
      <c r="A346" s="6">
        <v>344.0</v>
      </c>
      <c r="B346" s="6" t="s">
        <v>1324</v>
      </c>
      <c r="C346" s="6" t="s">
        <v>1044</v>
      </c>
    </row>
    <row r="347">
      <c r="A347" s="6">
        <v>345.0</v>
      </c>
      <c r="B347" s="6" t="s">
        <v>1324</v>
      </c>
      <c r="C347" s="6" t="s">
        <v>1044</v>
      </c>
    </row>
    <row r="348">
      <c r="A348" s="6">
        <v>346.0</v>
      </c>
      <c r="B348" s="6" t="s">
        <v>1321</v>
      </c>
      <c r="C348" s="6" t="s">
        <v>387</v>
      </c>
    </row>
    <row r="349">
      <c r="A349" s="6">
        <v>347.0</v>
      </c>
      <c r="B349" s="6" t="s">
        <v>1324</v>
      </c>
      <c r="C349" s="6" t="s">
        <v>387</v>
      </c>
    </row>
    <row r="350">
      <c r="A350" s="6">
        <v>348.0</v>
      </c>
      <c r="B350" s="6" t="s">
        <v>1324</v>
      </c>
      <c r="C350" s="6" t="s">
        <v>387</v>
      </c>
    </row>
    <row r="351">
      <c r="A351" s="6">
        <v>349.0</v>
      </c>
      <c r="B351" s="6" t="s">
        <v>1324</v>
      </c>
      <c r="C351" s="6" t="s">
        <v>387</v>
      </c>
    </row>
    <row r="352">
      <c r="A352" s="6">
        <v>350.0</v>
      </c>
      <c r="B352" s="6" t="s">
        <v>1321</v>
      </c>
      <c r="C352" s="6" t="s">
        <v>389</v>
      </c>
    </row>
    <row r="353">
      <c r="A353" s="6">
        <v>351.0</v>
      </c>
      <c r="B353" s="6" t="s">
        <v>1324</v>
      </c>
      <c r="C353" s="6" t="s">
        <v>389</v>
      </c>
    </row>
    <row r="354">
      <c r="A354" s="6">
        <v>352.0</v>
      </c>
      <c r="B354" s="6" t="s">
        <v>1324</v>
      </c>
      <c r="C354" s="6" t="s">
        <v>389</v>
      </c>
    </row>
    <row r="355">
      <c r="A355" s="6">
        <v>353.0</v>
      </c>
      <c r="B355" s="6" t="s">
        <v>1324</v>
      </c>
      <c r="C355" s="6" t="s">
        <v>389</v>
      </c>
    </row>
    <row r="356">
      <c r="A356" s="6">
        <v>354.0</v>
      </c>
      <c r="B356" s="6" t="s">
        <v>1321</v>
      </c>
      <c r="C356" s="6" t="s">
        <v>1051</v>
      </c>
    </row>
    <row r="357">
      <c r="A357" s="6">
        <v>355.0</v>
      </c>
      <c r="B357" s="6" t="s">
        <v>1324</v>
      </c>
      <c r="C357" s="6" t="s">
        <v>1051</v>
      </c>
    </row>
    <row r="358">
      <c r="A358" s="6">
        <v>356.0</v>
      </c>
      <c r="B358" s="6" t="s">
        <v>1324</v>
      </c>
      <c r="C358" s="6" t="s">
        <v>1051</v>
      </c>
    </row>
    <row r="359">
      <c r="A359" s="6">
        <v>357.0</v>
      </c>
      <c r="B359" s="6" t="s">
        <v>1324</v>
      </c>
      <c r="C359" s="6" t="s">
        <v>1051</v>
      </c>
    </row>
    <row r="360">
      <c r="A360" s="6">
        <v>358.0</v>
      </c>
      <c r="B360" s="6" t="s">
        <v>1321</v>
      </c>
      <c r="C360" s="6" t="s">
        <v>394</v>
      </c>
    </row>
    <row r="361">
      <c r="A361" s="6">
        <v>359.0</v>
      </c>
      <c r="B361" s="6" t="s">
        <v>1324</v>
      </c>
      <c r="C361" s="6" t="s">
        <v>394</v>
      </c>
    </row>
    <row r="362">
      <c r="A362" s="6">
        <v>360.0</v>
      </c>
      <c r="B362" s="6" t="s">
        <v>1324</v>
      </c>
      <c r="C362" s="6" t="s">
        <v>394</v>
      </c>
    </row>
    <row r="363">
      <c r="A363" s="6">
        <v>361.0</v>
      </c>
      <c r="B363" s="6" t="s">
        <v>1324</v>
      </c>
      <c r="C363" s="6" t="s">
        <v>394</v>
      </c>
    </row>
    <row r="364">
      <c r="A364" s="6">
        <v>362.0</v>
      </c>
      <c r="B364" s="6" t="s">
        <v>1321</v>
      </c>
      <c r="C364" s="6" t="s">
        <v>396</v>
      </c>
    </row>
    <row r="365">
      <c r="A365" s="6">
        <v>363.0</v>
      </c>
      <c r="B365" s="6" t="s">
        <v>1322</v>
      </c>
      <c r="C365" s="6" t="s">
        <v>396</v>
      </c>
    </row>
    <row r="366">
      <c r="A366" s="6">
        <v>364.0</v>
      </c>
      <c r="B366" s="6" t="s">
        <v>1324</v>
      </c>
      <c r="C366" s="6" t="s">
        <v>396</v>
      </c>
    </row>
    <row r="367">
      <c r="A367" s="6">
        <v>365.0</v>
      </c>
      <c r="B367" s="6" t="s">
        <v>1324</v>
      </c>
      <c r="C367" s="6" t="s">
        <v>396</v>
      </c>
    </row>
    <row r="368">
      <c r="A368" s="6">
        <v>366.0</v>
      </c>
      <c r="B368" s="6" t="s">
        <v>1324</v>
      </c>
      <c r="C368" s="6" t="s">
        <v>396</v>
      </c>
    </row>
    <row r="369">
      <c r="A369" s="6">
        <v>367.0</v>
      </c>
      <c r="B369" s="6" t="s">
        <v>1321</v>
      </c>
      <c r="C369" s="6" t="s">
        <v>398</v>
      </c>
    </row>
    <row r="370">
      <c r="A370" s="6">
        <v>368.0</v>
      </c>
      <c r="B370" s="6" t="s">
        <v>1324</v>
      </c>
      <c r="C370" s="6" t="s">
        <v>398</v>
      </c>
    </row>
    <row r="371">
      <c r="A371" s="6">
        <v>369.0</v>
      </c>
      <c r="B371" s="6" t="s">
        <v>1324</v>
      </c>
      <c r="C371" s="6" t="s">
        <v>398</v>
      </c>
    </row>
    <row r="372">
      <c r="A372" s="6">
        <v>370.0</v>
      </c>
      <c r="B372" s="6" t="s">
        <v>1324</v>
      </c>
      <c r="C372" s="6" t="s">
        <v>398</v>
      </c>
    </row>
    <row r="373">
      <c r="A373" s="6">
        <v>371.0</v>
      </c>
      <c r="B373" s="6" t="s">
        <v>1321</v>
      </c>
      <c r="C373" s="6" t="s">
        <v>379</v>
      </c>
    </row>
    <row r="374">
      <c r="A374" s="6">
        <v>372.0</v>
      </c>
      <c r="B374" s="6" t="s">
        <v>1324</v>
      </c>
      <c r="C374" s="6" t="s">
        <v>379</v>
      </c>
    </row>
    <row r="375">
      <c r="A375" s="6">
        <v>373.0</v>
      </c>
      <c r="B375" s="6" t="s">
        <v>1324</v>
      </c>
      <c r="C375" s="6" t="s">
        <v>379</v>
      </c>
    </row>
    <row r="376">
      <c r="A376" s="6">
        <v>374.0</v>
      </c>
      <c r="B376" s="6" t="s">
        <v>1324</v>
      </c>
      <c r="C376" s="6" t="s">
        <v>379</v>
      </c>
    </row>
    <row r="377">
      <c r="A377" s="6">
        <v>375.0</v>
      </c>
      <c r="B377" s="6" t="s">
        <v>1324</v>
      </c>
      <c r="C377" s="6" t="s">
        <v>379</v>
      </c>
    </row>
    <row r="378">
      <c r="A378" s="6">
        <v>376.0</v>
      </c>
      <c r="B378" s="6" t="s">
        <v>1324</v>
      </c>
      <c r="C378" s="6" t="s">
        <v>379</v>
      </c>
    </row>
    <row r="379">
      <c r="A379" s="6">
        <v>377.0</v>
      </c>
      <c r="B379" s="6" t="s">
        <v>1321</v>
      </c>
      <c r="C379" s="6" t="s">
        <v>400</v>
      </c>
    </row>
    <row r="380">
      <c r="A380" s="6">
        <v>378.0</v>
      </c>
      <c r="B380" s="6" t="s">
        <v>1324</v>
      </c>
      <c r="C380" s="6" t="s">
        <v>400</v>
      </c>
    </row>
    <row r="381">
      <c r="A381" s="6">
        <v>379.0</v>
      </c>
      <c r="B381" s="6" t="s">
        <v>1324</v>
      </c>
      <c r="C381" s="6" t="s">
        <v>400</v>
      </c>
    </row>
    <row r="382">
      <c r="A382" s="6">
        <v>380.0</v>
      </c>
      <c r="B382" s="6" t="s">
        <v>1324</v>
      </c>
      <c r="C382" s="6" t="s">
        <v>400</v>
      </c>
    </row>
    <row r="383">
      <c r="A383" s="6">
        <v>381.0</v>
      </c>
      <c r="B383" s="6" t="s">
        <v>1324</v>
      </c>
      <c r="C383" s="6" t="s">
        <v>400</v>
      </c>
    </row>
    <row r="384">
      <c r="A384" s="6">
        <v>382.0</v>
      </c>
      <c r="B384" s="6" t="s">
        <v>1324</v>
      </c>
      <c r="C384" s="6" t="s">
        <v>400</v>
      </c>
    </row>
    <row r="385">
      <c r="A385" s="6">
        <v>383.0</v>
      </c>
      <c r="B385" s="6" t="s">
        <v>1321</v>
      </c>
      <c r="C385" s="6" t="s">
        <v>402</v>
      </c>
    </row>
    <row r="386">
      <c r="A386" s="6">
        <v>384.0</v>
      </c>
      <c r="B386" s="6" t="s">
        <v>1324</v>
      </c>
      <c r="C386" s="6" t="s">
        <v>402</v>
      </c>
    </row>
    <row r="387">
      <c r="A387" s="6">
        <v>385.0</v>
      </c>
      <c r="B387" s="6" t="s">
        <v>1324</v>
      </c>
      <c r="C387" s="6" t="s">
        <v>402</v>
      </c>
    </row>
    <row r="388">
      <c r="A388" s="6">
        <v>386.0</v>
      </c>
      <c r="B388" s="6" t="s">
        <v>1324</v>
      </c>
      <c r="C388" s="6" t="s">
        <v>402</v>
      </c>
    </row>
    <row r="389">
      <c r="A389" s="6">
        <v>387.0</v>
      </c>
      <c r="B389" s="6" t="s">
        <v>1324</v>
      </c>
      <c r="C389" s="6" t="s">
        <v>402</v>
      </c>
    </row>
    <row r="390">
      <c r="A390" s="6">
        <v>388.0</v>
      </c>
      <c r="B390" s="6" t="s">
        <v>1324</v>
      </c>
      <c r="C390" s="6" t="s">
        <v>402</v>
      </c>
    </row>
    <row r="391">
      <c r="A391" s="6">
        <v>389.0</v>
      </c>
      <c r="B391" s="6" t="s">
        <v>1321</v>
      </c>
      <c r="C391" s="6" t="s">
        <v>404</v>
      </c>
    </row>
    <row r="392">
      <c r="A392" s="6">
        <v>390.0</v>
      </c>
      <c r="B392" s="6" t="s">
        <v>1324</v>
      </c>
      <c r="C392" s="6" t="s">
        <v>404</v>
      </c>
    </row>
    <row r="393">
      <c r="A393" s="6">
        <v>391.0</v>
      </c>
      <c r="B393" s="6" t="s">
        <v>1324</v>
      </c>
      <c r="C393" s="6" t="s">
        <v>404</v>
      </c>
    </row>
    <row r="394">
      <c r="A394" s="6">
        <v>392.0</v>
      </c>
      <c r="B394" s="6" t="s">
        <v>1324</v>
      </c>
      <c r="C394" s="6" t="s">
        <v>404</v>
      </c>
    </row>
    <row r="395">
      <c r="A395" s="6">
        <v>393.0</v>
      </c>
      <c r="B395" s="6" t="s">
        <v>1324</v>
      </c>
      <c r="C395" s="6" t="s">
        <v>404</v>
      </c>
    </row>
    <row r="396">
      <c r="A396" s="6">
        <v>394.0</v>
      </c>
      <c r="B396" s="6" t="s">
        <v>1324</v>
      </c>
      <c r="C396" s="6" t="s">
        <v>404</v>
      </c>
    </row>
    <row r="397">
      <c r="A397" s="6">
        <v>395.0</v>
      </c>
      <c r="B397" s="6" t="s">
        <v>1321</v>
      </c>
      <c r="C397" s="6" t="s">
        <v>1063</v>
      </c>
    </row>
    <row r="398">
      <c r="A398" s="6">
        <v>396.0</v>
      </c>
      <c r="B398" s="6" t="s">
        <v>1324</v>
      </c>
      <c r="C398" s="6" t="s">
        <v>1063</v>
      </c>
    </row>
    <row r="399">
      <c r="A399" s="6">
        <v>397.0</v>
      </c>
      <c r="B399" s="6" t="s">
        <v>1324</v>
      </c>
      <c r="C399" s="6" t="s">
        <v>1063</v>
      </c>
    </row>
    <row r="400">
      <c r="A400" s="6">
        <v>398.0</v>
      </c>
      <c r="B400" s="6" t="s">
        <v>1324</v>
      </c>
      <c r="C400" s="6" t="s">
        <v>1063</v>
      </c>
    </row>
    <row r="401">
      <c r="A401" s="6">
        <v>399.0</v>
      </c>
      <c r="B401" s="6" t="s">
        <v>1324</v>
      </c>
      <c r="C401" s="6" t="s">
        <v>1063</v>
      </c>
    </row>
    <row r="402">
      <c r="A402" s="6">
        <v>400.0</v>
      </c>
      <c r="B402" s="6" t="s">
        <v>1324</v>
      </c>
      <c r="C402" s="6" t="s">
        <v>1063</v>
      </c>
    </row>
    <row r="403">
      <c r="A403" s="6">
        <v>401.0</v>
      </c>
      <c r="B403" s="6" t="s">
        <v>1321</v>
      </c>
      <c r="C403" s="6" t="s">
        <v>1065</v>
      </c>
    </row>
    <row r="404">
      <c r="A404" s="6">
        <v>402.0</v>
      </c>
      <c r="B404" s="6" t="s">
        <v>1324</v>
      </c>
      <c r="C404" s="6" t="s">
        <v>1065</v>
      </c>
    </row>
    <row r="405">
      <c r="A405" s="6">
        <v>403.0</v>
      </c>
      <c r="B405" s="6" t="s">
        <v>1324</v>
      </c>
      <c r="C405" s="6" t="s">
        <v>1065</v>
      </c>
    </row>
    <row r="406">
      <c r="A406" s="6">
        <v>404.0</v>
      </c>
      <c r="B406" s="6" t="s">
        <v>1324</v>
      </c>
      <c r="C406" s="6" t="s">
        <v>1065</v>
      </c>
    </row>
    <row r="407">
      <c r="A407" s="6">
        <v>405.0</v>
      </c>
      <c r="B407" s="6" t="s">
        <v>1324</v>
      </c>
      <c r="C407" s="6" t="s">
        <v>1065</v>
      </c>
    </row>
    <row r="408">
      <c r="A408" s="6">
        <v>406.0</v>
      </c>
      <c r="B408" s="6" t="s">
        <v>1322</v>
      </c>
      <c r="C408" s="6" t="s">
        <v>1065</v>
      </c>
    </row>
    <row r="409">
      <c r="A409" s="6">
        <v>407.0</v>
      </c>
      <c r="B409" s="6" t="s">
        <v>1322</v>
      </c>
      <c r="C409" s="6" t="s">
        <v>1065</v>
      </c>
    </row>
    <row r="410">
      <c r="A410" s="6">
        <v>408.0</v>
      </c>
      <c r="B410" s="6" t="s">
        <v>1321</v>
      </c>
      <c r="C410" s="6" t="s">
        <v>409</v>
      </c>
    </row>
    <row r="411">
      <c r="A411" s="6">
        <v>409.0</v>
      </c>
      <c r="B411" s="6" t="s">
        <v>1324</v>
      </c>
      <c r="C411" s="6" t="s">
        <v>1065</v>
      </c>
    </row>
    <row r="412">
      <c r="A412" s="6">
        <v>410.0</v>
      </c>
      <c r="B412" s="6" t="s">
        <v>1321</v>
      </c>
      <c r="C412" s="6" t="s">
        <v>1071</v>
      </c>
    </row>
    <row r="413">
      <c r="A413" s="6">
        <v>411.0</v>
      </c>
      <c r="B413" s="6" t="s">
        <v>1324</v>
      </c>
      <c r="C413" s="6" t="s">
        <v>1071</v>
      </c>
    </row>
    <row r="414">
      <c r="A414" s="6">
        <v>412.0</v>
      </c>
      <c r="B414" s="6" t="s">
        <v>1322</v>
      </c>
      <c r="C414" s="6" t="s">
        <v>1071</v>
      </c>
    </row>
    <row r="415">
      <c r="A415" s="6">
        <v>413.0</v>
      </c>
      <c r="B415" s="6" t="s">
        <v>1324</v>
      </c>
      <c r="C415" s="6" t="s">
        <v>1071</v>
      </c>
    </row>
    <row r="416">
      <c r="A416" s="6">
        <v>414.0</v>
      </c>
      <c r="B416" s="6" t="s">
        <v>1324</v>
      </c>
      <c r="C416" s="6" t="s">
        <v>1071</v>
      </c>
    </row>
    <row r="417">
      <c r="A417" s="6">
        <v>415.0</v>
      </c>
      <c r="B417" s="6" t="s">
        <v>1324</v>
      </c>
      <c r="C417" s="6" t="s">
        <v>1071</v>
      </c>
    </row>
    <row r="418">
      <c r="A418" s="6">
        <v>416.0</v>
      </c>
      <c r="B418" s="6" t="s">
        <v>1324</v>
      </c>
      <c r="C418" s="6" t="s">
        <v>1071</v>
      </c>
    </row>
    <row r="419">
      <c r="A419" s="6">
        <v>417.0</v>
      </c>
      <c r="B419" s="6" t="s">
        <v>1324</v>
      </c>
      <c r="C419" s="6" t="s">
        <v>409</v>
      </c>
    </row>
    <row r="420">
      <c r="A420" s="6">
        <v>418.0</v>
      </c>
      <c r="B420" s="6" t="s">
        <v>1324</v>
      </c>
      <c r="C420" s="6" t="s">
        <v>409</v>
      </c>
    </row>
    <row r="421">
      <c r="A421" s="6">
        <v>419.0</v>
      </c>
      <c r="B421" s="6" t="s">
        <v>1324</v>
      </c>
      <c r="C421" s="6" t="s">
        <v>409</v>
      </c>
    </row>
    <row r="422">
      <c r="A422" s="6">
        <v>420.0</v>
      </c>
      <c r="B422" s="6" t="s">
        <v>1321</v>
      </c>
      <c r="C422" s="6" t="s">
        <v>1073</v>
      </c>
    </row>
    <row r="423">
      <c r="A423" s="6">
        <v>421.0</v>
      </c>
      <c r="B423" s="6" t="s">
        <v>1324</v>
      </c>
      <c r="C423" s="6" t="s">
        <v>1073</v>
      </c>
    </row>
    <row r="424">
      <c r="A424" s="6">
        <v>422.0</v>
      </c>
      <c r="B424" s="6" t="s">
        <v>1322</v>
      </c>
      <c r="C424" s="6" t="s">
        <v>1073</v>
      </c>
    </row>
    <row r="425">
      <c r="A425" s="6">
        <v>423.0</v>
      </c>
      <c r="B425" s="6" t="s">
        <v>1324</v>
      </c>
      <c r="C425" s="6" t="s">
        <v>1073</v>
      </c>
    </row>
    <row r="426">
      <c r="A426" s="6">
        <v>424.0</v>
      </c>
      <c r="B426" s="6" t="s">
        <v>1324</v>
      </c>
      <c r="C426" s="6" t="s">
        <v>1073</v>
      </c>
    </row>
    <row r="427">
      <c r="A427" s="6">
        <v>425.0</v>
      </c>
      <c r="B427" s="6" t="s">
        <v>1328</v>
      </c>
      <c r="C427" s="6" t="s">
        <v>1073</v>
      </c>
    </row>
    <row r="428">
      <c r="A428" s="6">
        <v>426.0</v>
      </c>
      <c r="B428" s="6" t="s">
        <v>1324</v>
      </c>
      <c r="C428" s="6" t="s">
        <v>1073</v>
      </c>
    </row>
    <row r="429">
      <c r="A429" s="6">
        <v>427.0</v>
      </c>
      <c r="B429" s="6" t="s">
        <v>1321</v>
      </c>
      <c r="C429" s="6" t="s">
        <v>1075</v>
      </c>
    </row>
    <row r="430">
      <c r="A430" s="6">
        <v>428.0</v>
      </c>
      <c r="B430" s="6" t="s">
        <v>1324</v>
      </c>
      <c r="C430" s="6" t="s">
        <v>1075</v>
      </c>
    </row>
    <row r="431">
      <c r="A431" s="6">
        <v>429.0</v>
      </c>
      <c r="B431" s="6" t="s">
        <v>1324</v>
      </c>
      <c r="C431" s="6" t="s">
        <v>1075</v>
      </c>
    </row>
    <row r="432">
      <c r="A432" s="6">
        <v>430.0</v>
      </c>
      <c r="B432" s="6" t="s">
        <v>1324</v>
      </c>
      <c r="C432" s="6" t="s">
        <v>1075</v>
      </c>
    </row>
    <row r="433">
      <c r="A433" s="6">
        <v>431.0</v>
      </c>
      <c r="B433" s="6" t="s">
        <v>1324</v>
      </c>
      <c r="C433" s="6" t="s">
        <v>1075</v>
      </c>
    </row>
    <row r="434">
      <c r="A434" s="6">
        <v>432.0</v>
      </c>
      <c r="B434" s="6" t="s">
        <v>1324</v>
      </c>
      <c r="C434" s="6" t="s">
        <v>1075</v>
      </c>
    </row>
    <row r="435">
      <c r="A435" s="6">
        <v>433.0</v>
      </c>
      <c r="B435" s="6" t="s">
        <v>1321</v>
      </c>
      <c r="C435" s="6" t="s">
        <v>1078</v>
      </c>
    </row>
    <row r="436">
      <c r="A436" s="6">
        <v>434.0</v>
      </c>
      <c r="B436" s="6" t="s">
        <v>1322</v>
      </c>
      <c r="C436" s="6" t="s">
        <v>1078</v>
      </c>
    </row>
    <row r="437">
      <c r="A437" s="6">
        <v>435.0</v>
      </c>
      <c r="B437" s="6" t="s">
        <v>1324</v>
      </c>
      <c r="C437" s="6" t="s">
        <v>1078</v>
      </c>
    </row>
    <row r="438">
      <c r="A438" s="6">
        <v>436.0</v>
      </c>
      <c r="B438" s="6" t="s">
        <v>1326</v>
      </c>
      <c r="C438" s="6" t="s">
        <v>1078</v>
      </c>
    </row>
    <row r="439">
      <c r="A439" s="6">
        <v>437.0</v>
      </c>
      <c r="B439" s="6" t="s">
        <v>1324</v>
      </c>
      <c r="C439" s="6" t="s">
        <v>1078</v>
      </c>
    </row>
    <row r="440">
      <c r="A440" s="6">
        <v>438.0</v>
      </c>
      <c r="B440" s="6" t="s">
        <v>1324</v>
      </c>
      <c r="C440" s="6" t="s">
        <v>1078</v>
      </c>
    </row>
    <row r="441">
      <c r="A441" s="6">
        <v>439.0</v>
      </c>
      <c r="B441" s="6" t="s">
        <v>1321</v>
      </c>
      <c r="C441" s="6" t="s">
        <v>417</v>
      </c>
    </row>
    <row r="442">
      <c r="A442" s="6">
        <v>440.0</v>
      </c>
      <c r="B442" s="6" t="s">
        <v>1324</v>
      </c>
      <c r="C442" s="6" t="s">
        <v>1078</v>
      </c>
    </row>
    <row r="443">
      <c r="A443" s="6">
        <v>441.0</v>
      </c>
      <c r="B443" s="6" t="s">
        <v>1324</v>
      </c>
      <c r="C443" s="6" t="s">
        <v>1078</v>
      </c>
    </row>
    <row r="444">
      <c r="A444" s="6">
        <v>442.0</v>
      </c>
      <c r="B444" s="6" t="s">
        <v>1324</v>
      </c>
      <c r="C444" s="6" t="s">
        <v>417</v>
      </c>
    </row>
    <row r="445">
      <c r="A445" s="6">
        <v>443.0</v>
      </c>
      <c r="B445" s="6" t="s">
        <v>1324</v>
      </c>
      <c r="C445" s="6" t="s">
        <v>417</v>
      </c>
    </row>
    <row r="446">
      <c r="A446" s="6">
        <v>444.0</v>
      </c>
      <c r="B446" s="6" t="s">
        <v>1324</v>
      </c>
      <c r="C446" s="6" t="s">
        <v>417</v>
      </c>
    </row>
    <row r="447">
      <c r="A447" s="6">
        <v>445.0</v>
      </c>
      <c r="B447" s="6" t="s">
        <v>1324</v>
      </c>
      <c r="C447" s="6" t="s">
        <v>417</v>
      </c>
    </row>
    <row r="448">
      <c r="A448" s="6">
        <v>446.0</v>
      </c>
      <c r="B448" s="6" t="s">
        <v>1321</v>
      </c>
      <c r="C448" s="6" t="s">
        <v>419</v>
      </c>
    </row>
    <row r="449">
      <c r="A449" s="6">
        <v>447.0</v>
      </c>
      <c r="B449" s="6" t="s">
        <v>1324</v>
      </c>
      <c r="C449" s="6" t="s">
        <v>419</v>
      </c>
    </row>
    <row r="450">
      <c r="A450" s="6">
        <v>448.0</v>
      </c>
      <c r="B450" s="6" t="s">
        <v>1324</v>
      </c>
      <c r="C450" s="6" t="s">
        <v>419</v>
      </c>
    </row>
    <row r="451">
      <c r="A451" s="6">
        <v>449.0</v>
      </c>
      <c r="B451" s="6" t="s">
        <v>1324</v>
      </c>
      <c r="C451" s="6" t="s">
        <v>419</v>
      </c>
    </row>
    <row r="452">
      <c r="A452" s="6">
        <v>450.0</v>
      </c>
      <c r="B452" s="6" t="s">
        <v>1324</v>
      </c>
      <c r="C452" s="6" t="s">
        <v>419</v>
      </c>
    </row>
    <row r="453">
      <c r="A453" s="6">
        <v>451.0</v>
      </c>
      <c r="B453" s="6" t="s">
        <v>1321</v>
      </c>
      <c r="C453" s="6" t="s">
        <v>421</v>
      </c>
    </row>
    <row r="454">
      <c r="A454" s="6">
        <v>452.0</v>
      </c>
      <c r="B454" s="6" t="s">
        <v>1324</v>
      </c>
      <c r="C454" s="6" t="s">
        <v>421</v>
      </c>
    </row>
    <row r="455">
      <c r="A455" s="6">
        <v>453.0</v>
      </c>
      <c r="B455" s="6" t="s">
        <v>1324</v>
      </c>
      <c r="C455" s="6" t="s">
        <v>421</v>
      </c>
    </row>
    <row r="456">
      <c r="A456" s="6">
        <v>454.0</v>
      </c>
      <c r="B456" s="6" t="s">
        <v>1324</v>
      </c>
      <c r="C456" s="6" t="s">
        <v>421</v>
      </c>
    </row>
    <row r="457">
      <c r="A457" s="6">
        <v>455.0</v>
      </c>
      <c r="B457" s="6" t="s">
        <v>1321</v>
      </c>
      <c r="C457" s="6" t="s">
        <v>423</v>
      </c>
    </row>
    <row r="458">
      <c r="A458" s="6">
        <v>456.0</v>
      </c>
      <c r="B458" s="6" t="s">
        <v>1324</v>
      </c>
      <c r="C458" s="6" t="s">
        <v>423</v>
      </c>
    </row>
    <row r="459">
      <c r="A459" s="6">
        <v>457.0</v>
      </c>
      <c r="B459" s="6" t="s">
        <v>1324</v>
      </c>
      <c r="C459" s="6" t="s">
        <v>423</v>
      </c>
    </row>
    <row r="460">
      <c r="A460" s="6">
        <v>458.0</v>
      </c>
      <c r="B460" s="6" t="s">
        <v>1324</v>
      </c>
      <c r="C460" s="6" t="s">
        <v>423</v>
      </c>
    </row>
    <row r="461">
      <c r="A461" s="6">
        <v>459.0</v>
      </c>
      <c r="B461" s="6" t="s">
        <v>1324</v>
      </c>
      <c r="C461" s="6" t="s">
        <v>423</v>
      </c>
    </row>
    <row r="462">
      <c r="A462" s="6">
        <v>460.0</v>
      </c>
      <c r="B462" s="6" t="s">
        <v>1321</v>
      </c>
      <c r="C462" s="6" t="s">
        <v>425</v>
      </c>
    </row>
    <row r="463">
      <c r="A463" s="6">
        <v>461.0</v>
      </c>
      <c r="B463" s="6" t="s">
        <v>1324</v>
      </c>
      <c r="C463" s="6" t="s">
        <v>425</v>
      </c>
    </row>
    <row r="464">
      <c r="A464" s="6">
        <v>462.0</v>
      </c>
      <c r="B464" s="6" t="s">
        <v>1324</v>
      </c>
      <c r="C464" s="6" t="s">
        <v>425</v>
      </c>
    </row>
    <row r="465">
      <c r="A465" s="6">
        <v>463.0</v>
      </c>
      <c r="B465" s="6" t="s">
        <v>1324</v>
      </c>
      <c r="C465" s="6" t="s">
        <v>425</v>
      </c>
    </row>
    <row r="466">
      <c r="A466" s="6">
        <v>464.0</v>
      </c>
      <c r="B466" s="6" t="s">
        <v>1324</v>
      </c>
      <c r="C466" s="6" t="s">
        <v>425</v>
      </c>
    </row>
    <row r="467">
      <c r="A467" s="6">
        <v>465.0</v>
      </c>
      <c r="B467" s="6" t="s">
        <v>1321</v>
      </c>
      <c r="C467" s="6" t="s">
        <v>427</v>
      </c>
    </row>
    <row r="468">
      <c r="A468" s="6">
        <v>466.0</v>
      </c>
      <c r="B468" s="6" t="s">
        <v>1322</v>
      </c>
      <c r="C468" s="6" t="s">
        <v>427</v>
      </c>
    </row>
    <row r="469">
      <c r="A469" s="6">
        <v>467.0</v>
      </c>
      <c r="B469" s="6" t="s">
        <v>1324</v>
      </c>
      <c r="C469" s="6" t="s">
        <v>427</v>
      </c>
    </row>
    <row r="470">
      <c r="A470" s="6">
        <v>468.0</v>
      </c>
      <c r="B470" s="6" t="s">
        <v>1324</v>
      </c>
      <c r="C470" s="6" t="s">
        <v>427</v>
      </c>
    </row>
    <row r="471">
      <c r="A471" s="6">
        <v>469.0</v>
      </c>
      <c r="B471" s="6" t="s">
        <v>1324</v>
      </c>
      <c r="C471" s="6" t="s">
        <v>427</v>
      </c>
    </row>
    <row r="472">
      <c r="A472" s="6">
        <v>470.0</v>
      </c>
      <c r="B472" s="6" t="s">
        <v>1324</v>
      </c>
      <c r="C472" s="6" t="s">
        <v>427</v>
      </c>
    </row>
    <row r="473">
      <c r="A473" s="6">
        <v>471.0</v>
      </c>
      <c r="B473" s="6" t="s">
        <v>1321</v>
      </c>
      <c r="C473" s="6" t="s">
        <v>429</v>
      </c>
    </row>
    <row r="474">
      <c r="A474" s="6">
        <v>472.0</v>
      </c>
      <c r="B474" s="6" t="s">
        <v>1324</v>
      </c>
      <c r="C474" s="6" t="s">
        <v>429</v>
      </c>
    </row>
    <row r="475">
      <c r="A475" s="6">
        <v>473.0</v>
      </c>
      <c r="B475" s="6" t="s">
        <v>1324</v>
      </c>
      <c r="C475" s="6" t="s">
        <v>429</v>
      </c>
    </row>
    <row r="476">
      <c r="A476" s="6">
        <v>474.0</v>
      </c>
      <c r="B476" s="6" t="s">
        <v>1324</v>
      </c>
      <c r="C476" s="6" t="s">
        <v>429</v>
      </c>
    </row>
    <row r="477">
      <c r="A477" s="6">
        <v>475.0</v>
      </c>
      <c r="B477" s="6" t="s">
        <v>1324</v>
      </c>
      <c r="C477" s="6" t="s">
        <v>429</v>
      </c>
    </row>
    <row r="478">
      <c r="A478" s="6">
        <v>476.0</v>
      </c>
      <c r="B478" s="6" t="s">
        <v>1321</v>
      </c>
      <c r="C478" s="6" t="s">
        <v>431</v>
      </c>
    </row>
    <row r="479">
      <c r="A479" s="6">
        <v>477.0</v>
      </c>
      <c r="B479" s="6" t="s">
        <v>1324</v>
      </c>
      <c r="C479" s="6" t="s">
        <v>431</v>
      </c>
    </row>
    <row r="480">
      <c r="A480" s="6">
        <v>478.0</v>
      </c>
      <c r="B480" s="6" t="s">
        <v>1324</v>
      </c>
      <c r="C480" s="6" t="s">
        <v>431</v>
      </c>
    </row>
    <row r="481">
      <c r="A481" s="6">
        <v>479.0</v>
      </c>
      <c r="B481" s="6" t="s">
        <v>1324</v>
      </c>
      <c r="C481" s="6" t="s">
        <v>431</v>
      </c>
    </row>
    <row r="482">
      <c r="A482" s="6">
        <v>480.0</v>
      </c>
      <c r="B482" s="6" t="s">
        <v>1324</v>
      </c>
      <c r="C482" s="6" t="s">
        <v>431</v>
      </c>
    </row>
    <row r="483">
      <c r="A483" s="6">
        <v>481.0</v>
      </c>
      <c r="B483" s="6" t="s">
        <v>1321</v>
      </c>
      <c r="C483" s="6" t="s">
        <v>433</v>
      </c>
    </row>
    <row r="484">
      <c r="A484" s="6">
        <v>482.0</v>
      </c>
      <c r="B484" s="6" t="s">
        <v>1324</v>
      </c>
      <c r="C484" s="6" t="s">
        <v>433</v>
      </c>
    </row>
    <row r="485">
      <c r="A485" s="6">
        <v>483.0</v>
      </c>
      <c r="B485" s="6" t="s">
        <v>1324</v>
      </c>
      <c r="C485" s="6" t="s">
        <v>433</v>
      </c>
    </row>
    <row r="486">
      <c r="A486" s="6">
        <v>484.0</v>
      </c>
      <c r="B486" s="6" t="s">
        <v>1324</v>
      </c>
      <c r="C486" s="6" t="s">
        <v>433</v>
      </c>
    </row>
    <row r="487">
      <c r="A487" s="6">
        <v>485.0</v>
      </c>
      <c r="B487" s="6" t="s">
        <v>1324</v>
      </c>
      <c r="C487" s="6" t="s">
        <v>433</v>
      </c>
    </row>
    <row r="488">
      <c r="A488" s="6">
        <v>486.0</v>
      </c>
      <c r="B488" s="6" t="s">
        <v>1321</v>
      </c>
      <c r="C488" s="6" t="s">
        <v>435</v>
      </c>
    </row>
    <row r="489">
      <c r="A489" s="6">
        <v>487.0</v>
      </c>
      <c r="B489" s="6" t="s">
        <v>1324</v>
      </c>
      <c r="C489" s="6" t="s">
        <v>435</v>
      </c>
    </row>
    <row r="490">
      <c r="A490" s="6">
        <v>488.0</v>
      </c>
      <c r="B490" s="6" t="s">
        <v>1324</v>
      </c>
      <c r="C490" s="6" t="s">
        <v>435</v>
      </c>
    </row>
    <row r="491">
      <c r="A491" s="6">
        <v>489.0</v>
      </c>
      <c r="B491" s="6" t="s">
        <v>1324</v>
      </c>
      <c r="C491" s="6" t="s">
        <v>435</v>
      </c>
    </row>
    <row r="492">
      <c r="A492" s="6">
        <v>490.0</v>
      </c>
      <c r="B492" s="6" t="s">
        <v>1324</v>
      </c>
      <c r="C492" s="6" t="s">
        <v>435</v>
      </c>
    </row>
    <row r="493">
      <c r="A493" s="6">
        <v>491.0</v>
      </c>
      <c r="B493" s="6" t="s">
        <v>1321</v>
      </c>
      <c r="C493" s="6" t="s">
        <v>435</v>
      </c>
    </row>
    <row r="494">
      <c r="A494" s="6">
        <v>492.0</v>
      </c>
      <c r="B494" s="6" t="s">
        <v>1324</v>
      </c>
      <c r="C494" s="6" t="s">
        <v>435</v>
      </c>
    </row>
    <row r="495">
      <c r="A495" s="6">
        <v>493.0</v>
      </c>
      <c r="B495" s="6" t="s">
        <v>1324</v>
      </c>
      <c r="C495" s="6" t="s">
        <v>435</v>
      </c>
    </row>
    <row r="496">
      <c r="A496" s="6">
        <v>494.0</v>
      </c>
      <c r="B496" s="6" t="s">
        <v>1324</v>
      </c>
      <c r="C496" s="6" t="s">
        <v>435</v>
      </c>
    </row>
    <row r="497">
      <c r="A497" s="6">
        <v>495.0</v>
      </c>
      <c r="B497" s="6" t="s">
        <v>1324</v>
      </c>
      <c r="C497" s="6" t="s">
        <v>435</v>
      </c>
    </row>
    <row r="498">
      <c r="A498" s="6">
        <v>496.0</v>
      </c>
      <c r="B498" s="6" t="s">
        <v>1321</v>
      </c>
      <c r="C498" s="6" t="s">
        <v>437</v>
      </c>
    </row>
    <row r="499">
      <c r="A499" s="6">
        <v>497.0</v>
      </c>
      <c r="B499" s="6" t="s">
        <v>1324</v>
      </c>
      <c r="C499" s="6" t="s">
        <v>437</v>
      </c>
    </row>
    <row r="500">
      <c r="A500" s="6">
        <v>498.0</v>
      </c>
      <c r="B500" s="6" t="s">
        <v>1324</v>
      </c>
      <c r="C500" s="6" t="s">
        <v>437</v>
      </c>
    </row>
    <row r="501">
      <c r="A501" s="6">
        <v>499.0</v>
      </c>
      <c r="B501" s="6" t="s">
        <v>1324</v>
      </c>
      <c r="C501" s="6" t="s">
        <v>437</v>
      </c>
    </row>
    <row r="502">
      <c r="A502" s="6">
        <v>500.0</v>
      </c>
      <c r="B502" s="6" t="s">
        <v>1321</v>
      </c>
      <c r="C502" s="6" t="s">
        <v>437</v>
      </c>
    </row>
    <row r="503">
      <c r="A503" s="6">
        <v>501.0</v>
      </c>
      <c r="B503" s="6" t="s">
        <v>1324</v>
      </c>
      <c r="C503" s="6" t="s">
        <v>437</v>
      </c>
    </row>
    <row r="504">
      <c r="A504" s="6">
        <v>502.0</v>
      </c>
      <c r="B504" s="6" t="s">
        <v>1324</v>
      </c>
      <c r="C504" s="6" t="s">
        <v>437</v>
      </c>
    </row>
    <row r="505">
      <c r="A505" s="6">
        <v>503.0</v>
      </c>
      <c r="B505" s="6" t="s">
        <v>1324</v>
      </c>
      <c r="C505" s="6" t="s">
        <v>437</v>
      </c>
    </row>
    <row r="506">
      <c r="A506" s="6">
        <v>504.0</v>
      </c>
      <c r="B506" s="6" t="s">
        <v>1322</v>
      </c>
      <c r="C506" s="6" t="s">
        <v>437</v>
      </c>
    </row>
    <row r="507">
      <c r="A507" s="6">
        <v>505.0</v>
      </c>
      <c r="B507" s="6" t="s">
        <v>1321</v>
      </c>
      <c r="C507" s="6" t="s">
        <v>1109</v>
      </c>
    </row>
    <row r="508">
      <c r="A508" s="6">
        <v>506.0</v>
      </c>
      <c r="B508" s="6" t="s">
        <v>1324</v>
      </c>
      <c r="C508" s="6" t="s">
        <v>1109</v>
      </c>
    </row>
    <row r="509">
      <c r="A509" s="6">
        <v>507.0</v>
      </c>
      <c r="B509" s="6" t="s">
        <v>1324</v>
      </c>
      <c r="C509" s="6" t="s">
        <v>1109</v>
      </c>
    </row>
    <row r="510">
      <c r="A510" s="6">
        <v>508.0</v>
      </c>
      <c r="B510" s="6" t="s">
        <v>1324</v>
      </c>
      <c r="C510" s="6" t="s">
        <v>1109</v>
      </c>
    </row>
    <row r="511">
      <c r="A511" s="6">
        <v>509.0</v>
      </c>
      <c r="B511" s="6" t="s">
        <v>1324</v>
      </c>
      <c r="C511" s="6" t="s">
        <v>1109</v>
      </c>
    </row>
    <row r="512">
      <c r="A512" s="6">
        <v>510.0</v>
      </c>
      <c r="B512" s="6" t="s">
        <v>1321</v>
      </c>
      <c r="C512" s="6" t="s">
        <v>1111</v>
      </c>
    </row>
    <row r="513">
      <c r="A513" s="6">
        <v>511.0</v>
      </c>
      <c r="B513" s="6" t="s">
        <v>1321</v>
      </c>
      <c r="C513" s="6" t="s">
        <v>439</v>
      </c>
    </row>
    <row r="514">
      <c r="A514" s="6">
        <v>512.0</v>
      </c>
      <c r="B514" s="6" t="s">
        <v>1324</v>
      </c>
      <c r="C514" s="6" t="s">
        <v>439</v>
      </c>
    </row>
    <row r="515">
      <c r="A515" s="6">
        <v>513.0</v>
      </c>
      <c r="B515" s="6" t="s">
        <v>1324</v>
      </c>
      <c r="C515" s="6" t="s">
        <v>439</v>
      </c>
    </row>
    <row r="516">
      <c r="A516" s="6">
        <v>514.0</v>
      </c>
      <c r="B516" s="6" t="s">
        <v>1324</v>
      </c>
      <c r="C516" s="6" t="s">
        <v>439</v>
      </c>
    </row>
    <row r="517">
      <c r="A517" s="6">
        <v>515.0</v>
      </c>
      <c r="B517" s="6" t="s">
        <v>1324</v>
      </c>
      <c r="C517" s="6" t="s">
        <v>439</v>
      </c>
    </row>
    <row r="518">
      <c r="A518" s="6">
        <v>516.0</v>
      </c>
      <c r="B518" s="6" t="s">
        <v>1321</v>
      </c>
      <c r="C518" s="6" t="s">
        <v>443</v>
      </c>
    </row>
    <row r="519">
      <c r="A519" s="6">
        <v>517.0</v>
      </c>
      <c r="B519" s="6" t="s">
        <v>1324</v>
      </c>
      <c r="C519" s="6" t="s">
        <v>443</v>
      </c>
    </row>
    <row r="520">
      <c r="A520" s="6">
        <v>518.0</v>
      </c>
      <c r="B520" s="6" t="s">
        <v>1324</v>
      </c>
      <c r="C520" s="6" t="s">
        <v>443</v>
      </c>
    </row>
    <row r="521">
      <c r="A521" s="6">
        <v>519.0</v>
      </c>
      <c r="B521" s="6" t="s">
        <v>1321</v>
      </c>
      <c r="C521" s="6" t="s">
        <v>446</v>
      </c>
    </row>
    <row r="522">
      <c r="A522" s="6">
        <v>520.0</v>
      </c>
      <c r="B522" s="6" t="s">
        <v>1322</v>
      </c>
      <c r="C522" s="6" t="s">
        <v>446</v>
      </c>
    </row>
    <row r="523">
      <c r="A523" s="6">
        <v>521.0</v>
      </c>
      <c r="B523" s="6" t="s">
        <v>1324</v>
      </c>
      <c r="C523" s="6" t="s">
        <v>446</v>
      </c>
    </row>
    <row r="524">
      <c r="A524" s="6">
        <v>522.0</v>
      </c>
      <c r="B524" s="6" t="s">
        <v>1324</v>
      </c>
      <c r="C524" s="6" t="s">
        <v>446</v>
      </c>
    </row>
    <row r="525">
      <c r="A525" s="6">
        <v>523.0</v>
      </c>
      <c r="B525" s="6" t="s">
        <v>1324</v>
      </c>
      <c r="C525" s="6" t="s">
        <v>446</v>
      </c>
    </row>
    <row r="526">
      <c r="A526" s="6">
        <v>524.0</v>
      </c>
      <c r="B526" s="6" t="s">
        <v>1324</v>
      </c>
      <c r="C526" s="6" t="s">
        <v>446</v>
      </c>
    </row>
    <row r="527">
      <c r="A527" s="6">
        <v>525.0</v>
      </c>
      <c r="B527" s="6" t="s">
        <v>1321</v>
      </c>
      <c r="C527" s="6" t="s">
        <v>1120</v>
      </c>
    </row>
    <row r="528">
      <c r="A528" s="6">
        <v>526.0</v>
      </c>
      <c r="B528" s="6" t="s">
        <v>1323</v>
      </c>
      <c r="C528" s="6" t="s">
        <v>1120</v>
      </c>
    </row>
    <row r="529">
      <c r="A529" s="6">
        <v>527.0</v>
      </c>
      <c r="B529" s="6" t="s">
        <v>1323</v>
      </c>
      <c r="C529" s="6" t="s">
        <v>1120</v>
      </c>
    </row>
    <row r="530">
      <c r="A530" s="6">
        <v>528.0</v>
      </c>
      <c r="B530" s="6" t="s">
        <v>1321</v>
      </c>
      <c r="C530" s="6" t="s">
        <v>452</v>
      </c>
    </row>
    <row r="531">
      <c r="A531" s="6">
        <v>529.0</v>
      </c>
      <c r="B531" s="6" t="s">
        <v>1324</v>
      </c>
      <c r="C531" s="6" t="s">
        <v>452</v>
      </c>
    </row>
    <row r="532">
      <c r="A532" s="6">
        <v>530.0</v>
      </c>
      <c r="B532" s="6" t="s">
        <v>1324</v>
      </c>
      <c r="C532" s="6" t="s">
        <v>452</v>
      </c>
    </row>
    <row r="533">
      <c r="A533" s="6">
        <v>531.0</v>
      </c>
      <c r="B533" s="6" t="s">
        <v>1321</v>
      </c>
      <c r="C533" s="6" t="s">
        <v>458</v>
      </c>
    </row>
    <row r="534">
      <c r="A534" s="6">
        <v>532.0</v>
      </c>
      <c r="B534" s="6" t="s">
        <v>1323</v>
      </c>
      <c r="C534" s="6" t="s">
        <v>458</v>
      </c>
    </row>
    <row r="535">
      <c r="A535" s="6">
        <v>533.0</v>
      </c>
      <c r="B535" s="6" t="s">
        <v>1321</v>
      </c>
      <c r="C535" s="6" t="s">
        <v>463</v>
      </c>
    </row>
    <row r="536">
      <c r="A536" s="6">
        <v>534.0</v>
      </c>
      <c r="B536" s="6" t="s">
        <v>1325</v>
      </c>
      <c r="C536" s="6" t="s">
        <v>463</v>
      </c>
    </row>
    <row r="537">
      <c r="A537" s="6">
        <v>535.0</v>
      </c>
      <c r="B537" s="6" t="s">
        <v>1325</v>
      </c>
      <c r="C537" s="6" t="s">
        <v>463</v>
      </c>
    </row>
    <row r="538">
      <c r="A538" s="6">
        <v>536.0</v>
      </c>
      <c r="B538" s="6" t="s">
        <v>1321</v>
      </c>
      <c r="C538" s="6" t="s">
        <v>1125</v>
      </c>
    </row>
    <row r="539">
      <c r="A539" s="6">
        <v>537.0</v>
      </c>
      <c r="B539" s="6" t="s">
        <v>1321</v>
      </c>
      <c r="C539" s="6" t="s">
        <v>1128</v>
      </c>
    </row>
    <row r="540">
      <c r="A540" s="6">
        <v>538.0</v>
      </c>
      <c r="B540" s="6" t="s">
        <v>1321</v>
      </c>
      <c r="C540" s="6" t="s">
        <v>1130</v>
      </c>
    </row>
    <row r="541">
      <c r="A541" s="6">
        <v>539.0</v>
      </c>
      <c r="B541" s="6" t="s">
        <v>1329</v>
      </c>
      <c r="C541" s="6" t="s">
        <v>1130</v>
      </c>
    </row>
    <row r="542">
      <c r="A542" s="6">
        <v>540.0</v>
      </c>
      <c r="B542" s="6" t="s">
        <v>1321</v>
      </c>
      <c r="C542" s="6" t="s">
        <v>1133</v>
      </c>
    </row>
    <row r="543">
      <c r="A543" s="6">
        <v>541.0</v>
      </c>
      <c r="B543" s="6" t="s">
        <v>1324</v>
      </c>
      <c r="C543" s="6" t="s">
        <v>1133</v>
      </c>
    </row>
    <row r="544">
      <c r="A544" s="6">
        <v>542.0</v>
      </c>
      <c r="B544" s="6" t="s">
        <v>1325</v>
      </c>
      <c r="C544" s="6" t="s">
        <v>1133</v>
      </c>
    </row>
    <row r="545">
      <c r="A545" s="6">
        <v>543.0</v>
      </c>
      <c r="B545" s="6" t="s">
        <v>1321</v>
      </c>
      <c r="C545" s="6" t="s">
        <v>488</v>
      </c>
    </row>
    <row r="546">
      <c r="A546" s="6">
        <v>544.0</v>
      </c>
      <c r="B546" s="6" t="s">
        <v>1329</v>
      </c>
      <c r="C546" s="6" t="s">
        <v>488</v>
      </c>
    </row>
    <row r="547">
      <c r="A547" s="6">
        <v>545.0</v>
      </c>
      <c r="B547" s="6" t="s">
        <v>1321</v>
      </c>
      <c r="C547" s="6" t="s">
        <v>491</v>
      </c>
    </row>
    <row r="548">
      <c r="A548" s="6">
        <v>546.0</v>
      </c>
      <c r="B548" s="6" t="s">
        <v>1324</v>
      </c>
      <c r="C548" s="6" t="s">
        <v>263</v>
      </c>
    </row>
    <row r="549">
      <c r="A549" s="6">
        <v>547.0</v>
      </c>
      <c r="B549" s="6" t="s">
        <v>1324</v>
      </c>
      <c r="C549" s="6" t="s">
        <v>271</v>
      </c>
    </row>
    <row r="550">
      <c r="A550" s="6">
        <v>548.0</v>
      </c>
      <c r="B550" s="6" t="s">
        <v>1324</v>
      </c>
      <c r="C550" s="6" t="s">
        <v>273</v>
      </c>
    </row>
    <row r="551">
      <c r="A551" s="6">
        <v>549.0</v>
      </c>
      <c r="B551" s="6" t="s">
        <v>1324</v>
      </c>
      <c r="C551" s="6" t="s">
        <v>275</v>
      </c>
    </row>
    <row r="552">
      <c r="A552" s="6">
        <v>550.0</v>
      </c>
      <c r="B552" s="6" t="s">
        <v>1324</v>
      </c>
      <c r="C552" s="6" t="s">
        <v>277</v>
      </c>
    </row>
    <row r="553">
      <c r="A553" s="6">
        <v>551.0</v>
      </c>
      <c r="B553" s="6" t="s">
        <v>1321</v>
      </c>
      <c r="C553" s="6" t="s">
        <v>495</v>
      </c>
    </row>
    <row r="554">
      <c r="A554" s="6">
        <v>552.0</v>
      </c>
      <c r="B554" s="6" t="s">
        <v>1322</v>
      </c>
      <c r="C554" s="6" t="s">
        <v>495</v>
      </c>
    </row>
    <row r="555">
      <c r="A555" s="6">
        <v>553.0</v>
      </c>
      <c r="B555" s="6" t="s">
        <v>1323</v>
      </c>
      <c r="C555" s="6" t="s">
        <v>495</v>
      </c>
    </row>
    <row r="556">
      <c r="A556" s="6">
        <v>554.0</v>
      </c>
      <c r="B556" s="6" t="s">
        <v>1321</v>
      </c>
      <c r="C556" s="6" t="s">
        <v>500</v>
      </c>
    </row>
    <row r="557">
      <c r="A557" s="6">
        <v>555.0</v>
      </c>
      <c r="B557" s="6" t="s">
        <v>1321</v>
      </c>
      <c r="C557" s="6" t="s">
        <v>504</v>
      </c>
    </row>
    <row r="558">
      <c r="A558" s="6">
        <v>556.0</v>
      </c>
      <c r="B558" s="6" t="s">
        <v>1321</v>
      </c>
      <c r="C558" s="6" t="s">
        <v>508</v>
      </c>
    </row>
    <row r="559">
      <c r="A559" s="6">
        <v>557.0</v>
      </c>
      <c r="B559" s="6" t="s">
        <v>1324</v>
      </c>
      <c r="C559" s="6" t="s">
        <v>508</v>
      </c>
    </row>
    <row r="560">
      <c r="A560" s="6">
        <v>558.0</v>
      </c>
      <c r="B560" s="6" t="s">
        <v>1325</v>
      </c>
      <c r="C560" s="6" t="s">
        <v>508</v>
      </c>
    </row>
    <row r="561">
      <c r="A561" s="6">
        <v>559.0</v>
      </c>
      <c r="B561" s="6" t="s">
        <v>1323</v>
      </c>
      <c r="C561" s="6" t="s">
        <v>508</v>
      </c>
    </row>
    <row r="562">
      <c r="A562" s="6">
        <v>560.0</v>
      </c>
      <c r="B562" s="6" t="s">
        <v>1321</v>
      </c>
      <c r="C562" s="6" t="s">
        <v>512</v>
      </c>
    </row>
    <row r="563">
      <c r="A563" s="6">
        <v>561.0</v>
      </c>
      <c r="B563" s="6" t="s">
        <v>1321</v>
      </c>
      <c r="C563" s="6" t="s">
        <v>516</v>
      </c>
    </row>
    <row r="564">
      <c r="A564" s="6">
        <v>562.0</v>
      </c>
      <c r="B564" s="6" t="s">
        <v>1323</v>
      </c>
      <c r="C564" s="6" t="s">
        <v>516</v>
      </c>
    </row>
    <row r="565">
      <c r="A565" s="6">
        <v>563.0</v>
      </c>
      <c r="B565" s="6" t="s">
        <v>1321</v>
      </c>
      <c r="C565" s="6" t="s">
        <v>519</v>
      </c>
    </row>
    <row r="566">
      <c r="A566" s="6">
        <v>564.0</v>
      </c>
      <c r="B566" s="6" t="s">
        <v>1324</v>
      </c>
      <c r="C566" s="6" t="s">
        <v>519</v>
      </c>
    </row>
    <row r="567">
      <c r="A567" s="6">
        <v>565.0</v>
      </c>
      <c r="B567" s="6" t="s">
        <v>1321</v>
      </c>
      <c r="C567" s="6" t="s">
        <v>521</v>
      </c>
    </row>
    <row r="568">
      <c r="A568" s="6">
        <v>566.0</v>
      </c>
      <c r="B568" s="6" t="s">
        <v>1321</v>
      </c>
      <c r="C568" s="6" t="s">
        <v>1154</v>
      </c>
    </row>
    <row r="569">
      <c r="A569" s="6">
        <v>567.0</v>
      </c>
      <c r="B569" s="6" t="s">
        <v>1323</v>
      </c>
      <c r="C569" s="6" t="s">
        <v>1154</v>
      </c>
    </row>
    <row r="570">
      <c r="A570" s="6">
        <v>568.0</v>
      </c>
      <c r="B570" s="6" t="s">
        <v>1325</v>
      </c>
      <c r="C570" s="6" t="s">
        <v>1154</v>
      </c>
    </row>
    <row r="571">
      <c r="A571" s="6">
        <v>569.0</v>
      </c>
      <c r="B571" s="6" t="s">
        <v>1321</v>
      </c>
      <c r="C571" s="6" t="s">
        <v>528</v>
      </c>
    </row>
    <row r="572">
      <c r="A572" s="6">
        <v>570.0</v>
      </c>
      <c r="B572" s="6" t="s">
        <v>1328</v>
      </c>
      <c r="C572" s="6" t="s">
        <v>528</v>
      </c>
    </row>
    <row r="573">
      <c r="A573" s="6">
        <v>571.0</v>
      </c>
      <c r="B573" s="6" t="s">
        <v>1321</v>
      </c>
      <c r="C573" s="6" t="s">
        <v>531</v>
      </c>
    </row>
    <row r="574">
      <c r="A574" s="6">
        <v>572.0</v>
      </c>
      <c r="B574" s="6" t="s">
        <v>1321</v>
      </c>
      <c r="C574" s="6" t="s">
        <v>533</v>
      </c>
    </row>
    <row r="575">
      <c r="A575" s="6">
        <v>573.0</v>
      </c>
      <c r="B575" s="6" t="s">
        <v>1321</v>
      </c>
      <c r="C575" s="6" t="s">
        <v>536</v>
      </c>
    </row>
    <row r="576">
      <c r="A576" s="6">
        <v>574.0</v>
      </c>
      <c r="B576" s="6" t="s">
        <v>1324</v>
      </c>
      <c r="C576" s="6" t="s">
        <v>536</v>
      </c>
    </row>
    <row r="577">
      <c r="A577" s="6">
        <v>575.0</v>
      </c>
      <c r="B577" s="6" t="s">
        <v>1324</v>
      </c>
      <c r="C577" s="6" t="s">
        <v>536</v>
      </c>
    </row>
    <row r="578">
      <c r="A578" s="6">
        <v>576.0</v>
      </c>
      <c r="B578" s="6" t="s">
        <v>1321</v>
      </c>
      <c r="C578" s="6" t="s">
        <v>539</v>
      </c>
    </row>
    <row r="579">
      <c r="A579" s="6">
        <v>577.0</v>
      </c>
      <c r="B579" s="6" t="s">
        <v>1324</v>
      </c>
      <c r="C579" s="6" t="s">
        <v>539</v>
      </c>
    </row>
    <row r="580">
      <c r="A580" s="6">
        <v>578.0</v>
      </c>
      <c r="B580" s="6" t="s">
        <v>1321</v>
      </c>
      <c r="C580" s="6" t="s">
        <v>542</v>
      </c>
    </row>
    <row r="581">
      <c r="A581" s="6">
        <v>579.0</v>
      </c>
      <c r="B581" s="6" t="s">
        <v>1321</v>
      </c>
      <c r="C581" s="6" t="s">
        <v>546</v>
      </c>
    </row>
    <row r="582">
      <c r="A582" s="6">
        <v>580.0</v>
      </c>
      <c r="B582" s="6" t="s">
        <v>1322</v>
      </c>
      <c r="C582" s="6" t="s">
        <v>546</v>
      </c>
    </row>
    <row r="583">
      <c r="A583" s="6">
        <v>581.0</v>
      </c>
      <c r="B583" s="6" t="s">
        <v>1321</v>
      </c>
      <c r="C583" s="6" t="s">
        <v>548</v>
      </c>
    </row>
    <row r="584">
      <c r="A584" s="6">
        <v>582.0</v>
      </c>
      <c r="B584" s="6" t="s">
        <v>1321</v>
      </c>
      <c r="C584" s="6" t="s">
        <v>549</v>
      </c>
    </row>
    <row r="585">
      <c r="A585" s="6">
        <v>583.0</v>
      </c>
      <c r="B585" s="6" t="s">
        <v>1321</v>
      </c>
      <c r="C585" s="6" t="s">
        <v>1172</v>
      </c>
    </row>
    <row r="586">
      <c r="A586" s="6">
        <v>584.0</v>
      </c>
      <c r="B586" s="6" t="s">
        <v>1322</v>
      </c>
      <c r="C586" s="6" t="s">
        <v>1172</v>
      </c>
    </row>
    <row r="587">
      <c r="A587" s="6">
        <v>585.0</v>
      </c>
      <c r="B587" s="6" t="s">
        <v>1321</v>
      </c>
      <c r="C587" s="6" t="s">
        <v>554</v>
      </c>
    </row>
    <row r="588">
      <c r="A588" s="6">
        <v>586.0</v>
      </c>
      <c r="B588" s="6" t="s">
        <v>1322</v>
      </c>
      <c r="C588" s="6" t="s">
        <v>554</v>
      </c>
    </row>
    <row r="589">
      <c r="A589" s="6">
        <v>587.0</v>
      </c>
      <c r="B589" s="6" t="s">
        <v>1321</v>
      </c>
      <c r="C589" s="6" t="s">
        <v>558</v>
      </c>
    </row>
    <row r="590">
      <c r="A590" s="6">
        <v>588.0</v>
      </c>
      <c r="B590" s="6" t="s">
        <v>1326</v>
      </c>
      <c r="C590" s="6" t="s">
        <v>558</v>
      </c>
    </row>
    <row r="591">
      <c r="A591" s="6">
        <v>589.0</v>
      </c>
      <c r="B591" s="6" t="s">
        <v>1326</v>
      </c>
      <c r="C591" s="6" t="s">
        <v>558</v>
      </c>
    </row>
    <row r="592">
      <c r="A592" s="6">
        <v>590.0</v>
      </c>
      <c r="B592" s="6" t="s">
        <v>1321</v>
      </c>
      <c r="C592" s="6" t="s">
        <v>562</v>
      </c>
    </row>
    <row r="593">
      <c r="A593" s="6">
        <v>591.0</v>
      </c>
      <c r="B593" s="6" t="s">
        <v>1321</v>
      </c>
      <c r="C593" s="6" t="s">
        <v>566</v>
      </c>
    </row>
    <row r="594">
      <c r="A594" s="6">
        <v>592.0</v>
      </c>
      <c r="B594" s="6" t="s">
        <v>1321</v>
      </c>
      <c r="C594" s="6" t="s">
        <v>570</v>
      </c>
    </row>
    <row r="595">
      <c r="A595" s="6">
        <v>593.0</v>
      </c>
      <c r="B595" s="6" t="s">
        <v>1322</v>
      </c>
      <c r="C595" s="6" t="s">
        <v>570</v>
      </c>
    </row>
    <row r="596">
      <c r="A596" s="6">
        <v>594.0</v>
      </c>
      <c r="B596" s="6" t="s">
        <v>1324</v>
      </c>
      <c r="C596" s="6" t="s">
        <v>570</v>
      </c>
    </row>
    <row r="597">
      <c r="A597" s="6">
        <v>595.0</v>
      </c>
      <c r="B597" s="6" t="s">
        <v>1321</v>
      </c>
      <c r="C597" s="6" t="s">
        <v>1185</v>
      </c>
    </row>
    <row r="598">
      <c r="A598" s="6">
        <v>596.0</v>
      </c>
      <c r="B598" s="6" t="s">
        <v>1324</v>
      </c>
      <c r="C598" s="6" t="s">
        <v>1185</v>
      </c>
    </row>
    <row r="599">
      <c r="A599" s="6">
        <v>597.0</v>
      </c>
      <c r="B599" s="6" t="s">
        <v>1324</v>
      </c>
      <c r="C599" s="6" t="s">
        <v>1185</v>
      </c>
    </row>
    <row r="600">
      <c r="A600" s="6">
        <v>598.0</v>
      </c>
      <c r="B600" s="6" t="s">
        <v>1324</v>
      </c>
      <c r="C600" s="6" t="s">
        <v>1185</v>
      </c>
    </row>
    <row r="601">
      <c r="A601" s="6">
        <v>599.0</v>
      </c>
      <c r="B601" s="6" t="s">
        <v>1324</v>
      </c>
      <c r="C601" s="6" t="s">
        <v>1185</v>
      </c>
    </row>
    <row r="602">
      <c r="A602" s="6">
        <v>600.0</v>
      </c>
      <c r="B602" s="6" t="s">
        <v>1321</v>
      </c>
      <c r="C602" s="6" t="s">
        <v>1188</v>
      </c>
    </row>
    <row r="603">
      <c r="A603" s="6">
        <v>601.0</v>
      </c>
      <c r="B603" s="6" t="s">
        <v>1323</v>
      </c>
      <c r="C603" s="6" t="s">
        <v>1188</v>
      </c>
    </row>
    <row r="604">
      <c r="A604" s="6">
        <v>602.0</v>
      </c>
      <c r="B604" s="6" t="s">
        <v>1324</v>
      </c>
      <c r="C604" s="6" t="s">
        <v>832</v>
      </c>
    </row>
    <row r="605">
      <c r="A605" s="6">
        <v>603.0</v>
      </c>
      <c r="B605" s="6" t="s">
        <v>1325</v>
      </c>
      <c r="C605" s="6" t="s">
        <v>832</v>
      </c>
    </row>
    <row r="606">
      <c r="A606" s="6">
        <v>604.0</v>
      </c>
      <c r="B606" s="6" t="s">
        <v>1321</v>
      </c>
      <c r="C606" s="6" t="s">
        <v>1191</v>
      </c>
    </row>
    <row r="607">
      <c r="A607" s="6">
        <v>605.0</v>
      </c>
      <c r="B607" s="6" t="s">
        <v>1324</v>
      </c>
      <c r="C607" s="6" t="s">
        <v>1191</v>
      </c>
    </row>
    <row r="608">
      <c r="A608" s="6">
        <v>606.0</v>
      </c>
      <c r="B608" s="6" t="s">
        <v>1324</v>
      </c>
      <c r="C608" s="6" t="s">
        <v>1191</v>
      </c>
    </row>
    <row r="609">
      <c r="A609" s="6">
        <v>607.0</v>
      </c>
      <c r="B609" s="6" t="s">
        <v>1321</v>
      </c>
      <c r="C609" s="6" t="s">
        <v>585</v>
      </c>
    </row>
    <row r="610">
      <c r="A610" s="6">
        <v>608.0</v>
      </c>
      <c r="B610" s="6" t="s">
        <v>1321</v>
      </c>
      <c r="C610" s="6" t="s">
        <v>1198</v>
      </c>
    </row>
    <row r="611">
      <c r="A611" s="6">
        <v>609.0</v>
      </c>
      <c r="B611" s="6" t="s">
        <v>1321</v>
      </c>
      <c r="C611" s="6" t="s">
        <v>1195</v>
      </c>
    </row>
    <row r="612">
      <c r="A612" s="6">
        <v>610.0</v>
      </c>
      <c r="B612" s="6" t="s">
        <v>1321</v>
      </c>
      <c r="C612" s="6" t="s">
        <v>1200</v>
      </c>
    </row>
    <row r="613">
      <c r="A613" s="6">
        <v>611.0</v>
      </c>
      <c r="B613" s="6" t="s">
        <v>1321</v>
      </c>
      <c r="C613" s="6" t="s">
        <v>1202</v>
      </c>
    </row>
    <row r="614">
      <c r="A614" s="6">
        <v>612.0</v>
      </c>
      <c r="B614" s="6" t="s">
        <v>1321</v>
      </c>
      <c r="C614" s="6" t="s">
        <v>598</v>
      </c>
    </row>
    <row r="615">
      <c r="A615" s="6">
        <v>613.0</v>
      </c>
      <c r="B615" s="6" t="s">
        <v>1324</v>
      </c>
      <c r="C615" s="6" t="s">
        <v>598</v>
      </c>
    </row>
    <row r="616">
      <c r="A616" s="6">
        <v>614.0</v>
      </c>
      <c r="B616" s="6" t="s">
        <v>1322</v>
      </c>
      <c r="C616" s="6" t="s">
        <v>1195</v>
      </c>
    </row>
    <row r="617">
      <c r="A617" s="6">
        <v>615.0</v>
      </c>
      <c r="B617" s="6" t="s">
        <v>1322</v>
      </c>
      <c r="C617" s="6" t="s">
        <v>1195</v>
      </c>
    </row>
    <row r="618">
      <c r="A618" s="6">
        <v>616.0</v>
      </c>
      <c r="B618" s="6" t="s">
        <v>1322</v>
      </c>
      <c r="C618" s="6" t="s">
        <v>1195</v>
      </c>
    </row>
    <row r="619">
      <c r="A619" s="6">
        <v>617.0</v>
      </c>
      <c r="B619" s="6" t="s">
        <v>1322</v>
      </c>
      <c r="C619" s="6" t="s">
        <v>1065</v>
      </c>
    </row>
    <row r="620">
      <c r="A620" s="6">
        <v>618.0</v>
      </c>
      <c r="B620" s="6" t="s">
        <v>1321</v>
      </c>
      <c r="C620" s="6" t="s">
        <v>603</v>
      </c>
    </row>
    <row r="621">
      <c r="A621" s="6">
        <v>619.0</v>
      </c>
      <c r="B621" s="6" t="s">
        <v>1322</v>
      </c>
      <c r="C621" s="6" t="s">
        <v>603</v>
      </c>
    </row>
    <row r="622">
      <c r="A622" s="6">
        <v>620.0</v>
      </c>
      <c r="B622" s="6" t="s">
        <v>1321</v>
      </c>
      <c r="C622" s="6" t="s">
        <v>607</v>
      </c>
    </row>
    <row r="623">
      <c r="A623" s="6">
        <v>621.0</v>
      </c>
      <c r="B623" s="6" t="s">
        <v>1321</v>
      </c>
      <c r="C623" s="6" t="s">
        <v>1209</v>
      </c>
    </row>
    <row r="624">
      <c r="A624" s="6">
        <v>622.0</v>
      </c>
      <c r="B624" s="6" t="s">
        <v>1322</v>
      </c>
      <c r="C624" s="6" t="s">
        <v>1209</v>
      </c>
    </row>
    <row r="625">
      <c r="A625" s="6">
        <v>623.0</v>
      </c>
      <c r="B625" s="6" t="s">
        <v>1321</v>
      </c>
      <c r="C625" s="6" t="s">
        <v>615</v>
      </c>
    </row>
    <row r="626">
      <c r="A626" s="6">
        <v>624.0</v>
      </c>
      <c r="B626" s="6" t="s">
        <v>1321</v>
      </c>
      <c r="C626" s="6" t="s">
        <v>620</v>
      </c>
    </row>
    <row r="627">
      <c r="A627" s="6">
        <v>625.0</v>
      </c>
      <c r="B627" s="6" t="s">
        <v>1321</v>
      </c>
      <c r="C627" s="6" t="s">
        <v>624</v>
      </c>
    </row>
    <row r="628">
      <c r="A628" s="6">
        <v>626.0</v>
      </c>
      <c r="B628" s="6" t="s">
        <v>1321</v>
      </c>
      <c r="C628" s="6" t="s">
        <v>628</v>
      </c>
    </row>
    <row r="629">
      <c r="A629" s="6">
        <v>627.0</v>
      </c>
      <c r="B629" s="6" t="s">
        <v>1321</v>
      </c>
      <c r="C629" s="6" t="s">
        <v>632</v>
      </c>
    </row>
    <row r="630">
      <c r="A630" s="6">
        <v>628.0</v>
      </c>
      <c r="B630" s="6" t="s">
        <v>1321</v>
      </c>
      <c r="C630" s="6" t="s">
        <v>636</v>
      </c>
    </row>
    <row r="631">
      <c r="A631" s="6">
        <v>629.0</v>
      </c>
      <c r="B631" s="6" t="s">
        <v>1324</v>
      </c>
      <c r="C631" s="6" t="s">
        <v>636</v>
      </c>
    </row>
    <row r="632">
      <c r="A632" s="6">
        <v>630.0</v>
      </c>
      <c r="B632" s="6" t="s">
        <v>1321</v>
      </c>
      <c r="C632" s="6" t="s">
        <v>640</v>
      </c>
    </row>
    <row r="633">
      <c r="A633" s="6">
        <v>631.0</v>
      </c>
      <c r="B633" s="6" t="s">
        <v>1321</v>
      </c>
      <c r="C633" s="6" t="s">
        <v>644</v>
      </c>
    </row>
    <row r="634">
      <c r="A634" s="6">
        <v>632.0</v>
      </c>
      <c r="B634" s="6" t="s">
        <v>1321</v>
      </c>
      <c r="C634" s="6" t="s">
        <v>648</v>
      </c>
    </row>
    <row r="635">
      <c r="A635" s="6">
        <v>633.0</v>
      </c>
      <c r="B635" s="6" t="s">
        <v>1321</v>
      </c>
      <c r="C635" s="6" t="s">
        <v>652</v>
      </c>
    </row>
    <row r="636">
      <c r="A636" s="6">
        <v>634.0</v>
      </c>
      <c r="B636" s="6" t="s">
        <v>1321</v>
      </c>
      <c r="C636" s="6" t="s">
        <v>1233</v>
      </c>
    </row>
    <row r="637">
      <c r="A637" s="6">
        <v>635.0</v>
      </c>
      <c r="B637" s="6" t="s">
        <v>1324</v>
      </c>
      <c r="C637" s="6" t="s">
        <v>1233</v>
      </c>
    </row>
    <row r="638">
      <c r="A638" s="6">
        <v>636.0</v>
      </c>
      <c r="B638" s="6" t="s">
        <v>1324</v>
      </c>
      <c r="C638" s="6" t="s">
        <v>1233</v>
      </c>
    </row>
    <row r="639">
      <c r="A639" s="6">
        <v>637.0</v>
      </c>
      <c r="B639" s="6" t="s">
        <v>1324</v>
      </c>
      <c r="C639" s="6" t="s">
        <v>1233</v>
      </c>
    </row>
    <row r="640">
      <c r="A640" s="6">
        <v>638.0</v>
      </c>
      <c r="B640" s="6" t="s">
        <v>1324</v>
      </c>
      <c r="C640" s="6" t="s">
        <v>1073</v>
      </c>
    </row>
    <row r="641">
      <c r="A641" s="6">
        <v>639.0</v>
      </c>
      <c r="B641" s="6" t="s">
        <v>1328</v>
      </c>
      <c r="C641" s="6" t="s">
        <v>632</v>
      </c>
    </row>
    <row r="642">
      <c r="A642" s="6">
        <v>640.0</v>
      </c>
      <c r="B642" s="6" t="s">
        <v>1321</v>
      </c>
      <c r="C642" s="6" t="s">
        <v>1236</v>
      </c>
    </row>
    <row r="643">
      <c r="A643" s="6">
        <v>641.0</v>
      </c>
      <c r="B643" s="6" t="s">
        <v>1328</v>
      </c>
      <c r="C643" s="6" t="s">
        <v>1236</v>
      </c>
    </row>
    <row r="644">
      <c r="A644" s="6">
        <v>643.0</v>
      </c>
      <c r="B644" s="6" t="s">
        <v>1321</v>
      </c>
      <c r="C644" s="6" t="s">
        <v>667</v>
      </c>
    </row>
    <row r="645">
      <c r="A645" s="6">
        <v>644.0</v>
      </c>
      <c r="B645" s="6" t="s">
        <v>1321</v>
      </c>
      <c r="C645" s="6" t="s">
        <v>671</v>
      </c>
    </row>
    <row r="646">
      <c r="A646" s="6">
        <v>645.0</v>
      </c>
      <c r="B646" s="6" t="s">
        <v>1321</v>
      </c>
      <c r="C646" s="6" t="s">
        <v>676</v>
      </c>
    </row>
    <row r="647">
      <c r="A647" s="6">
        <v>646.0</v>
      </c>
      <c r="B647" s="6" t="s">
        <v>1321</v>
      </c>
      <c r="C647" s="6" t="s">
        <v>672</v>
      </c>
    </row>
    <row r="648">
      <c r="A648" s="6">
        <v>647.0</v>
      </c>
      <c r="B648" s="6" t="s">
        <v>1321</v>
      </c>
      <c r="C648" s="6" t="s">
        <v>1246</v>
      </c>
    </row>
    <row r="649">
      <c r="A649" s="6">
        <v>648.0</v>
      </c>
      <c r="B649" s="6" t="s">
        <v>1321</v>
      </c>
      <c r="C649" s="6" t="s">
        <v>681</v>
      </c>
    </row>
    <row r="650">
      <c r="A650" s="6">
        <v>649.0</v>
      </c>
      <c r="B650" s="6" t="s">
        <v>1324</v>
      </c>
      <c r="C650" s="6" t="s">
        <v>672</v>
      </c>
    </row>
    <row r="651">
      <c r="A651" s="6">
        <v>650.0</v>
      </c>
      <c r="B651" s="6" t="s">
        <v>1321</v>
      </c>
      <c r="C651" s="6" t="s">
        <v>686</v>
      </c>
    </row>
    <row r="652">
      <c r="A652" s="6">
        <v>651.0</v>
      </c>
      <c r="B652" s="6" t="s">
        <v>1321</v>
      </c>
      <c r="C652" s="6" t="s">
        <v>682</v>
      </c>
    </row>
    <row r="653">
      <c r="A653" s="6">
        <v>652.0</v>
      </c>
      <c r="B653" s="6" t="s">
        <v>1324</v>
      </c>
      <c r="C653" s="6" t="s">
        <v>682</v>
      </c>
    </row>
    <row r="654">
      <c r="A654" s="6">
        <v>653.0</v>
      </c>
      <c r="B654" s="6" t="s">
        <v>1321</v>
      </c>
      <c r="C654" s="6" t="s">
        <v>687</v>
      </c>
    </row>
    <row r="655">
      <c r="A655" s="6">
        <v>654.0</v>
      </c>
      <c r="B655" s="6" t="s">
        <v>1321</v>
      </c>
      <c r="C655" s="6" t="s">
        <v>688</v>
      </c>
    </row>
    <row r="656">
      <c r="A656" s="6">
        <v>655.0</v>
      </c>
      <c r="B656" s="6" t="s">
        <v>1321</v>
      </c>
      <c r="C656" s="6" t="s">
        <v>693</v>
      </c>
    </row>
    <row r="657">
      <c r="A657" s="6">
        <v>656.0</v>
      </c>
      <c r="B657" s="6" t="s">
        <v>1321</v>
      </c>
      <c r="C657" s="6" t="s">
        <v>689</v>
      </c>
    </row>
    <row r="658">
      <c r="A658" s="6">
        <v>657.0</v>
      </c>
      <c r="B658" s="6" t="s">
        <v>1321</v>
      </c>
      <c r="C658" s="6" t="s">
        <v>694</v>
      </c>
    </row>
    <row r="659">
      <c r="A659" s="6">
        <v>658.0</v>
      </c>
      <c r="B659" s="6" t="s">
        <v>1321</v>
      </c>
      <c r="C659" s="6" t="s">
        <v>695</v>
      </c>
    </row>
    <row r="660">
      <c r="A660" s="6">
        <v>659.0</v>
      </c>
      <c r="B660" s="6" t="s">
        <v>1321</v>
      </c>
      <c r="C660" s="6" t="s">
        <v>696</v>
      </c>
    </row>
    <row r="661">
      <c r="A661" s="6">
        <v>660.0</v>
      </c>
      <c r="B661" s="6" t="s">
        <v>1324</v>
      </c>
      <c r="C661" s="6" t="s">
        <v>696</v>
      </c>
    </row>
    <row r="662">
      <c r="A662" s="6">
        <v>661.0</v>
      </c>
      <c r="B662" s="6" t="s">
        <v>1321</v>
      </c>
      <c r="C662" s="6" t="s">
        <v>700</v>
      </c>
    </row>
    <row r="663">
      <c r="A663" s="6">
        <v>662.0</v>
      </c>
      <c r="B663" s="6" t="s">
        <v>1324</v>
      </c>
      <c r="C663" s="6" t="s">
        <v>696</v>
      </c>
    </row>
    <row r="664">
      <c r="A664" s="6">
        <v>663.0</v>
      </c>
      <c r="B664" s="6" t="s">
        <v>1324</v>
      </c>
      <c r="C664" s="6" t="s">
        <v>696</v>
      </c>
    </row>
    <row r="665">
      <c r="A665" s="6">
        <v>664.0</v>
      </c>
      <c r="B665" s="6" t="s">
        <v>1321</v>
      </c>
      <c r="C665" s="6" t="s">
        <v>702</v>
      </c>
    </row>
    <row r="666">
      <c r="A666" s="6">
        <v>665.0</v>
      </c>
      <c r="B666" s="6" t="s">
        <v>1321</v>
      </c>
      <c r="C666" s="6" t="s">
        <v>703</v>
      </c>
    </row>
    <row r="667">
      <c r="A667" s="6">
        <v>666.0</v>
      </c>
      <c r="B667" s="6" t="s">
        <v>1321</v>
      </c>
      <c r="C667" s="6" t="s">
        <v>707</v>
      </c>
    </row>
    <row r="668">
      <c r="A668" s="6">
        <v>667.0</v>
      </c>
      <c r="B668" s="6" t="s">
        <v>1324</v>
      </c>
      <c r="C668" s="6" t="s">
        <v>703</v>
      </c>
    </row>
    <row r="669">
      <c r="A669" s="6">
        <v>668.0</v>
      </c>
      <c r="B669" s="6" t="s">
        <v>1324</v>
      </c>
      <c r="C669" s="6" t="s">
        <v>703</v>
      </c>
    </row>
    <row r="670">
      <c r="A670" s="6">
        <v>669.0</v>
      </c>
      <c r="B670" s="6" t="s">
        <v>1324</v>
      </c>
      <c r="C670" s="6" t="s">
        <v>703</v>
      </c>
    </row>
    <row r="671">
      <c r="A671" s="6">
        <v>670.0</v>
      </c>
      <c r="B671" s="6" t="s">
        <v>1321</v>
      </c>
      <c r="C671" s="6" t="s">
        <v>708</v>
      </c>
    </row>
    <row r="672">
      <c r="A672" s="6">
        <v>671.0</v>
      </c>
      <c r="B672" s="6" t="s">
        <v>1324</v>
      </c>
      <c r="C672" s="6" t="s">
        <v>708</v>
      </c>
    </row>
    <row r="673">
      <c r="A673" s="6">
        <v>672.0</v>
      </c>
      <c r="B673" s="6" t="s">
        <v>1324</v>
      </c>
      <c r="C673" s="6" t="s">
        <v>708</v>
      </c>
    </row>
    <row r="674">
      <c r="A674" s="6">
        <v>673.0</v>
      </c>
      <c r="B674" s="6" t="s">
        <v>1324</v>
      </c>
      <c r="C674" s="6" t="s">
        <v>708</v>
      </c>
    </row>
    <row r="675">
      <c r="A675" s="6">
        <v>674.0</v>
      </c>
      <c r="B675" s="6" t="s">
        <v>1321</v>
      </c>
      <c r="C675" s="6" t="s">
        <v>711</v>
      </c>
    </row>
    <row r="676">
      <c r="A676" s="6">
        <v>675.0</v>
      </c>
      <c r="B676" s="6" t="s">
        <v>1324</v>
      </c>
      <c r="C676" s="6" t="s">
        <v>711</v>
      </c>
    </row>
    <row r="677">
      <c r="A677" s="6">
        <v>676.0</v>
      </c>
      <c r="B677" s="6" t="s">
        <v>1324</v>
      </c>
      <c r="C677" s="6" t="s">
        <v>711</v>
      </c>
    </row>
    <row r="678">
      <c r="A678" s="6">
        <v>677.0</v>
      </c>
      <c r="B678" s="6" t="s">
        <v>1324</v>
      </c>
      <c r="C678" s="6" t="s">
        <v>711</v>
      </c>
    </row>
    <row r="679">
      <c r="A679" s="6">
        <v>678.0</v>
      </c>
      <c r="B679" s="6" t="s">
        <v>1324</v>
      </c>
      <c r="C679" s="6" t="s">
        <v>344</v>
      </c>
    </row>
    <row r="680">
      <c r="A680" s="6">
        <v>679.0</v>
      </c>
      <c r="B680" s="6" t="s">
        <v>1321</v>
      </c>
      <c r="C680" s="6" t="s">
        <v>714</v>
      </c>
    </row>
    <row r="681">
      <c r="A681" s="6">
        <v>680.0</v>
      </c>
      <c r="B681" s="6" t="s">
        <v>1324</v>
      </c>
      <c r="C681" s="6" t="s">
        <v>714</v>
      </c>
    </row>
    <row r="682">
      <c r="A682" s="6">
        <v>681.0</v>
      </c>
      <c r="B682" s="6" t="s">
        <v>1324</v>
      </c>
      <c r="C682" s="6" t="s">
        <v>714</v>
      </c>
    </row>
    <row r="683">
      <c r="A683" s="6">
        <v>682.0</v>
      </c>
      <c r="B683" s="6" t="s">
        <v>1324</v>
      </c>
      <c r="C683" s="6" t="s">
        <v>714</v>
      </c>
    </row>
    <row r="684">
      <c r="A684" s="6">
        <v>683.0</v>
      </c>
      <c r="B684" s="6" t="s">
        <v>1321</v>
      </c>
      <c r="C684" s="6" t="s">
        <v>718</v>
      </c>
    </row>
    <row r="685">
      <c r="A685" s="6">
        <v>684.0</v>
      </c>
      <c r="B685" s="6" t="s">
        <v>1321</v>
      </c>
      <c r="C685" s="6" t="s">
        <v>722</v>
      </c>
    </row>
    <row r="686">
      <c r="A686" s="6">
        <v>685.0</v>
      </c>
      <c r="B686" s="6" t="s">
        <v>1324</v>
      </c>
      <c r="C686" s="6" t="s">
        <v>718</v>
      </c>
    </row>
    <row r="687">
      <c r="A687" s="6">
        <v>686.0</v>
      </c>
      <c r="B687" s="6" t="s">
        <v>1321</v>
      </c>
      <c r="C687" s="6" t="s">
        <v>724</v>
      </c>
    </row>
    <row r="688">
      <c r="A688" s="6">
        <v>687.0</v>
      </c>
      <c r="B688" s="6" t="s">
        <v>1321</v>
      </c>
      <c r="C688" s="6" t="s">
        <v>727</v>
      </c>
    </row>
    <row r="689">
      <c r="A689" s="6">
        <v>688.0</v>
      </c>
      <c r="B689" s="6" t="s">
        <v>1324</v>
      </c>
      <c r="C689" s="6" t="s">
        <v>724</v>
      </c>
    </row>
    <row r="690">
      <c r="A690" s="6">
        <v>689.0</v>
      </c>
      <c r="B690" s="6" t="s">
        <v>1321</v>
      </c>
      <c r="C690" s="6" t="s">
        <v>737</v>
      </c>
    </row>
    <row r="691">
      <c r="A691" s="6">
        <v>690.0</v>
      </c>
      <c r="B691" s="6" t="s">
        <v>1321</v>
      </c>
      <c r="C691" s="6" t="s">
        <v>733</v>
      </c>
    </row>
    <row r="692">
      <c r="A692" s="6">
        <v>691.0</v>
      </c>
      <c r="B692" s="6" t="s">
        <v>1324</v>
      </c>
      <c r="C692" s="6" t="s">
        <v>733</v>
      </c>
    </row>
    <row r="693">
      <c r="A693" s="6">
        <v>692.0</v>
      </c>
      <c r="B693" s="6" t="s">
        <v>1321</v>
      </c>
      <c r="C693" s="6" t="s">
        <v>738</v>
      </c>
    </row>
    <row r="694">
      <c r="A694" s="6">
        <v>693.0</v>
      </c>
      <c r="B694" s="6" t="s">
        <v>1321</v>
      </c>
      <c r="C694" s="6" t="s">
        <v>1279</v>
      </c>
    </row>
    <row r="695">
      <c r="A695" s="6">
        <v>694.0</v>
      </c>
      <c r="B695" s="6" t="s">
        <v>1321</v>
      </c>
      <c r="C695" s="6" t="s">
        <v>739</v>
      </c>
    </row>
    <row r="696">
      <c r="A696" s="6">
        <v>695.0</v>
      </c>
      <c r="B696" s="6" t="s">
        <v>1322</v>
      </c>
      <c r="C696" s="6" t="s">
        <v>1279</v>
      </c>
    </row>
    <row r="697">
      <c r="A697" s="6">
        <v>696.0</v>
      </c>
      <c r="B697" s="6" t="s">
        <v>1321</v>
      </c>
      <c r="C697" s="6" t="s">
        <v>1284</v>
      </c>
    </row>
    <row r="698">
      <c r="A698" s="6">
        <v>697.0</v>
      </c>
      <c r="B698" s="6" t="s">
        <v>1321</v>
      </c>
      <c r="C698" s="6" t="s">
        <v>740</v>
      </c>
    </row>
    <row r="699">
      <c r="A699" s="6">
        <v>698.0</v>
      </c>
      <c r="B699" s="6" t="s">
        <v>1330</v>
      </c>
      <c r="C699" s="6" t="s">
        <v>740</v>
      </c>
    </row>
    <row r="700">
      <c r="A700" s="6">
        <v>699.0</v>
      </c>
      <c r="B700" s="6" t="s">
        <v>1324</v>
      </c>
      <c r="C700" s="6" t="s">
        <v>740</v>
      </c>
    </row>
    <row r="701">
      <c r="A701" s="6">
        <v>700.0</v>
      </c>
      <c r="B701" s="6" t="s">
        <v>1321</v>
      </c>
      <c r="C701" s="6" t="s">
        <v>744</v>
      </c>
    </row>
    <row r="702">
      <c r="A702" s="6">
        <v>701.0</v>
      </c>
      <c r="B702" s="6" t="s">
        <v>1321</v>
      </c>
      <c r="C702" s="6" t="s">
        <v>748</v>
      </c>
    </row>
    <row r="703">
      <c r="A703" s="6">
        <v>702.0</v>
      </c>
      <c r="B703" s="6" t="s">
        <v>1324</v>
      </c>
      <c r="C703" s="6" t="s">
        <v>748</v>
      </c>
    </row>
    <row r="704">
      <c r="A704" s="6">
        <v>703.0</v>
      </c>
      <c r="B704" s="6" t="s">
        <v>1321</v>
      </c>
      <c r="C704" s="6" t="s">
        <v>752</v>
      </c>
    </row>
    <row r="705">
      <c r="A705" s="6">
        <v>704.0</v>
      </c>
      <c r="B705" s="6" t="s">
        <v>1321</v>
      </c>
      <c r="C705" s="6" t="s">
        <v>756</v>
      </c>
    </row>
    <row r="706">
      <c r="A706" s="6">
        <v>705.0</v>
      </c>
      <c r="B706" s="6" t="s">
        <v>1330</v>
      </c>
      <c r="C706" s="6" t="s">
        <v>756</v>
      </c>
    </row>
    <row r="707">
      <c r="A707" s="6">
        <v>706.0</v>
      </c>
      <c r="B707" s="6" t="s">
        <v>1321</v>
      </c>
      <c r="C707" s="6" t="s">
        <v>760</v>
      </c>
    </row>
    <row r="708">
      <c r="A708" s="6">
        <v>707.0</v>
      </c>
      <c r="B708" s="6" t="s">
        <v>1321</v>
      </c>
      <c r="C708" s="6" t="s">
        <v>765</v>
      </c>
    </row>
    <row r="709">
      <c r="A709" s="6">
        <v>708.0</v>
      </c>
      <c r="B709" s="6" t="s">
        <v>1321</v>
      </c>
      <c r="C709" s="6" t="s">
        <v>768</v>
      </c>
    </row>
    <row r="710">
      <c r="A710" s="6">
        <v>709.0</v>
      </c>
      <c r="B710" s="6" t="s">
        <v>1331</v>
      </c>
      <c r="C710" s="6" t="s">
        <v>768</v>
      </c>
    </row>
    <row r="711">
      <c r="A711" s="6">
        <v>710.0</v>
      </c>
      <c r="B711" s="6" t="s">
        <v>1321</v>
      </c>
      <c r="C711" s="6" t="s">
        <v>771</v>
      </c>
    </row>
    <row r="712">
      <c r="A712" s="6">
        <v>711.0</v>
      </c>
      <c r="B712" s="6" t="s">
        <v>1329</v>
      </c>
      <c r="C712" s="6" t="s">
        <v>771</v>
      </c>
    </row>
    <row r="713">
      <c r="A713" s="6">
        <v>712.0</v>
      </c>
      <c r="B713" s="6" t="s">
        <v>1321</v>
      </c>
      <c r="C713" s="6" t="s">
        <v>774</v>
      </c>
    </row>
    <row r="714">
      <c r="A714" s="6">
        <v>713.0</v>
      </c>
      <c r="B714" s="6" t="s">
        <v>1331</v>
      </c>
      <c r="C714" s="6" t="s">
        <v>774</v>
      </c>
    </row>
    <row r="715">
      <c r="A715" s="6">
        <v>714.0</v>
      </c>
      <c r="B715" s="6" t="s">
        <v>1321</v>
      </c>
      <c r="C715" s="6" t="s">
        <v>775</v>
      </c>
    </row>
    <row r="716">
      <c r="A716" s="6">
        <v>715.0</v>
      </c>
      <c r="B716" s="6" t="s">
        <v>1331</v>
      </c>
      <c r="C716" s="6" t="s">
        <v>775</v>
      </c>
    </row>
    <row r="717">
      <c r="A717" s="6">
        <v>716.0</v>
      </c>
      <c r="B717" s="6" t="s">
        <v>1321</v>
      </c>
      <c r="C717" s="6" t="s">
        <v>777</v>
      </c>
    </row>
    <row r="718">
      <c r="A718" s="6">
        <v>717.0</v>
      </c>
      <c r="B718" s="6" t="s">
        <v>1331</v>
      </c>
      <c r="C718" s="6" t="s">
        <v>777</v>
      </c>
    </row>
    <row r="719">
      <c r="A719" s="6">
        <v>720.0</v>
      </c>
      <c r="B719" s="6" t="s">
        <v>1321</v>
      </c>
      <c r="C719" s="6" t="s">
        <v>778</v>
      </c>
    </row>
    <row r="720">
      <c r="A720" s="6">
        <v>721.0</v>
      </c>
      <c r="B720" s="6" t="s">
        <v>1321</v>
      </c>
      <c r="C720" s="6" t="s">
        <v>780</v>
      </c>
    </row>
    <row r="721">
      <c r="A721" s="6">
        <v>722.0</v>
      </c>
      <c r="B721" s="6" t="s">
        <v>1321</v>
      </c>
      <c r="C721" s="6" t="s">
        <v>1310</v>
      </c>
    </row>
    <row r="722">
      <c r="A722" s="6">
        <v>723.0</v>
      </c>
      <c r="B722" s="6" t="s">
        <v>1324</v>
      </c>
      <c r="C722" s="6" t="s">
        <v>1310</v>
      </c>
    </row>
    <row r="723">
      <c r="A723" s="6">
        <v>724.0</v>
      </c>
      <c r="B723" s="6" t="s">
        <v>1321</v>
      </c>
      <c r="C723" s="6" t="s">
        <v>786</v>
      </c>
    </row>
    <row r="724">
      <c r="A724" s="6">
        <v>725.0</v>
      </c>
      <c r="B724" s="6" t="s">
        <v>1324</v>
      </c>
      <c r="C724" s="6" t="s">
        <v>536</v>
      </c>
    </row>
    <row r="725">
      <c r="A725" s="6">
        <v>726.0</v>
      </c>
      <c r="B725" s="6" t="s">
        <v>1321</v>
      </c>
      <c r="C725" s="6" t="s">
        <v>790</v>
      </c>
    </row>
    <row r="726">
      <c r="A726" s="6">
        <v>727.0</v>
      </c>
      <c r="B726" s="6" t="s">
        <v>1321</v>
      </c>
      <c r="C726" s="6" t="s">
        <v>792</v>
      </c>
    </row>
    <row r="727">
      <c r="A727" s="6">
        <v>728.0</v>
      </c>
      <c r="B727" s="6" t="s">
        <v>1321</v>
      </c>
      <c r="C727" s="6" t="s">
        <v>796</v>
      </c>
    </row>
    <row r="728">
      <c r="A728" s="6">
        <v>729.0</v>
      </c>
      <c r="B728" s="6" t="s">
        <v>1322</v>
      </c>
      <c r="C728" s="6" t="s">
        <v>792</v>
      </c>
    </row>
    <row r="729">
      <c r="A729" s="6">
        <v>730.0</v>
      </c>
      <c r="B729" s="6" t="s">
        <v>1322</v>
      </c>
      <c r="C729" s="6" t="s">
        <v>792</v>
      </c>
    </row>
    <row r="730">
      <c r="A730" s="6">
        <v>731.0</v>
      </c>
      <c r="B730" s="6" t="s">
        <v>1324</v>
      </c>
      <c r="C730" s="6" t="s">
        <v>792</v>
      </c>
    </row>
    <row r="731">
      <c r="A731" s="6">
        <v>732.0</v>
      </c>
      <c r="B731" s="6" t="s">
        <v>1324</v>
      </c>
      <c r="C731" s="6" t="s">
        <v>533</v>
      </c>
    </row>
    <row r="732">
      <c r="A732" s="6">
        <v>733.0</v>
      </c>
      <c r="B732" s="11"/>
      <c r="C732" s="11"/>
    </row>
    <row r="733">
      <c r="A733" s="6">
        <v>734.0</v>
      </c>
      <c r="B733" s="11"/>
      <c r="C733" s="11"/>
    </row>
    <row r="734">
      <c r="A734" s="6">
        <v>735.0</v>
      </c>
      <c r="B734" s="11"/>
      <c r="C734" s="11"/>
    </row>
    <row r="735">
      <c r="A735" s="6">
        <v>736.0</v>
      </c>
      <c r="B735" s="11"/>
      <c r="C735" s="11"/>
    </row>
    <row r="736">
      <c r="A736" s="6">
        <v>737.0</v>
      </c>
      <c r="B736" s="11"/>
      <c r="C736" s="11"/>
    </row>
    <row r="737">
      <c r="A737" s="6">
        <v>738.0</v>
      </c>
      <c r="B737" s="11"/>
      <c r="C737" s="11"/>
    </row>
    <row r="738">
      <c r="A738" s="6">
        <v>739.0</v>
      </c>
      <c r="B738" s="11"/>
      <c r="C738" s="11"/>
    </row>
    <row r="739">
      <c r="A739" s="6">
        <v>740.0</v>
      </c>
      <c r="B739" s="11"/>
      <c r="C739" s="11"/>
    </row>
    <row r="740">
      <c r="A740" s="6">
        <v>741.0</v>
      </c>
      <c r="B740" s="11"/>
      <c r="C740" s="11"/>
    </row>
    <row r="741">
      <c r="A741" s="6">
        <v>742.0</v>
      </c>
      <c r="B741" s="11"/>
      <c r="C741" s="11"/>
    </row>
    <row r="742">
      <c r="A742" s="6">
        <v>743.0</v>
      </c>
      <c r="B742" s="11"/>
      <c r="C742" s="11"/>
    </row>
    <row r="743">
      <c r="A743" s="6">
        <v>744.0</v>
      </c>
      <c r="B743" s="11"/>
      <c r="C743" s="11"/>
    </row>
    <row r="744">
      <c r="A744" s="6">
        <v>745.0</v>
      </c>
      <c r="B744" s="11"/>
      <c r="C744" s="11"/>
    </row>
    <row r="745">
      <c r="A745" s="6">
        <v>746.0</v>
      </c>
      <c r="B745" s="11"/>
      <c r="C745" s="11"/>
    </row>
    <row r="746">
      <c r="A746" s="6">
        <v>747.0</v>
      </c>
      <c r="B746" s="11"/>
      <c r="C746" s="11"/>
    </row>
    <row r="747">
      <c r="A747" s="6">
        <v>748.0</v>
      </c>
      <c r="B747" s="11"/>
      <c r="C747" s="11"/>
    </row>
    <row r="748">
      <c r="A748" s="6">
        <v>749.0</v>
      </c>
      <c r="B748" s="11"/>
      <c r="C748" s="11"/>
    </row>
    <row r="749">
      <c r="A749" s="6">
        <v>750.0</v>
      </c>
      <c r="B749" s="11"/>
      <c r="C749" s="11"/>
    </row>
    <row r="750">
      <c r="A750" s="6">
        <v>751.0</v>
      </c>
      <c r="B750" s="11"/>
      <c r="C750" s="11"/>
    </row>
    <row r="751">
      <c r="A751" s="6">
        <v>752.0</v>
      </c>
      <c r="B751" s="11"/>
      <c r="C751" s="11"/>
    </row>
    <row r="752">
      <c r="A752" s="6">
        <v>753.0</v>
      </c>
      <c r="B752" s="11"/>
      <c r="C752" s="11"/>
    </row>
    <row r="753">
      <c r="A753" s="6">
        <v>754.0</v>
      </c>
      <c r="B753" s="11"/>
      <c r="C753" s="11"/>
    </row>
    <row r="754">
      <c r="A754" s="6">
        <v>755.0</v>
      </c>
      <c r="B754" s="11"/>
      <c r="C754" s="11"/>
    </row>
    <row r="755">
      <c r="A755" s="6">
        <v>756.0</v>
      </c>
      <c r="B755" s="11"/>
      <c r="C755" s="11"/>
    </row>
    <row r="756">
      <c r="A756" s="6">
        <v>757.0</v>
      </c>
      <c r="B756" s="11"/>
      <c r="C756" s="11"/>
    </row>
    <row r="757">
      <c r="A757" s="6">
        <v>758.0</v>
      </c>
      <c r="B757" s="11"/>
      <c r="C757" s="11"/>
    </row>
    <row r="758">
      <c r="A758" s="6">
        <v>759.0</v>
      </c>
      <c r="B758" s="11"/>
      <c r="C758" s="11"/>
    </row>
    <row r="759">
      <c r="A759" s="6">
        <v>760.0</v>
      </c>
      <c r="B759" s="11"/>
      <c r="C759" s="11"/>
    </row>
    <row r="760">
      <c r="A760" s="6">
        <v>761.0</v>
      </c>
      <c r="B760" s="11"/>
      <c r="C760" s="11"/>
    </row>
    <row r="761">
      <c r="A761" s="6">
        <v>762.0</v>
      </c>
      <c r="B761" s="11"/>
      <c r="C761" s="11"/>
    </row>
    <row r="762">
      <c r="A762" s="6">
        <v>763.0</v>
      </c>
      <c r="B762" s="11"/>
      <c r="C762" s="11"/>
    </row>
    <row r="763">
      <c r="A763" s="6">
        <v>764.0</v>
      </c>
      <c r="B763" s="11"/>
      <c r="C763" s="11"/>
    </row>
    <row r="764">
      <c r="A764" s="6">
        <v>765.0</v>
      </c>
      <c r="B764" s="11"/>
      <c r="C764" s="11"/>
    </row>
    <row r="765">
      <c r="A765" s="6">
        <v>766.0</v>
      </c>
      <c r="B765" s="11"/>
      <c r="C765" s="11"/>
    </row>
    <row r="766">
      <c r="A766" s="6">
        <v>767.0</v>
      </c>
      <c r="B766" s="11"/>
      <c r="C766" s="11"/>
    </row>
    <row r="767">
      <c r="A767" s="6">
        <v>768.0</v>
      </c>
      <c r="B767" s="11"/>
      <c r="C767" s="11"/>
    </row>
    <row r="768">
      <c r="A768" s="6">
        <v>769.0</v>
      </c>
      <c r="B768" s="11"/>
      <c r="C768" s="11"/>
    </row>
    <row r="769">
      <c r="A769" s="6">
        <v>770.0</v>
      </c>
      <c r="B769" s="11"/>
      <c r="C769" s="11"/>
    </row>
    <row r="770">
      <c r="A770" s="6">
        <v>771.0</v>
      </c>
      <c r="B770" s="11"/>
      <c r="C770" s="11"/>
    </row>
    <row r="771">
      <c r="A771" s="6">
        <v>772.0</v>
      </c>
      <c r="B771" s="11"/>
      <c r="C771" s="11"/>
    </row>
    <row r="772">
      <c r="A772" s="6">
        <v>773.0</v>
      </c>
      <c r="B772" s="11"/>
      <c r="C772" s="11"/>
    </row>
    <row r="773">
      <c r="A773" s="6">
        <v>774.0</v>
      </c>
      <c r="B773" s="11"/>
      <c r="C773" s="11"/>
    </row>
    <row r="774">
      <c r="A774" s="6">
        <v>775.0</v>
      </c>
      <c r="B774" s="11"/>
      <c r="C774" s="11"/>
    </row>
    <row r="775">
      <c r="A775" s="6">
        <v>776.0</v>
      </c>
      <c r="B775" s="11"/>
      <c r="C775" s="11"/>
    </row>
    <row r="776">
      <c r="A776" s="6">
        <v>777.0</v>
      </c>
      <c r="B776" s="11"/>
      <c r="C776" s="11"/>
    </row>
    <row r="777">
      <c r="A777" s="6">
        <v>778.0</v>
      </c>
      <c r="B777" s="11"/>
      <c r="C777" s="11"/>
    </row>
    <row r="778">
      <c r="A778" s="6">
        <v>779.0</v>
      </c>
      <c r="B778" s="11"/>
      <c r="C778" s="11"/>
    </row>
    <row r="779">
      <c r="A779" s="6">
        <v>780.0</v>
      </c>
      <c r="B779" s="11"/>
      <c r="C779" s="11"/>
    </row>
    <row r="780">
      <c r="A780" s="6">
        <v>781.0</v>
      </c>
      <c r="B780" s="11"/>
      <c r="C780" s="11"/>
    </row>
    <row r="781">
      <c r="A781" s="6">
        <v>782.0</v>
      </c>
      <c r="B781" s="11"/>
      <c r="C781" s="11"/>
    </row>
    <row r="782">
      <c r="A782" s="6">
        <v>783.0</v>
      </c>
      <c r="B782" s="11"/>
      <c r="C782" s="11"/>
    </row>
    <row r="783">
      <c r="A783" s="6">
        <v>784.0</v>
      </c>
      <c r="B783" s="11"/>
      <c r="C783" s="11"/>
    </row>
    <row r="784">
      <c r="A784" s="6">
        <v>785.0</v>
      </c>
      <c r="B784" s="11"/>
      <c r="C784" s="11"/>
    </row>
    <row r="785">
      <c r="A785" s="6">
        <v>786.0</v>
      </c>
      <c r="B785" s="11"/>
      <c r="C785" s="11"/>
    </row>
    <row r="786">
      <c r="A786" s="6">
        <v>787.0</v>
      </c>
      <c r="B786" s="11"/>
      <c r="C786" s="11"/>
    </row>
    <row r="787">
      <c r="A787" s="6">
        <v>788.0</v>
      </c>
      <c r="B787" s="11"/>
      <c r="C787" s="11"/>
    </row>
    <row r="788">
      <c r="A788" s="6">
        <v>789.0</v>
      </c>
      <c r="B788" s="11"/>
      <c r="C788" s="11"/>
    </row>
    <row r="789">
      <c r="A789" s="6">
        <v>790.0</v>
      </c>
      <c r="B789" s="11"/>
      <c r="C789" s="11"/>
    </row>
    <row r="790">
      <c r="A790" s="6">
        <v>791.0</v>
      </c>
      <c r="B790" s="11"/>
      <c r="C790" s="11"/>
    </row>
    <row r="791">
      <c r="A791" s="6">
        <v>792.0</v>
      </c>
      <c r="B791" s="11"/>
      <c r="C791" s="11"/>
    </row>
    <row r="792">
      <c r="A792" s="6">
        <v>793.0</v>
      </c>
      <c r="B792" s="11"/>
      <c r="C792" s="11"/>
    </row>
    <row r="793">
      <c r="A793" s="6">
        <v>794.0</v>
      </c>
      <c r="B793" s="11"/>
      <c r="C793" s="11"/>
    </row>
    <row r="794">
      <c r="A794" s="6">
        <v>795.0</v>
      </c>
      <c r="B794" s="11"/>
      <c r="C794" s="11"/>
    </row>
    <row r="795">
      <c r="A795" s="6">
        <v>796.0</v>
      </c>
      <c r="B795" s="11"/>
      <c r="C795" s="11"/>
    </row>
    <row r="796">
      <c r="A796" s="6">
        <v>797.0</v>
      </c>
      <c r="B796" s="11"/>
      <c r="C796" s="11"/>
    </row>
    <row r="797">
      <c r="A797" s="6">
        <v>798.0</v>
      </c>
      <c r="B797" s="11"/>
      <c r="C797" s="11"/>
    </row>
    <row r="798">
      <c r="A798" s="6">
        <v>799.0</v>
      </c>
      <c r="B798" s="11"/>
      <c r="C798" s="11"/>
    </row>
    <row r="799">
      <c r="A799" s="6">
        <v>800.0</v>
      </c>
      <c r="B799" s="11"/>
      <c r="C799" s="11"/>
    </row>
    <row r="800">
      <c r="A800" s="6">
        <v>801.0</v>
      </c>
      <c r="B800" s="11"/>
      <c r="C800" s="11"/>
    </row>
    <row r="801">
      <c r="A801" s="6">
        <v>802.0</v>
      </c>
      <c r="B801" s="11"/>
      <c r="C801" s="11"/>
    </row>
    <row r="802">
      <c r="A802" s="6">
        <v>803.0</v>
      </c>
      <c r="B802" s="11"/>
      <c r="C802" s="11"/>
    </row>
    <row r="803">
      <c r="A803" s="6">
        <v>804.0</v>
      </c>
      <c r="B803" s="11"/>
      <c r="C803" s="11"/>
    </row>
    <row r="804">
      <c r="A804" s="6">
        <v>805.0</v>
      </c>
      <c r="B804" s="11"/>
      <c r="C804" s="11"/>
    </row>
    <row r="805">
      <c r="A805" s="6">
        <v>806.0</v>
      </c>
      <c r="B805" s="11"/>
      <c r="C805" s="11"/>
    </row>
    <row r="806">
      <c r="A806" s="6">
        <v>807.0</v>
      </c>
      <c r="B806" s="11"/>
      <c r="C806" s="11"/>
    </row>
    <row r="807">
      <c r="A807" s="6">
        <v>808.0</v>
      </c>
      <c r="B807" s="11"/>
      <c r="C807" s="11"/>
    </row>
    <row r="808">
      <c r="A808" s="6">
        <v>809.0</v>
      </c>
      <c r="B808" s="11"/>
      <c r="C808" s="11"/>
    </row>
    <row r="809">
      <c r="A809" s="6">
        <v>810.0</v>
      </c>
      <c r="B809" s="11"/>
      <c r="C809" s="11"/>
    </row>
    <row r="810">
      <c r="A810" s="6">
        <v>811.0</v>
      </c>
      <c r="B810" s="11"/>
      <c r="C810" s="11"/>
    </row>
    <row r="811">
      <c r="A811" s="6">
        <v>812.0</v>
      </c>
      <c r="B811" s="11"/>
      <c r="C811" s="11"/>
    </row>
    <row r="812">
      <c r="A812" s="6">
        <v>813.0</v>
      </c>
      <c r="B812" s="11"/>
      <c r="C812" s="11"/>
    </row>
    <row r="813">
      <c r="A813" s="6">
        <v>814.0</v>
      </c>
      <c r="B813" s="11"/>
      <c r="C813" s="11"/>
    </row>
    <row r="814">
      <c r="A814" s="6">
        <v>815.0</v>
      </c>
      <c r="B814" s="11"/>
      <c r="C814" s="11"/>
    </row>
    <row r="815">
      <c r="A815" s="6">
        <v>816.0</v>
      </c>
      <c r="B815" s="11"/>
      <c r="C815" s="11"/>
    </row>
    <row r="816">
      <c r="A816" s="6">
        <v>817.0</v>
      </c>
      <c r="B816" s="11"/>
      <c r="C816" s="11"/>
    </row>
    <row r="817">
      <c r="A817" s="6">
        <v>818.0</v>
      </c>
      <c r="B817" s="11"/>
      <c r="C817" s="11"/>
    </row>
    <row r="818">
      <c r="A818" s="6">
        <v>819.0</v>
      </c>
      <c r="B818" s="11"/>
      <c r="C818" s="11"/>
    </row>
    <row r="819">
      <c r="A819" s="6">
        <v>820.0</v>
      </c>
      <c r="B819" s="11"/>
      <c r="C819" s="11"/>
    </row>
    <row r="820">
      <c r="A820" s="6">
        <v>821.0</v>
      </c>
      <c r="B820" s="11"/>
      <c r="C820" s="11"/>
    </row>
    <row r="821">
      <c r="A821" s="6">
        <v>822.0</v>
      </c>
      <c r="B821" s="11"/>
      <c r="C821" s="11"/>
    </row>
    <row r="822">
      <c r="A822" s="6">
        <v>823.0</v>
      </c>
      <c r="B822" s="11"/>
      <c r="C822" s="11"/>
    </row>
    <row r="823">
      <c r="A823" s="6">
        <v>824.0</v>
      </c>
      <c r="B823" s="11"/>
      <c r="C823" s="11"/>
    </row>
    <row r="824">
      <c r="A824" s="6">
        <v>825.0</v>
      </c>
      <c r="B824" s="11"/>
      <c r="C824" s="11"/>
    </row>
    <row r="825">
      <c r="A825" s="6">
        <v>826.0</v>
      </c>
      <c r="B825" s="11"/>
      <c r="C825" s="11"/>
    </row>
    <row r="826">
      <c r="A826" s="6">
        <v>827.0</v>
      </c>
      <c r="B826" s="11"/>
      <c r="C826" s="11"/>
    </row>
    <row r="827">
      <c r="A827" s="6">
        <v>828.0</v>
      </c>
      <c r="B827" s="11"/>
      <c r="C827" s="11"/>
    </row>
    <row r="828">
      <c r="A828" s="6">
        <v>829.0</v>
      </c>
      <c r="B828" s="11"/>
      <c r="C828" s="11"/>
    </row>
    <row r="829">
      <c r="A829" s="6">
        <v>830.0</v>
      </c>
      <c r="B829" s="11"/>
      <c r="C829" s="11"/>
    </row>
    <row r="830">
      <c r="A830" s="6">
        <v>831.0</v>
      </c>
      <c r="B830" s="11"/>
      <c r="C830" s="11"/>
    </row>
    <row r="831">
      <c r="A831" s="6">
        <v>832.0</v>
      </c>
      <c r="B831" s="11"/>
      <c r="C831" s="11"/>
    </row>
    <row r="832">
      <c r="A832" s="6">
        <v>833.0</v>
      </c>
      <c r="B832" s="11"/>
      <c r="C832" s="11"/>
    </row>
    <row r="833">
      <c r="A833" s="6">
        <v>834.0</v>
      </c>
      <c r="B833" s="11"/>
      <c r="C833" s="11"/>
    </row>
    <row r="834">
      <c r="A834" s="6">
        <v>835.0</v>
      </c>
      <c r="B834" s="11"/>
      <c r="C834" s="11"/>
    </row>
    <row r="835">
      <c r="A835" s="6">
        <v>836.0</v>
      </c>
      <c r="B835" s="11"/>
      <c r="C835" s="11"/>
    </row>
    <row r="836">
      <c r="A836" s="6">
        <v>837.0</v>
      </c>
      <c r="B836" s="11"/>
      <c r="C836" s="11"/>
    </row>
    <row r="837">
      <c r="A837" s="6">
        <v>838.0</v>
      </c>
      <c r="B837" s="11"/>
      <c r="C837" s="11"/>
    </row>
    <row r="838">
      <c r="A838" s="6">
        <v>839.0</v>
      </c>
      <c r="B838" s="11"/>
      <c r="C838" s="11"/>
    </row>
    <row r="839">
      <c r="A839" s="6">
        <v>840.0</v>
      </c>
      <c r="B839" s="11"/>
      <c r="C839" s="11"/>
    </row>
    <row r="840">
      <c r="A840" s="6">
        <v>841.0</v>
      </c>
      <c r="B840" s="11"/>
      <c r="C840" s="11"/>
    </row>
    <row r="841">
      <c r="A841" s="6">
        <v>842.0</v>
      </c>
      <c r="B841" s="11"/>
      <c r="C841" s="11"/>
    </row>
    <row r="842">
      <c r="A842" s="6">
        <v>843.0</v>
      </c>
      <c r="B842" s="11"/>
      <c r="C842" s="11"/>
    </row>
    <row r="843">
      <c r="A843" s="6">
        <v>844.0</v>
      </c>
      <c r="B843" s="11"/>
      <c r="C843" s="11"/>
    </row>
    <row r="844">
      <c r="A844" s="6">
        <v>845.0</v>
      </c>
      <c r="B844" s="11"/>
      <c r="C844" s="11"/>
    </row>
    <row r="845">
      <c r="A845" s="6">
        <v>846.0</v>
      </c>
      <c r="B845" s="11"/>
      <c r="C845" s="11"/>
    </row>
    <row r="846">
      <c r="A846" s="6">
        <v>847.0</v>
      </c>
      <c r="B846" s="11"/>
      <c r="C846" s="11"/>
    </row>
    <row r="847">
      <c r="A847" s="6">
        <v>848.0</v>
      </c>
      <c r="B847" s="11"/>
      <c r="C847" s="11"/>
    </row>
    <row r="848">
      <c r="A848" s="6">
        <v>849.0</v>
      </c>
      <c r="B848" s="11"/>
      <c r="C848" s="11"/>
    </row>
    <row r="849">
      <c r="A849" s="6">
        <v>850.0</v>
      </c>
      <c r="B849" s="11"/>
      <c r="C849" s="11"/>
    </row>
    <row r="850">
      <c r="A850" s="6">
        <v>851.0</v>
      </c>
      <c r="B850" s="11"/>
      <c r="C850" s="11"/>
    </row>
    <row r="851">
      <c r="A851" s="6">
        <v>852.0</v>
      </c>
      <c r="B851" s="11"/>
      <c r="C851" s="11"/>
    </row>
    <row r="852">
      <c r="A852" s="6">
        <v>853.0</v>
      </c>
      <c r="B852" s="11"/>
      <c r="C852" s="11"/>
    </row>
    <row r="853">
      <c r="A853" s="6">
        <v>854.0</v>
      </c>
      <c r="B853" s="11"/>
      <c r="C853" s="11"/>
    </row>
    <row r="854">
      <c r="A854" s="6">
        <v>855.0</v>
      </c>
      <c r="B854" s="11"/>
      <c r="C854" s="11"/>
    </row>
    <row r="855">
      <c r="A855" s="6">
        <v>856.0</v>
      </c>
      <c r="B855" s="11"/>
      <c r="C855" s="11"/>
    </row>
    <row r="856">
      <c r="A856" s="6">
        <v>857.0</v>
      </c>
      <c r="B856" s="11"/>
      <c r="C856" s="11"/>
    </row>
    <row r="857">
      <c r="A857" s="6">
        <v>858.0</v>
      </c>
      <c r="B857" s="11"/>
      <c r="C857" s="11"/>
    </row>
    <row r="858">
      <c r="A858" s="6">
        <v>859.0</v>
      </c>
      <c r="B858" s="11"/>
      <c r="C858" s="11"/>
    </row>
    <row r="859">
      <c r="A859" s="6">
        <v>860.0</v>
      </c>
      <c r="B859" s="11"/>
      <c r="C859" s="11"/>
    </row>
    <row r="860">
      <c r="A860" s="6">
        <v>861.0</v>
      </c>
      <c r="B860" s="11"/>
      <c r="C860" s="11"/>
    </row>
    <row r="861">
      <c r="A861" s="6">
        <v>862.0</v>
      </c>
      <c r="B861" s="11"/>
      <c r="C861" s="11"/>
    </row>
    <row r="862">
      <c r="A862" s="6">
        <v>863.0</v>
      </c>
      <c r="B862" s="11"/>
      <c r="C862" s="11"/>
    </row>
    <row r="863">
      <c r="A863" s="6">
        <v>864.0</v>
      </c>
      <c r="B863" s="11"/>
      <c r="C863" s="11"/>
    </row>
    <row r="864">
      <c r="A864" s="6">
        <v>865.0</v>
      </c>
      <c r="B864" s="11"/>
      <c r="C864" s="11"/>
    </row>
    <row r="865">
      <c r="A865" s="6">
        <v>866.0</v>
      </c>
      <c r="B865" s="11"/>
      <c r="C865" s="11"/>
    </row>
    <row r="866">
      <c r="A866" s="6">
        <v>867.0</v>
      </c>
      <c r="B866" s="11"/>
      <c r="C866" s="11"/>
    </row>
    <row r="867">
      <c r="A867" s="6">
        <v>868.0</v>
      </c>
      <c r="B867" s="11"/>
      <c r="C867" s="11"/>
    </row>
    <row r="868">
      <c r="A868" s="6">
        <v>869.0</v>
      </c>
      <c r="B868" s="11"/>
      <c r="C868" s="11"/>
    </row>
    <row r="869">
      <c r="A869" s="6">
        <v>870.0</v>
      </c>
      <c r="B869" s="11"/>
      <c r="C869" s="11"/>
    </row>
    <row r="870">
      <c r="A870" s="6">
        <v>871.0</v>
      </c>
      <c r="B870" s="11"/>
      <c r="C870" s="11"/>
    </row>
    <row r="871">
      <c r="A871" s="6">
        <v>872.0</v>
      </c>
      <c r="B871" s="11"/>
      <c r="C871" s="11"/>
    </row>
    <row r="872">
      <c r="A872" s="6">
        <v>873.0</v>
      </c>
      <c r="B872" s="11"/>
      <c r="C872" s="11"/>
    </row>
    <row r="873">
      <c r="A873" s="6">
        <v>874.0</v>
      </c>
      <c r="B873" s="11"/>
      <c r="C873" s="11"/>
    </row>
    <row r="874">
      <c r="A874" s="6">
        <v>875.0</v>
      </c>
      <c r="B874" s="11"/>
      <c r="C874" s="11"/>
    </row>
    <row r="875">
      <c r="A875" s="6">
        <v>876.0</v>
      </c>
      <c r="B875" s="11"/>
      <c r="C875" s="11"/>
    </row>
    <row r="876">
      <c r="A876" s="6">
        <v>877.0</v>
      </c>
      <c r="B876" s="11"/>
      <c r="C876" s="11"/>
    </row>
    <row r="877">
      <c r="A877" s="6">
        <v>878.0</v>
      </c>
      <c r="B877" s="11"/>
      <c r="C877" s="11"/>
    </row>
    <row r="878">
      <c r="A878" s="6">
        <v>879.0</v>
      </c>
      <c r="B878" s="11"/>
      <c r="C878" s="11"/>
    </row>
    <row r="879">
      <c r="A879" s="6">
        <v>880.0</v>
      </c>
      <c r="B879" s="11"/>
      <c r="C879" s="11"/>
    </row>
    <row r="880">
      <c r="A880" s="6">
        <v>881.0</v>
      </c>
      <c r="B880" s="11"/>
      <c r="C880" s="11"/>
    </row>
    <row r="881">
      <c r="A881" s="6">
        <v>882.0</v>
      </c>
      <c r="B881" s="11"/>
      <c r="C881" s="11"/>
    </row>
    <row r="882">
      <c r="A882" s="6">
        <v>883.0</v>
      </c>
      <c r="B882" s="11"/>
      <c r="C882" s="11"/>
    </row>
    <row r="883">
      <c r="A883" s="6">
        <v>884.0</v>
      </c>
      <c r="B883" s="11"/>
      <c r="C883" s="11"/>
    </row>
    <row r="884">
      <c r="A884" s="6">
        <v>885.0</v>
      </c>
      <c r="B884" s="11"/>
      <c r="C884" s="11"/>
    </row>
    <row r="885">
      <c r="A885" s="6">
        <v>886.0</v>
      </c>
      <c r="B885" s="11"/>
      <c r="C885" s="11"/>
    </row>
    <row r="886">
      <c r="A886" s="6">
        <v>887.0</v>
      </c>
      <c r="B886" s="11"/>
      <c r="C886" s="11"/>
    </row>
    <row r="887">
      <c r="A887" s="6">
        <v>888.0</v>
      </c>
      <c r="B887" s="11"/>
      <c r="C887" s="11"/>
    </row>
    <row r="888">
      <c r="A888" s="6">
        <v>889.0</v>
      </c>
      <c r="B888" s="11"/>
      <c r="C888" s="11"/>
    </row>
    <row r="889">
      <c r="A889" s="6">
        <v>890.0</v>
      </c>
      <c r="B889" s="11"/>
      <c r="C889" s="11"/>
    </row>
    <row r="890">
      <c r="A890" s="6">
        <v>891.0</v>
      </c>
      <c r="B890" s="11"/>
      <c r="C890" s="11"/>
    </row>
    <row r="891">
      <c r="A891" s="6">
        <v>892.0</v>
      </c>
      <c r="B891" s="11"/>
      <c r="C891" s="11"/>
    </row>
    <row r="892">
      <c r="A892" s="6">
        <v>893.0</v>
      </c>
      <c r="B892" s="11"/>
      <c r="C892" s="11"/>
    </row>
    <row r="893">
      <c r="A893" s="6">
        <v>894.0</v>
      </c>
      <c r="B893" s="11"/>
      <c r="C893" s="11"/>
    </row>
    <row r="894">
      <c r="A894" s="6">
        <v>895.0</v>
      </c>
      <c r="B894" s="11"/>
      <c r="C894" s="11"/>
    </row>
    <row r="895">
      <c r="A895" s="6">
        <v>896.0</v>
      </c>
      <c r="B895" s="11"/>
      <c r="C895" s="11"/>
    </row>
    <row r="896">
      <c r="A896" s="6">
        <v>897.0</v>
      </c>
      <c r="B896" s="11"/>
      <c r="C896" s="11"/>
    </row>
    <row r="897">
      <c r="A897" s="6">
        <v>898.0</v>
      </c>
      <c r="B897" s="11"/>
      <c r="C897" s="11"/>
    </row>
    <row r="898">
      <c r="A898" s="6">
        <v>899.0</v>
      </c>
      <c r="B898" s="11"/>
      <c r="C898" s="11"/>
    </row>
    <row r="899">
      <c r="A899" s="6">
        <v>900.0</v>
      </c>
      <c r="B899" s="11"/>
      <c r="C899" s="11"/>
    </row>
    <row r="900">
      <c r="A900" s="6">
        <v>901.0</v>
      </c>
      <c r="B900" s="11"/>
      <c r="C900" s="11"/>
    </row>
    <row r="901">
      <c r="A901" s="6">
        <v>902.0</v>
      </c>
      <c r="B901" s="11"/>
      <c r="C901" s="11"/>
    </row>
    <row r="902">
      <c r="A902" s="6">
        <v>903.0</v>
      </c>
      <c r="B902" s="11"/>
      <c r="C902" s="11"/>
    </row>
    <row r="903">
      <c r="A903" s="6">
        <v>904.0</v>
      </c>
      <c r="B903" s="11"/>
      <c r="C903" s="11"/>
    </row>
    <row r="904">
      <c r="A904" s="6">
        <v>905.0</v>
      </c>
      <c r="B904" s="11"/>
      <c r="C904" s="11"/>
    </row>
    <row r="905">
      <c r="A905" s="6">
        <v>906.0</v>
      </c>
      <c r="B905" s="11"/>
      <c r="C905" s="11"/>
    </row>
    <row r="906">
      <c r="A906" s="6">
        <v>907.0</v>
      </c>
      <c r="B906" s="11"/>
      <c r="C906" s="11"/>
    </row>
    <row r="907">
      <c r="A907" s="6">
        <v>908.0</v>
      </c>
      <c r="B907" s="11"/>
      <c r="C907" s="11"/>
    </row>
    <row r="908">
      <c r="A908" s="6">
        <v>909.0</v>
      </c>
      <c r="B908" s="11"/>
      <c r="C908" s="11"/>
    </row>
    <row r="909">
      <c r="A909" s="6">
        <v>910.0</v>
      </c>
      <c r="B909" s="11"/>
      <c r="C909" s="11"/>
    </row>
    <row r="910">
      <c r="A910" s="6">
        <v>911.0</v>
      </c>
      <c r="B910" s="11"/>
      <c r="C910" s="11"/>
    </row>
    <row r="911">
      <c r="A911" s="6">
        <v>912.0</v>
      </c>
      <c r="B911" s="11"/>
      <c r="C911" s="11"/>
    </row>
    <row r="912">
      <c r="A912" s="6">
        <v>913.0</v>
      </c>
      <c r="B912" s="11"/>
      <c r="C912" s="11"/>
    </row>
    <row r="913">
      <c r="A913" s="6">
        <v>914.0</v>
      </c>
      <c r="B913" s="11"/>
      <c r="C913" s="11"/>
    </row>
    <row r="914">
      <c r="A914" s="6">
        <v>915.0</v>
      </c>
      <c r="B914" s="11"/>
      <c r="C914" s="11"/>
    </row>
    <row r="915">
      <c r="A915" s="6">
        <v>916.0</v>
      </c>
      <c r="B915" s="11"/>
      <c r="C915" s="11"/>
    </row>
    <row r="916">
      <c r="A916" s="6">
        <v>917.0</v>
      </c>
      <c r="B916" s="11"/>
      <c r="C916" s="11"/>
    </row>
    <row r="917">
      <c r="A917" s="6">
        <v>918.0</v>
      </c>
      <c r="B917" s="11"/>
      <c r="C917" s="11"/>
    </row>
    <row r="918">
      <c r="A918" s="6">
        <v>919.0</v>
      </c>
      <c r="B918" s="11"/>
      <c r="C918" s="11"/>
    </row>
    <row r="919">
      <c r="A919" s="6">
        <v>920.0</v>
      </c>
      <c r="B919" s="11"/>
      <c r="C919" s="11"/>
    </row>
    <row r="920">
      <c r="A920" s="6">
        <v>921.0</v>
      </c>
      <c r="B920" s="11"/>
      <c r="C920" s="11"/>
    </row>
    <row r="921">
      <c r="A921" s="6">
        <v>922.0</v>
      </c>
      <c r="B921" s="11"/>
      <c r="C921" s="11"/>
    </row>
    <row r="922">
      <c r="A922" s="6">
        <v>923.0</v>
      </c>
      <c r="B922" s="11"/>
      <c r="C922" s="11"/>
    </row>
    <row r="923">
      <c r="A923" s="6">
        <v>924.0</v>
      </c>
      <c r="B923" s="11"/>
      <c r="C923" s="11"/>
    </row>
    <row r="924">
      <c r="A924" s="6">
        <v>925.0</v>
      </c>
      <c r="B924" s="11"/>
      <c r="C924" s="11"/>
    </row>
    <row r="925">
      <c r="A925" s="6">
        <v>926.0</v>
      </c>
      <c r="B925" s="11"/>
      <c r="C925" s="11"/>
    </row>
    <row r="926">
      <c r="A926" s="6">
        <v>927.0</v>
      </c>
      <c r="B926" s="11"/>
      <c r="C926" s="11"/>
    </row>
    <row r="927">
      <c r="A927" s="6">
        <v>928.0</v>
      </c>
      <c r="B927" s="11"/>
      <c r="C927" s="11"/>
    </row>
    <row r="928">
      <c r="A928" s="6">
        <v>929.0</v>
      </c>
      <c r="B928" s="11"/>
      <c r="C928" s="11"/>
    </row>
    <row r="929">
      <c r="A929" s="6">
        <v>930.0</v>
      </c>
      <c r="B929" s="11"/>
      <c r="C929" s="11"/>
    </row>
    <row r="930">
      <c r="A930" s="6">
        <v>931.0</v>
      </c>
      <c r="B930" s="11"/>
      <c r="C930" s="11"/>
    </row>
    <row r="931">
      <c r="A931" s="6">
        <v>932.0</v>
      </c>
      <c r="B931" s="11"/>
      <c r="C931" s="11"/>
    </row>
    <row r="932">
      <c r="A932" s="6">
        <v>933.0</v>
      </c>
      <c r="B932" s="11"/>
      <c r="C932" s="11"/>
    </row>
    <row r="933">
      <c r="A933" s="6">
        <v>934.0</v>
      </c>
      <c r="B933" s="11"/>
      <c r="C933" s="11"/>
    </row>
    <row r="934">
      <c r="A934" s="6">
        <v>935.0</v>
      </c>
      <c r="B934" s="11"/>
      <c r="C934" s="11"/>
    </row>
    <row r="935">
      <c r="A935" s="6">
        <v>936.0</v>
      </c>
      <c r="B935" s="11"/>
      <c r="C935" s="11"/>
    </row>
    <row r="936">
      <c r="A936" s="6">
        <v>937.0</v>
      </c>
      <c r="B936" s="11"/>
      <c r="C936" s="11"/>
    </row>
    <row r="937">
      <c r="A937" s="6">
        <v>938.0</v>
      </c>
      <c r="B937" s="11"/>
      <c r="C937" s="11"/>
    </row>
    <row r="938">
      <c r="A938" s="6">
        <v>939.0</v>
      </c>
      <c r="B938" s="11"/>
      <c r="C938" s="11"/>
    </row>
    <row r="939">
      <c r="A939" s="6">
        <v>940.0</v>
      </c>
      <c r="B939" s="11"/>
      <c r="C939" s="11"/>
    </row>
    <row r="940">
      <c r="A940" s="6">
        <v>941.0</v>
      </c>
      <c r="B940" s="11"/>
      <c r="C940" s="11"/>
    </row>
    <row r="941">
      <c r="A941" s="6">
        <v>942.0</v>
      </c>
      <c r="B941" s="11"/>
      <c r="C941" s="11"/>
    </row>
    <row r="942">
      <c r="A942" s="6">
        <v>943.0</v>
      </c>
      <c r="B942" s="11"/>
      <c r="C942" s="11"/>
    </row>
    <row r="943">
      <c r="A943" s="6">
        <v>944.0</v>
      </c>
      <c r="B943" s="11"/>
      <c r="C943" s="11"/>
    </row>
    <row r="944">
      <c r="A944" s="6">
        <v>945.0</v>
      </c>
      <c r="B944" s="11"/>
      <c r="C944" s="11"/>
    </row>
    <row r="945">
      <c r="A945" s="6">
        <v>946.0</v>
      </c>
      <c r="B945" s="11"/>
      <c r="C945" s="11"/>
    </row>
    <row r="946">
      <c r="A946" s="6">
        <v>947.0</v>
      </c>
      <c r="B946" s="11"/>
      <c r="C946" s="11"/>
    </row>
    <row r="947">
      <c r="A947" s="6">
        <v>948.0</v>
      </c>
      <c r="B947" s="11"/>
      <c r="C947" s="11"/>
    </row>
    <row r="948">
      <c r="A948" s="6">
        <v>949.0</v>
      </c>
      <c r="B948" s="11"/>
      <c r="C948" s="11"/>
    </row>
    <row r="949">
      <c r="A949" s="6">
        <v>950.0</v>
      </c>
      <c r="B949" s="11"/>
      <c r="C949" s="11"/>
    </row>
    <row r="950">
      <c r="A950" s="6">
        <v>951.0</v>
      </c>
      <c r="B950" s="11"/>
      <c r="C950" s="11"/>
    </row>
    <row r="951">
      <c r="A951" s="6">
        <v>952.0</v>
      </c>
      <c r="B951" s="11"/>
      <c r="C951" s="11"/>
    </row>
    <row r="952">
      <c r="A952" s="6">
        <v>953.0</v>
      </c>
      <c r="B952" s="11"/>
      <c r="C952" s="11"/>
    </row>
    <row r="953">
      <c r="A953" s="6">
        <v>954.0</v>
      </c>
      <c r="B953" s="11"/>
      <c r="C953" s="11"/>
    </row>
    <row r="954">
      <c r="A954" s="6">
        <v>955.0</v>
      </c>
      <c r="B954" s="11"/>
      <c r="C954" s="11"/>
    </row>
    <row r="955">
      <c r="A955" s="6">
        <v>956.0</v>
      </c>
      <c r="B955" s="11"/>
      <c r="C955" s="11"/>
    </row>
    <row r="956">
      <c r="A956" s="6">
        <v>957.0</v>
      </c>
      <c r="B956" s="11"/>
      <c r="C956" s="11"/>
    </row>
    <row r="957">
      <c r="A957" s="6">
        <v>958.0</v>
      </c>
      <c r="B957" s="11"/>
      <c r="C957" s="11"/>
    </row>
    <row r="958">
      <c r="A958" s="6">
        <v>959.0</v>
      </c>
      <c r="B958" s="11"/>
      <c r="C958" s="11"/>
    </row>
    <row r="959">
      <c r="A959" s="6">
        <v>960.0</v>
      </c>
      <c r="B959" s="11"/>
      <c r="C959" s="11"/>
    </row>
    <row r="960">
      <c r="A960" s="6">
        <v>961.0</v>
      </c>
      <c r="B960" s="11"/>
      <c r="C960" s="11"/>
    </row>
    <row r="961">
      <c r="A961" s="6">
        <v>962.0</v>
      </c>
      <c r="B961" s="11"/>
      <c r="C961" s="11"/>
    </row>
    <row r="962">
      <c r="A962" s="6">
        <v>963.0</v>
      </c>
      <c r="B962" s="11"/>
      <c r="C962" s="11"/>
    </row>
    <row r="963">
      <c r="A963" s="6">
        <v>964.0</v>
      </c>
      <c r="B963" s="11"/>
      <c r="C963" s="11"/>
    </row>
    <row r="964">
      <c r="A964" s="6">
        <v>965.0</v>
      </c>
      <c r="B964" s="11"/>
      <c r="C964" s="11"/>
    </row>
    <row r="965">
      <c r="A965" s="6">
        <v>966.0</v>
      </c>
      <c r="B965" s="11"/>
      <c r="C965" s="11"/>
    </row>
    <row r="966">
      <c r="A966" s="6">
        <v>967.0</v>
      </c>
      <c r="B966" s="11"/>
      <c r="C966" s="11"/>
    </row>
    <row r="967">
      <c r="A967" s="6">
        <v>968.0</v>
      </c>
      <c r="B967" s="11"/>
      <c r="C967" s="11"/>
    </row>
    <row r="968">
      <c r="A968" s="6">
        <v>969.0</v>
      </c>
      <c r="B968" s="11"/>
      <c r="C968" s="11"/>
    </row>
    <row r="969">
      <c r="A969" s="6">
        <v>970.0</v>
      </c>
      <c r="B969" s="11"/>
      <c r="C969" s="11"/>
    </row>
    <row r="970">
      <c r="A970" s="6">
        <v>971.0</v>
      </c>
      <c r="B970" s="11"/>
      <c r="C970" s="11"/>
    </row>
    <row r="971">
      <c r="A971" s="6">
        <v>972.0</v>
      </c>
      <c r="B971" s="11"/>
      <c r="C971" s="11"/>
    </row>
    <row r="972">
      <c r="A972" s="6">
        <v>973.0</v>
      </c>
      <c r="B972" s="11"/>
      <c r="C972" s="11"/>
    </row>
    <row r="973">
      <c r="A973" s="6">
        <v>974.0</v>
      </c>
      <c r="B973" s="11"/>
      <c r="C973" s="11"/>
    </row>
    <row r="974">
      <c r="A974" s="6">
        <v>975.0</v>
      </c>
      <c r="B974" s="11"/>
      <c r="C974" s="11"/>
    </row>
    <row r="975">
      <c r="A975" s="6">
        <v>976.0</v>
      </c>
      <c r="B975" s="11"/>
      <c r="C975" s="11"/>
    </row>
    <row r="976">
      <c r="A976" s="6">
        <v>977.0</v>
      </c>
      <c r="B976" s="11"/>
      <c r="C976" s="11"/>
    </row>
    <row r="977">
      <c r="A977" s="6">
        <v>978.0</v>
      </c>
      <c r="B977" s="11"/>
      <c r="C977" s="11"/>
    </row>
    <row r="978">
      <c r="A978" s="6">
        <v>979.0</v>
      </c>
      <c r="B978" s="11"/>
      <c r="C978" s="11"/>
    </row>
    <row r="979">
      <c r="A979" s="6">
        <v>980.0</v>
      </c>
      <c r="B979" s="11"/>
      <c r="C979" s="11"/>
    </row>
    <row r="980">
      <c r="A980" s="6">
        <v>981.0</v>
      </c>
      <c r="B980" s="11"/>
      <c r="C980" s="11"/>
    </row>
    <row r="981">
      <c r="A981" s="6">
        <v>982.0</v>
      </c>
      <c r="B981" s="11"/>
      <c r="C981" s="11"/>
    </row>
    <row r="982">
      <c r="A982" s="6">
        <v>983.0</v>
      </c>
      <c r="B982" s="11"/>
      <c r="C982" s="11"/>
    </row>
    <row r="983">
      <c r="A983" s="6">
        <v>984.0</v>
      </c>
      <c r="B983" s="11"/>
      <c r="C983" s="11"/>
    </row>
    <row r="984">
      <c r="A984" s="6">
        <v>985.0</v>
      </c>
      <c r="B984" s="11"/>
      <c r="C984" s="11"/>
    </row>
    <row r="985">
      <c r="A985" s="6">
        <v>986.0</v>
      </c>
      <c r="B985" s="11"/>
      <c r="C985" s="11"/>
    </row>
    <row r="986">
      <c r="A986" s="6">
        <v>987.0</v>
      </c>
      <c r="B986" s="11"/>
      <c r="C986" s="11"/>
    </row>
    <row r="987">
      <c r="A987" s="6">
        <v>988.0</v>
      </c>
      <c r="B987" s="11"/>
      <c r="C987" s="11"/>
    </row>
    <row r="988">
      <c r="A988" s="6">
        <v>989.0</v>
      </c>
      <c r="B988" s="11"/>
      <c r="C988" s="11"/>
    </row>
    <row r="989">
      <c r="A989" s="6">
        <v>990.0</v>
      </c>
      <c r="B989" s="11"/>
      <c r="C989" s="11"/>
    </row>
    <row r="990">
      <c r="A990" s="6">
        <v>991.0</v>
      </c>
      <c r="B990" s="11"/>
      <c r="C990" s="11"/>
    </row>
    <row r="991">
      <c r="A991" s="6">
        <v>992.0</v>
      </c>
      <c r="B991" s="11"/>
      <c r="C991" s="11"/>
    </row>
    <row r="992">
      <c r="A992" s="6">
        <v>993.0</v>
      </c>
      <c r="B992" s="11"/>
      <c r="C992" s="11"/>
    </row>
    <row r="993">
      <c r="A993" s="6">
        <v>994.0</v>
      </c>
      <c r="B993" s="11"/>
      <c r="C993" s="11"/>
    </row>
    <row r="994">
      <c r="A994" s="6">
        <v>995.0</v>
      </c>
      <c r="B994" s="11"/>
      <c r="C994" s="11"/>
    </row>
    <row r="995">
      <c r="A995" s="6">
        <v>996.0</v>
      </c>
      <c r="B995" s="11"/>
      <c r="C995" s="11"/>
    </row>
    <row r="996">
      <c r="A996" s="6">
        <v>997.0</v>
      </c>
      <c r="B996" s="11"/>
      <c r="C996" s="11"/>
    </row>
    <row r="997">
      <c r="A997" s="6">
        <v>998.0</v>
      </c>
      <c r="B997" s="11"/>
      <c r="C997" s="11"/>
    </row>
    <row r="998">
      <c r="A998" s="6">
        <v>999.0</v>
      </c>
      <c r="B998" s="11"/>
      <c r="C998" s="11"/>
    </row>
  </sheetData>
  <dataValidations>
    <dataValidation type="list" allowBlank="1" showErrorMessage="1" sqref="B2:B998">
      <formula1>"ADITIVO DE PRAZO,ADITIVO DE QUANTIDADE,ADITIVO DE REAJUSTE,ADITIVO DE SUPRESSÃO,CADASTRO,APOSTILAMENTO,ADITIVO DE REAJUSTE E PRAZO,ADITIVO DE QUANTIDADE E PRAZO,ADITIVO DE REAJUSTE E QUANTIDADE,ADITIVO DE SUPRESSÃO E QUANTIDADE,ADITIVO MODIFICAÇÃO DE ITEM"</formula1>
    </dataValidation>
    <dataValidation type="list" allowBlank="1" showErrorMessage="1" sqref="C2:C998">
      <formula1>CONTRATOS!$B$2:$B$19998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7.88"/>
    <col customWidth="1" min="3" max="3" width="40.13"/>
    <col customWidth="1" min="4" max="4" width="17.88"/>
    <col customWidth="1" min="5" max="5" width="19.5"/>
    <col customWidth="1" min="6" max="6" width="25.25"/>
    <col customWidth="1" min="7" max="7" width="14.13"/>
    <col customWidth="1" min="8" max="8" width="20.88"/>
    <col customWidth="1" min="9" max="9" width="18.38"/>
    <col customWidth="1" min="10" max="10" width="11.63"/>
  </cols>
  <sheetData>
    <row r="1">
      <c r="A1" s="29" t="s">
        <v>1332</v>
      </c>
      <c r="B1" s="47" t="s">
        <v>1333</v>
      </c>
      <c r="C1" s="47" t="s">
        <v>1320</v>
      </c>
      <c r="D1" s="48" t="s">
        <v>1334</v>
      </c>
      <c r="E1" s="29" t="s">
        <v>1335</v>
      </c>
      <c r="F1" s="29" t="s">
        <v>1336</v>
      </c>
      <c r="G1" s="29" t="s">
        <v>1337</v>
      </c>
      <c r="H1" s="29" t="s">
        <v>1338</v>
      </c>
      <c r="I1" s="49" t="s">
        <v>1339</v>
      </c>
      <c r="J1" s="31"/>
      <c r="K1" s="31"/>
      <c r="L1" s="31"/>
      <c r="M1" s="31"/>
      <c r="N1" s="31"/>
      <c r="O1" s="31"/>
      <c r="P1" s="31"/>
      <c r="Q1" s="31"/>
      <c r="R1" s="31"/>
      <c r="S1" s="31"/>
      <c r="T1" s="31"/>
      <c r="U1" s="31"/>
      <c r="V1" s="31"/>
      <c r="W1" s="31"/>
      <c r="X1" s="31"/>
      <c r="Y1" s="31"/>
      <c r="Z1" s="31"/>
      <c r="AA1" s="31"/>
      <c r="AB1" s="31"/>
    </row>
    <row r="2">
      <c r="A2" s="11"/>
      <c r="B2" s="50" t="str">
        <f>IFERROR(VLOOKUP($A2,EVENTO!$A$2:$C$4999,2,FALSE),"")</f>
        <v/>
      </c>
      <c r="C2" s="50" t="str">
        <f>IFERROR(VLOOKUP($A2,EVENTO!$A$2:$C$4999,3,FALSE),"")</f>
        <v/>
      </c>
      <c r="D2" s="51"/>
      <c r="G2" s="52"/>
      <c r="H2" s="53"/>
      <c r="I2" s="49"/>
    </row>
    <row r="3">
      <c r="A3" s="11"/>
      <c r="B3" s="50" t="str">
        <f>IFERROR(VLOOKUP($A3,EVENTO!$A$2:$C$4999,2,FALSE),"")</f>
        <v/>
      </c>
      <c r="C3" s="50" t="str">
        <f>IFERROR(VLOOKUP($A3,EVENTO!$A$2:$C$4999,3,FALSE),"")</f>
        <v/>
      </c>
      <c r="D3" s="51"/>
      <c r="G3" s="52"/>
      <c r="H3" s="52"/>
      <c r="I3" s="49"/>
    </row>
    <row r="4">
      <c r="A4" s="11"/>
      <c r="B4" s="50" t="str">
        <f>IFERROR(VLOOKUP($A4,EVENTO!$A$2:$C$4999,2,FALSE),"")</f>
        <v/>
      </c>
      <c r="C4" s="50" t="str">
        <f>IFERROR(VLOOKUP($A4,EVENTO!$A$2:$C$4999,3,FALSE),"")</f>
        <v/>
      </c>
      <c r="D4" s="51"/>
      <c r="G4" s="52"/>
      <c r="H4" s="52"/>
      <c r="I4" s="49"/>
    </row>
    <row r="5">
      <c r="A5" s="6">
        <v>6.0</v>
      </c>
      <c r="B5" s="50" t="str">
        <f>IFERROR(VLOOKUP($A5,EVENTO!$A$2:$C$4999,2,FALSE),"")</f>
        <v>CADASTRO</v>
      </c>
      <c r="C5" s="50" t="str">
        <f>IFERROR(VLOOKUP($A5,EVENTO!$A$2:$C$4999,3,FALSE),"")</f>
        <v>ALECE</v>
      </c>
      <c r="D5" s="51">
        <v>45918.0</v>
      </c>
      <c r="E5" s="6">
        <v>12.0</v>
      </c>
      <c r="F5" s="6">
        <v>120.0</v>
      </c>
      <c r="G5" s="52">
        <v>46251.0</v>
      </c>
      <c r="H5" s="52">
        <v>49538.0</v>
      </c>
      <c r="I5" s="49">
        <v>1557184.56</v>
      </c>
    </row>
    <row r="6">
      <c r="A6" s="6">
        <v>7.0</v>
      </c>
      <c r="B6" s="50" t="str">
        <f>IFERROR(VLOOKUP($A6,EVENTO!$A$2:$C$4999,2,FALSE),"")</f>
        <v>ADITIVO DE QUANTIDADE</v>
      </c>
      <c r="C6" s="50" t="str">
        <f>IFERROR(VLOOKUP($A6,EVENTO!$A$2:$C$4999,3,FALSE),"")</f>
        <v>ALECE</v>
      </c>
      <c r="D6" s="51">
        <v>45992.0</v>
      </c>
      <c r="E6" s="6">
        <v>9.0</v>
      </c>
      <c r="F6" s="6">
        <v>120.0</v>
      </c>
      <c r="G6" s="52">
        <v>46286.0</v>
      </c>
      <c r="H6" s="52">
        <v>49538.0</v>
      </c>
      <c r="I6" s="49">
        <v>312999.6</v>
      </c>
    </row>
    <row r="7">
      <c r="A7" s="6">
        <v>8.0</v>
      </c>
      <c r="B7" s="50" t="str">
        <f>IFERROR(VLOOKUP($A7,EVENTO!$A$2:$C$4999,2,FALSE),"")</f>
        <v>CADASTRO</v>
      </c>
      <c r="C7" s="50" t="str">
        <f>IFERROR(VLOOKUP($A7,EVENTO!$A$2:$C$4999,3,FALSE),"")</f>
        <v>10a REGIAO MILITAR</v>
      </c>
      <c r="D7" s="51">
        <v>45336.0</v>
      </c>
      <c r="E7" s="6">
        <v>12.0</v>
      </c>
      <c r="F7" s="6">
        <v>48.0</v>
      </c>
      <c r="G7" s="52">
        <v>45702.0</v>
      </c>
      <c r="H7" s="52">
        <v>46797.0</v>
      </c>
      <c r="I7" s="49">
        <v>34044.0</v>
      </c>
    </row>
    <row r="8">
      <c r="A8" s="6">
        <v>9.0</v>
      </c>
      <c r="B8" s="50" t="str">
        <f>IFERROR(VLOOKUP($A8,EVENTO!$A$2:$C$4999,2,FALSE),"")</f>
        <v>ADITIVO DE REAJUSTE E PRAZO</v>
      </c>
      <c r="C8" s="50" t="str">
        <f>IFERROR(VLOOKUP($A8,EVENTO!$A$2:$C$4999,3,FALSE),"")</f>
        <v>10a REGIAO MILITAR</v>
      </c>
      <c r="D8" s="51">
        <v>45703.0</v>
      </c>
      <c r="E8" s="6">
        <v>12.0</v>
      </c>
      <c r="F8" s="6">
        <v>36.0</v>
      </c>
      <c r="G8" s="52">
        <v>46067.0</v>
      </c>
      <c r="H8" s="52">
        <v>46797.0</v>
      </c>
      <c r="I8" s="49">
        <v>35311.2</v>
      </c>
    </row>
    <row r="9">
      <c r="A9" s="6">
        <v>10.0</v>
      </c>
      <c r="B9" s="50" t="str">
        <f>IFERROR(VLOOKUP($A9,EVENTO!$A$2:$C$4999,2,FALSE),"")</f>
        <v>CADASTRO</v>
      </c>
      <c r="C9" s="50" t="str">
        <f>IFERROR(VLOOKUP($A9,EVENTO!$A$2:$C$4999,3,FALSE),"")</f>
        <v>CMFOR </v>
      </c>
      <c r="D9" s="51">
        <v>45197.0</v>
      </c>
      <c r="E9" s="6">
        <v>12.0</v>
      </c>
      <c r="F9" s="6">
        <v>120.0</v>
      </c>
      <c r="G9" s="52">
        <v>45563.0</v>
      </c>
      <c r="H9" s="52">
        <v>48850.0</v>
      </c>
      <c r="I9" s="49">
        <v>35341.2</v>
      </c>
    </row>
    <row r="10">
      <c r="A10" s="6">
        <v>11.0</v>
      </c>
      <c r="B10" s="50" t="str">
        <f>IFERROR(VLOOKUP($A10,EVENTO!$A$2:$C$4999,2,FALSE),"")</f>
        <v>ADITIVO DE REAJUSTE E PRAZO</v>
      </c>
      <c r="C10" s="50" t="str">
        <f>IFERROR(VLOOKUP($A10,EVENTO!$A$2:$C$4999,3,FALSE),"")</f>
        <v>CMFOR </v>
      </c>
      <c r="D10" s="51">
        <v>45564.0</v>
      </c>
      <c r="E10" s="6">
        <v>12.0</v>
      </c>
      <c r="F10" s="6">
        <v>120.0</v>
      </c>
      <c r="G10" s="52">
        <v>45928.0</v>
      </c>
      <c r="H10" s="52">
        <v>48850.0</v>
      </c>
      <c r="I10" s="49">
        <v>36816.96</v>
      </c>
    </row>
    <row r="11">
      <c r="A11" s="6">
        <v>12.0</v>
      </c>
      <c r="B11" s="50" t="str">
        <f>IFERROR(VLOOKUP($A11,EVENTO!$A$2:$C$4999,2,FALSE),"")</f>
        <v>ADITIVO DE REAJUSTE E PRAZO</v>
      </c>
      <c r="C11" s="50" t="str">
        <f>IFERROR(VLOOKUP($A11,EVENTO!$A$2:$C$4999,3,FALSE),"")</f>
        <v>CMFOR </v>
      </c>
      <c r="D11" s="51">
        <v>45929.0</v>
      </c>
      <c r="E11" s="6">
        <v>12.0</v>
      </c>
      <c r="F11" s="6">
        <v>120.0</v>
      </c>
      <c r="G11" s="52">
        <v>46293.0</v>
      </c>
      <c r="H11" s="52">
        <v>48850.0</v>
      </c>
      <c r="I11" s="49">
        <v>39051.72</v>
      </c>
    </row>
    <row r="12">
      <c r="A12" s="6">
        <v>13.0</v>
      </c>
      <c r="B12" s="50" t="str">
        <f>IFERROR(VLOOKUP($A12,EVENTO!$A$2:$C$4999,2,FALSE),"")</f>
        <v>CADASTRO</v>
      </c>
      <c r="C12" s="50" t="str">
        <f>IFERROR(VLOOKUP($A12,EVENTO!$A$2:$C$4999,3,FALSE),"")</f>
        <v>ESCOLA DE APRENDIZEM  DE MARINHEIROS DO CEARÁ </v>
      </c>
      <c r="D12" s="51">
        <v>45331.0</v>
      </c>
      <c r="E12" s="6">
        <v>12.0</v>
      </c>
      <c r="F12" s="6">
        <v>60.0</v>
      </c>
      <c r="G12" s="52">
        <v>45330.0</v>
      </c>
      <c r="H12" s="52">
        <v>47157.0</v>
      </c>
      <c r="I12" s="49">
        <v>6000.0</v>
      </c>
    </row>
    <row r="13">
      <c r="A13" s="6">
        <v>14.0</v>
      </c>
      <c r="B13" s="50" t="str">
        <f>IFERROR(VLOOKUP($A13,EVENTO!$A$2:$C$4999,2,FALSE),"")</f>
        <v>ADITIVO DE REAJUSTE E PRAZO</v>
      </c>
      <c r="C13" s="50" t="str">
        <f>IFERROR(VLOOKUP($A13,EVENTO!$A$2:$C$4999,3,FALSE),"")</f>
        <v>ESCOLA DE APRENDIZEM  DE MARINHEIROS DO CEARÁ </v>
      </c>
      <c r="D13" s="51">
        <v>45710.0</v>
      </c>
      <c r="E13" s="6">
        <v>12.0</v>
      </c>
      <c r="F13" s="6">
        <v>60.0</v>
      </c>
      <c r="G13" s="52">
        <v>46075.0</v>
      </c>
      <c r="H13" s="52">
        <v>47157.0</v>
      </c>
      <c r="I13" s="49">
        <v>6384.0</v>
      </c>
    </row>
    <row r="14">
      <c r="A14" s="6">
        <v>15.0</v>
      </c>
      <c r="B14" s="50" t="str">
        <f>IFERROR(VLOOKUP($A14,EVENTO!$A$2:$C$4999,2,FALSE),"")</f>
        <v>CADASTRO</v>
      </c>
      <c r="C14" s="50" t="str">
        <f>IFERROR(VLOOKUP($A14,EVENTO!$A$2:$C$4999,3,FALSE),"")</f>
        <v>UFC</v>
      </c>
      <c r="D14" s="51">
        <v>45314.0</v>
      </c>
      <c r="E14" s="6">
        <v>12.0</v>
      </c>
      <c r="F14" s="6">
        <v>60.0</v>
      </c>
      <c r="G14" s="52">
        <v>45679.0</v>
      </c>
      <c r="H14" s="52">
        <v>47140.0</v>
      </c>
      <c r="I14" s="49">
        <v>182773.68</v>
      </c>
    </row>
    <row r="15">
      <c r="A15" s="6">
        <v>16.0</v>
      </c>
      <c r="B15" s="50" t="str">
        <f>IFERROR(VLOOKUP($A15,EVENTO!$A$2:$C$4999,2,FALSE),"")</f>
        <v>ADITIVO DE PRAZO</v>
      </c>
      <c r="C15" s="50" t="str">
        <f>IFERROR(VLOOKUP($A15,EVENTO!$A$2:$C$4999,3,FALSE),"")</f>
        <v>UFC</v>
      </c>
      <c r="D15" s="51">
        <v>45681.0</v>
      </c>
      <c r="E15" s="6">
        <v>12.0</v>
      </c>
      <c r="F15" s="6">
        <v>60.0</v>
      </c>
      <c r="G15" s="52">
        <v>46046.0</v>
      </c>
      <c r="H15" s="52">
        <v>47140.0</v>
      </c>
      <c r="I15" s="49">
        <v>182773.68</v>
      </c>
    </row>
    <row r="16">
      <c r="A16" s="6">
        <v>17.0</v>
      </c>
      <c r="B16" s="50" t="str">
        <f>IFERROR(VLOOKUP($A16,EVENTO!$A$2:$C$4999,2,FALSE),"")</f>
        <v>APOSTILAMENTO</v>
      </c>
      <c r="C16" s="50" t="str">
        <f>IFERROR(VLOOKUP($A16,EVENTO!$A$2:$C$4999,3,FALSE),"")</f>
        <v>UFC</v>
      </c>
      <c r="D16" s="51">
        <v>45658.0</v>
      </c>
      <c r="E16" s="6">
        <v>12.0</v>
      </c>
      <c r="F16" s="6">
        <v>60.0</v>
      </c>
      <c r="G16" s="52">
        <v>46022.0</v>
      </c>
      <c r="H16" s="52">
        <v>47140.0</v>
      </c>
      <c r="I16" s="49">
        <v>191604.02</v>
      </c>
    </row>
    <row r="17">
      <c r="A17" s="6">
        <v>18.0</v>
      </c>
      <c r="B17" s="50" t="str">
        <f>IFERROR(VLOOKUP($A17,EVENTO!$A$2:$C$4999,2,FALSE),"")</f>
        <v>CADASTRO</v>
      </c>
      <c r="C17" s="50" t="str">
        <f>IFERROR(VLOOKUP($A17,EVENTO!$A$2:$C$4999,3,FALSE),"")</f>
        <v>IFCE CAMOCIM</v>
      </c>
      <c r="D17" s="51">
        <v>45352.0</v>
      </c>
      <c r="E17" s="6">
        <v>12.0</v>
      </c>
      <c r="F17" s="6">
        <v>60.0</v>
      </c>
      <c r="G17" s="52">
        <v>45717.0</v>
      </c>
      <c r="H17" s="52">
        <v>47178.0</v>
      </c>
      <c r="I17" s="49">
        <v>12612.0</v>
      </c>
    </row>
    <row r="18">
      <c r="A18" s="6">
        <v>19.0</v>
      </c>
      <c r="B18" s="50" t="str">
        <f>IFERROR(VLOOKUP($A18,EVENTO!$A$2:$C$4999,2,FALSE),"")</f>
        <v>ADITIVO DE REAJUSTE E PRAZO</v>
      </c>
      <c r="C18" s="50" t="str">
        <f>IFERROR(VLOOKUP($A18,EVENTO!$A$2:$C$4999,3,FALSE),"")</f>
        <v>IFCE CAMOCIM</v>
      </c>
      <c r="D18" s="51">
        <v>45717.0</v>
      </c>
      <c r="E18" s="6">
        <v>12.0</v>
      </c>
      <c r="F18" s="6">
        <v>60.0</v>
      </c>
      <c r="G18" s="52">
        <v>46082.0</v>
      </c>
      <c r="H18" s="52">
        <v>47178.0</v>
      </c>
      <c r="I18" s="49">
        <v>13176.0</v>
      </c>
    </row>
    <row r="19">
      <c r="A19" s="6">
        <v>20.0</v>
      </c>
      <c r="B19" s="50" t="str">
        <f>IFERROR(VLOOKUP($A19,EVENTO!$A$2:$C$4999,2,FALSE),"")</f>
        <v>CADASTRO</v>
      </c>
      <c r="C19" s="50" t="str">
        <f>IFERROR(VLOOKUP($A19,EVENTO!$A$2:$C$4999,3,FALSE),"")</f>
        <v>IFCE CAUCAIA</v>
      </c>
      <c r="D19" s="51">
        <v>45446.0</v>
      </c>
      <c r="E19" s="6">
        <v>12.0</v>
      </c>
      <c r="F19" s="6">
        <v>60.0</v>
      </c>
      <c r="G19" s="52">
        <v>45811.0</v>
      </c>
      <c r="H19" s="52">
        <v>47272.0</v>
      </c>
      <c r="I19" s="49">
        <v>18864.0</v>
      </c>
    </row>
    <row r="20">
      <c r="A20" s="6">
        <v>21.0</v>
      </c>
      <c r="B20" s="50" t="str">
        <f>IFERROR(VLOOKUP($A20,EVENTO!$A$2:$C$4999,2,FALSE),"")</f>
        <v>APOSTILAMENTO</v>
      </c>
      <c r="C20" s="50" t="str">
        <f>IFERROR(VLOOKUP($A20,EVENTO!$A$2:$C$4999,3,FALSE),"")</f>
        <v>IFCE CAUCAIA</v>
      </c>
      <c r="D20" s="51">
        <v>45383.0</v>
      </c>
      <c r="E20" s="6">
        <v>12.0</v>
      </c>
      <c r="F20" s="6">
        <v>60.0</v>
      </c>
      <c r="G20" s="53">
        <v>45657.0</v>
      </c>
      <c r="H20" s="52">
        <v>47272.0</v>
      </c>
      <c r="I20" s="49">
        <v>19596.0</v>
      </c>
    </row>
    <row r="21">
      <c r="A21" s="6">
        <v>22.0</v>
      </c>
      <c r="B21" s="50" t="str">
        <f>IFERROR(VLOOKUP($A21,EVENTO!$A$2:$C$4999,2,FALSE),"")</f>
        <v>ADITIVO DE PRAZO</v>
      </c>
      <c r="C21" s="50" t="str">
        <f>IFERROR(VLOOKUP($A21,EVENTO!$A$2:$C$4999,3,FALSE),"")</f>
        <v>IFCE CAUCAIA</v>
      </c>
      <c r="D21" s="51">
        <v>45812.0</v>
      </c>
      <c r="E21" s="6">
        <v>12.0</v>
      </c>
      <c r="F21" s="6">
        <v>60.0</v>
      </c>
      <c r="G21" s="52">
        <v>46176.0</v>
      </c>
      <c r="H21" s="52">
        <v>47272.0</v>
      </c>
      <c r="I21" s="49">
        <v>19596.0</v>
      </c>
    </row>
    <row r="22">
      <c r="A22" s="6">
        <v>23.0</v>
      </c>
      <c r="B22" s="50" t="str">
        <f>IFERROR(VLOOKUP($A22,EVENTO!$A$2:$C$4999,2,FALSE),"")</f>
        <v>CADASTRO</v>
      </c>
      <c r="C22" s="50" t="str">
        <f>IFERROR(VLOOKUP($A22,EVENTO!$A$2:$C$4999,3,FALSE),"")</f>
        <v>IFCE ITAPIPOCA</v>
      </c>
      <c r="D22" s="54">
        <v>45579.0</v>
      </c>
      <c r="E22" s="6">
        <v>12.0</v>
      </c>
      <c r="F22" s="6">
        <v>60.0</v>
      </c>
      <c r="G22" s="53">
        <v>45944.0</v>
      </c>
      <c r="H22" s="53">
        <v>47405.0</v>
      </c>
      <c r="I22" s="49">
        <v>24540.0</v>
      </c>
    </row>
    <row r="23">
      <c r="A23" s="6">
        <v>24.0</v>
      </c>
      <c r="B23" s="50" t="str">
        <f>IFERROR(VLOOKUP($A23,EVENTO!$A$2:$C$4999,2,FALSE),"")</f>
        <v>ADITIVO DE REAJUSTE E PRAZO</v>
      </c>
      <c r="C23" s="50" t="str">
        <f>IFERROR(VLOOKUP($A23,EVENTO!$A$2:$C$4999,3,FALSE),"")</f>
        <v>IFCE ITAPIPOCA</v>
      </c>
      <c r="D23" s="54">
        <v>45944.0</v>
      </c>
      <c r="E23" s="6">
        <v>12.0</v>
      </c>
      <c r="F23" s="6">
        <v>60.0</v>
      </c>
      <c r="G23" s="53">
        <v>46309.0</v>
      </c>
      <c r="H23" s="53">
        <v>47405.0</v>
      </c>
      <c r="I23" s="49">
        <v>25869.67</v>
      </c>
    </row>
    <row r="24">
      <c r="A24" s="6">
        <v>25.0</v>
      </c>
      <c r="B24" s="50" t="str">
        <f>IFERROR(VLOOKUP($A24,EVENTO!$A$2:$C$4999,2,FALSE),"")</f>
        <v>CADASTRO</v>
      </c>
      <c r="C24" s="50" t="str">
        <f>IFERROR(VLOOKUP($A24,EVENTO!$A$2:$C$4999,3,FALSE),"")</f>
        <v>IFCE PARACURU </v>
      </c>
      <c r="D24" s="51">
        <v>45321.0</v>
      </c>
      <c r="E24" s="6">
        <v>12.0</v>
      </c>
      <c r="F24" s="6">
        <v>60.0</v>
      </c>
      <c r="G24" s="52">
        <v>45687.0</v>
      </c>
      <c r="H24" s="52">
        <v>47148.0</v>
      </c>
      <c r="I24" s="49">
        <v>9840.0</v>
      </c>
    </row>
    <row r="25">
      <c r="A25" s="6">
        <v>26.0</v>
      </c>
      <c r="B25" s="50" t="str">
        <f>IFERROR(VLOOKUP($A25,EVENTO!$A$2:$C$4999,2,FALSE),"")</f>
        <v>ADITIVO DE PRAZO</v>
      </c>
      <c r="C25" s="50" t="str">
        <f>IFERROR(VLOOKUP($A25,EVENTO!$A$2:$C$4999,3,FALSE),"")</f>
        <v>IFCE PARACURU </v>
      </c>
      <c r="D25" s="51">
        <v>45687.0</v>
      </c>
      <c r="E25" s="6">
        <v>12.0</v>
      </c>
      <c r="F25" s="6">
        <v>60.0</v>
      </c>
      <c r="G25" s="52">
        <v>46052.0</v>
      </c>
      <c r="H25" s="52">
        <v>47148.0</v>
      </c>
      <c r="I25" s="49">
        <v>9840.0</v>
      </c>
    </row>
    <row r="26">
      <c r="A26" s="6">
        <v>27.0</v>
      </c>
      <c r="B26" s="50" t="str">
        <f>IFERROR(VLOOKUP($A26,EVENTO!$A$2:$C$4999,2,FALSE),"")</f>
        <v>CADASTRO</v>
      </c>
      <c r="C26" s="50" t="str">
        <f>IFERROR(VLOOKUP($A26,EVENTO!$A$2:$C$4999,3,FALSE),"")</f>
        <v>IFCE JUAZEIRO DO NORTE</v>
      </c>
      <c r="D26" s="54">
        <v>45614.0</v>
      </c>
      <c r="E26" s="6">
        <v>12.0</v>
      </c>
      <c r="F26" s="6">
        <v>60.0</v>
      </c>
      <c r="G26" s="53">
        <v>45979.0</v>
      </c>
      <c r="H26" s="53">
        <v>47440.0</v>
      </c>
      <c r="I26" s="49">
        <v>34776.0</v>
      </c>
    </row>
    <row r="27">
      <c r="A27" s="6">
        <v>28.0</v>
      </c>
      <c r="B27" s="50" t="str">
        <f>IFERROR(VLOOKUP($A27,EVENTO!$A$2:$C$4999,2,FALSE),"")</f>
        <v>ADITIVO DE REAJUSTE E PRAZO</v>
      </c>
      <c r="C27" s="50" t="str">
        <f>IFERROR(VLOOKUP($A27,EVENTO!$A$2:$C$4999,3,FALSE),"")</f>
        <v>IFCE JUAZEIRO DO NORTE</v>
      </c>
      <c r="D27" s="54">
        <v>45979.0</v>
      </c>
      <c r="E27" s="6">
        <v>12.0</v>
      </c>
      <c r="F27" s="6">
        <v>60.0</v>
      </c>
      <c r="G27" s="53">
        <v>46344.0</v>
      </c>
      <c r="H27" s="53">
        <v>47440.0</v>
      </c>
      <c r="I27" s="49">
        <v>36574.74</v>
      </c>
    </row>
    <row r="28">
      <c r="A28" s="6">
        <v>29.0</v>
      </c>
      <c r="B28" s="50" t="str">
        <f>IFERROR(VLOOKUP($A28,EVENTO!$A$2:$C$4999,2,FALSE),"")</f>
        <v>CADASTRO</v>
      </c>
      <c r="C28" s="50" t="str">
        <f>IFERROR(VLOOKUP($A28,EVENTO!$A$2:$C$4999,3,FALSE),"")</f>
        <v>MINISTÉRIO DA AGRICULTURA E PECUÁRIA/SUPERINTENDÊNCIA FEDERAL DE AGRICULTURA E PECUÁRIA NO PARANÁ (SFA-PR/MAPA)</v>
      </c>
      <c r="D28" s="51">
        <v>45693.0</v>
      </c>
      <c r="E28" s="6">
        <v>12.0</v>
      </c>
      <c r="F28" s="6">
        <v>60.0</v>
      </c>
      <c r="G28" s="52">
        <v>47154.0</v>
      </c>
      <c r="H28" s="52">
        <v>47519.0</v>
      </c>
      <c r="I28" s="49">
        <v>68287.0</v>
      </c>
    </row>
    <row r="29">
      <c r="A29" s="6">
        <v>30.0</v>
      </c>
      <c r="B29" s="50" t="str">
        <f>IFERROR(VLOOKUP($A29,EVENTO!$A$2:$C$4999,2,FALSE),"")</f>
        <v>CADASTRO</v>
      </c>
      <c r="C29" s="50" t="str">
        <f>IFERROR(VLOOKUP($A29,EVENTO!$A$2:$C$4999,3,FALSE),"")</f>
        <v>CAPITANIA DOS PORTOS DE SERGIPE</v>
      </c>
      <c r="D29" s="51">
        <v>45516.0</v>
      </c>
      <c r="E29" s="6">
        <v>12.0</v>
      </c>
      <c r="F29" s="6">
        <v>60.0</v>
      </c>
      <c r="G29" s="52">
        <v>45882.0</v>
      </c>
      <c r="H29" s="52">
        <v>47343.0</v>
      </c>
      <c r="I29" s="49">
        <v>21480.0</v>
      </c>
    </row>
    <row r="30">
      <c r="A30" s="6">
        <v>31.0</v>
      </c>
      <c r="B30" s="50" t="str">
        <f>IFERROR(VLOOKUP($A30,EVENTO!$A$2:$C$4999,2,FALSE),"")</f>
        <v>ADITIVO DE REAJUSTE E PRAZO</v>
      </c>
      <c r="C30" s="50" t="str">
        <f>IFERROR(VLOOKUP($A30,EVENTO!$A$2:$C$4999,3,FALSE),"")</f>
        <v>CAPITANIA DOS PORTOS DE SERGIPE</v>
      </c>
      <c r="D30" s="51">
        <v>45883.0</v>
      </c>
      <c r="E30" s="6">
        <v>12.0</v>
      </c>
      <c r="F30" s="6">
        <v>60.0</v>
      </c>
      <c r="G30" s="52">
        <v>46247.0</v>
      </c>
      <c r="H30" s="52">
        <v>47343.0</v>
      </c>
      <c r="I30" s="49">
        <v>22667.84</v>
      </c>
      <c r="AA30" s="6" t="s">
        <v>1340</v>
      </c>
    </row>
    <row r="31">
      <c r="A31" s="6">
        <v>32.0</v>
      </c>
      <c r="B31" s="50" t="str">
        <f>IFERROR(VLOOKUP($A31,EVENTO!$A$2:$C$4999,2,FALSE),"")</f>
        <v>CADASTRO</v>
      </c>
      <c r="C31" s="50" t="str">
        <f>IFERROR(VLOOKUP($A31,EVENTO!$A$2:$C$4999,3,FALSE),"")</f>
        <v>IFRN CAMPUS CEARÁ-MIRIM</v>
      </c>
      <c r="D31" s="51">
        <v>45429.0</v>
      </c>
      <c r="E31" s="6">
        <v>12.0</v>
      </c>
      <c r="F31" s="6">
        <v>60.0</v>
      </c>
      <c r="G31" s="52">
        <v>45794.0</v>
      </c>
      <c r="H31" s="52">
        <v>47255.0</v>
      </c>
      <c r="I31" s="49">
        <v>15798.0</v>
      </c>
    </row>
    <row r="32">
      <c r="A32" s="6">
        <v>33.0</v>
      </c>
      <c r="B32" s="50" t="str">
        <f>IFERROR(VLOOKUP($A32,EVENTO!$A$2:$C$4999,2,FALSE),"")</f>
        <v>ADITIVO DE REAJUSTE E PRAZO</v>
      </c>
      <c r="C32" s="50" t="str">
        <f>IFERROR(VLOOKUP($A32,EVENTO!$A$2:$C$4999,3,FALSE),"")</f>
        <v>IFRN CAMPUS CEARÁ-MIRIM</v>
      </c>
      <c r="D32" s="51">
        <v>45794.0</v>
      </c>
      <c r="E32" s="6">
        <v>12.0</v>
      </c>
      <c r="F32" s="6">
        <v>60.0</v>
      </c>
      <c r="G32" s="52">
        <v>46159.0</v>
      </c>
      <c r="H32" s="52">
        <v>47255.0</v>
      </c>
      <c r="I32" s="49">
        <v>16705.2</v>
      </c>
    </row>
    <row r="33">
      <c r="A33" s="6">
        <v>34.0</v>
      </c>
      <c r="B33" s="50" t="str">
        <f>IFERROR(VLOOKUP($A33,EVENTO!$A$2:$C$4999,2,FALSE),"")</f>
        <v>CADASTRO</v>
      </c>
      <c r="C33" s="50" t="str">
        <f>IFERROR(VLOOKUP($A33,EVENTO!$A$2:$C$4999,3,FALSE),"")</f>
        <v>IFRN CAMPUS NATAL</v>
      </c>
      <c r="D33" s="51">
        <v>45597.0</v>
      </c>
      <c r="E33" s="6">
        <v>12.0</v>
      </c>
      <c r="F33" s="6">
        <v>60.0</v>
      </c>
      <c r="G33" s="53">
        <v>45961.0</v>
      </c>
      <c r="H33" s="53">
        <v>47422.0</v>
      </c>
      <c r="I33" s="49">
        <v>24900.0</v>
      </c>
    </row>
    <row r="34">
      <c r="A34" s="6">
        <v>35.0</v>
      </c>
      <c r="B34" s="50" t="str">
        <f>IFERROR(VLOOKUP($A34,EVENTO!$A$2:$C$4999,2,FALSE),"")</f>
        <v>ADITIVO DE REAJUSTE E PRAZO</v>
      </c>
      <c r="C34" s="50" t="str">
        <f>IFERROR(VLOOKUP($A34,EVENTO!$A$2:$C$4999,3,FALSE),"")</f>
        <v>IFRN CAMPUS NATAL</v>
      </c>
      <c r="D34" s="54">
        <v>46326.0</v>
      </c>
      <c r="E34" s="6">
        <v>12.0</v>
      </c>
      <c r="F34" s="6">
        <v>60.0</v>
      </c>
      <c r="G34" s="53">
        <v>46326.0</v>
      </c>
      <c r="H34" s="53">
        <v>47422.0</v>
      </c>
      <c r="I34" s="49">
        <v>26091.51</v>
      </c>
    </row>
    <row r="35">
      <c r="A35" s="6">
        <v>36.0</v>
      </c>
      <c r="B35" s="50" t="str">
        <f>IFERROR(VLOOKUP($A35,EVENTO!$A$2:$C$4999,2,FALSE),"")</f>
        <v>CADASTRO</v>
      </c>
      <c r="C35" s="50" t="str">
        <f>IFERROR(VLOOKUP($A35,EVENTO!$A$2:$C$4999,3,FALSE),"")</f>
        <v>TRE RJ</v>
      </c>
      <c r="D35" s="51">
        <v>45355.0</v>
      </c>
      <c r="E35" s="6">
        <v>24.0</v>
      </c>
      <c r="F35" s="6">
        <v>60.0</v>
      </c>
      <c r="G35" s="52">
        <v>46084.0</v>
      </c>
      <c r="H35" s="52">
        <v>47180.0</v>
      </c>
      <c r="I35" s="49">
        <v>1540816.48</v>
      </c>
    </row>
    <row r="36">
      <c r="A36" s="6">
        <v>37.0</v>
      </c>
      <c r="B36" s="50" t="str">
        <f>IFERROR(VLOOKUP($A36,EVENTO!$A$2:$C$4999,2,FALSE),"")</f>
        <v>CADASTRO</v>
      </c>
      <c r="C36" s="50" t="str">
        <f>IFERROR(VLOOKUP($A36,EVENTO!$A$2:$C$4999,3,FALSE),"")</f>
        <v>DELEGACIA DA CAPITANIA DE SÃO FRANCISCO DO SUL </v>
      </c>
      <c r="D36" s="51">
        <v>45677.0</v>
      </c>
      <c r="E36" s="6">
        <v>24.0</v>
      </c>
      <c r="F36" s="6">
        <v>60.0</v>
      </c>
      <c r="G36" s="52">
        <v>46406.0</v>
      </c>
      <c r="H36" s="52">
        <v>47502.0</v>
      </c>
      <c r="I36" s="49">
        <v>28430.4</v>
      </c>
    </row>
    <row r="37">
      <c r="A37" s="6">
        <v>38.0</v>
      </c>
      <c r="B37" s="50" t="str">
        <f>IFERROR(VLOOKUP($A37,EVENTO!$A$2:$C$4999,2,FALSE),"")</f>
        <v>CADASTRO</v>
      </c>
      <c r="C37" s="50" t="str">
        <f>IFERROR(VLOOKUP($A37,EVENTO!$A$2:$C$4999,3,FALSE),"")</f>
        <v>DELEGACIA DA CAPITANIA DOS PORTOS EM ITAJAÍ </v>
      </c>
      <c r="D37" s="51">
        <v>45696.0</v>
      </c>
      <c r="E37" s="6">
        <v>48.0</v>
      </c>
      <c r="F37" s="6">
        <v>60.0</v>
      </c>
      <c r="G37" s="52">
        <v>47156.0</v>
      </c>
      <c r="H37" s="52">
        <v>47521.0</v>
      </c>
      <c r="I37" s="49">
        <v>883987.2</v>
      </c>
    </row>
    <row r="38">
      <c r="A38" s="6">
        <v>39.0</v>
      </c>
      <c r="B38" s="50" t="str">
        <f>IFERROR(VLOOKUP($A38,EVENTO!$A$2:$C$4999,2,FALSE),"")</f>
        <v>CADASTRO</v>
      </c>
      <c r="C38" s="50" t="str">
        <f>IFERROR(VLOOKUP($A38,EVENTO!$A$2:$C$4999,3,FALSE),"")</f>
        <v>SUPERINTENDÊNCIA FEDERAL DE AGRICULTURA E PECUARIA NO ESTADO DE SANTA CATARINA - SFA-SC</v>
      </c>
      <c r="D38" s="51">
        <v>45536.0</v>
      </c>
      <c r="E38" s="6">
        <v>48.0</v>
      </c>
      <c r="F38" s="6">
        <v>60.0</v>
      </c>
      <c r="G38" s="52">
        <v>46996.0</v>
      </c>
      <c r="H38" s="52">
        <v>47361.0</v>
      </c>
      <c r="I38" s="49">
        <v>140517.12</v>
      </c>
    </row>
    <row r="39">
      <c r="A39" s="6">
        <v>40.0</v>
      </c>
      <c r="B39" s="50" t="str">
        <f>IFERROR(VLOOKUP($A39,EVENTO!$A$2:$C$4999,2,FALSE),"")</f>
        <v>CADASTRO</v>
      </c>
      <c r="C39" s="50" t="str">
        <f>IFERROR(VLOOKUP($A39,EVENTO!$A$2:$C$4999,3,FALSE),"")</f>
        <v>UFSC</v>
      </c>
      <c r="D39" s="51">
        <v>45429.0</v>
      </c>
      <c r="E39" s="6">
        <v>48.0</v>
      </c>
      <c r="F39" s="6">
        <v>60.0</v>
      </c>
      <c r="G39" s="52">
        <v>46890.0</v>
      </c>
      <c r="H39" s="52">
        <v>47255.0</v>
      </c>
      <c r="I39" s="49">
        <v>4774152.024</v>
      </c>
    </row>
    <row r="40">
      <c r="A40" s="6">
        <v>41.0</v>
      </c>
      <c r="B40" s="50" t="str">
        <f>IFERROR(VLOOKUP($A40,EVENTO!$A$2:$C$4999,2,FALSE),"")</f>
        <v>CADASTRO</v>
      </c>
      <c r="C40" s="50" t="str">
        <f>IFERROR(VLOOKUP($A40,EVENTO!$A$2:$C$4999,3,FALSE),"")</f>
        <v>BASE ADMINISTRATIVA DO QUARTEL-GENERAL DO EXÉRCITO</v>
      </c>
      <c r="D40" s="51">
        <v>45785.0</v>
      </c>
      <c r="E40" s="6">
        <v>12.0</v>
      </c>
      <c r="F40" s="6">
        <v>120.0</v>
      </c>
      <c r="G40" s="52">
        <v>46149.0</v>
      </c>
      <c r="H40" s="52">
        <v>49436.0</v>
      </c>
      <c r="I40" s="49">
        <v>40128.0</v>
      </c>
    </row>
    <row r="41">
      <c r="A41" s="6">
        <v>42.0</v>
      </c>
      <c r="B41" s="50" t="str">
        <f>IFERROR(VLOOKUP($A41,EVENTO!$A$2:$C$4999,2,FALSE),"")</f>
        <v>CADASTRO</v>
      </c>
      <c r="C41" s="50" t="str">
        <f>IFERROR(VLOOKUP($A41,EVENTO!$A$2:$C$4999,3,FALSE),"")</f>
        <v>MCID</v>
      </c>
      <c r="D41" s="51">
        <v>45785.0</v>
      </c>
      <c r="E41" s="6">
        <v>12.0</v>
      </c>
      <c r="F41" s="6">
        <v>120.0</v>
      </c>
      <c r="G41" s="52">
        <v>46149.0</v>
      </c>
      <c r="H41" s="52">
        <v>49436.0</v>
      </c>
      <c r="I41" s="49">
        <v>74412.71</v>
      </c>
    </row>
    <row r="42">
      <c r="A42" s="6">
        <v>43.0</v>
      </c>
      <c r="B42" s="50" t="str">
        <f>IFERROR(VLOOKUP($A42,EVENTO!$A$2:$C$4999,2,FALSE),"")</f>
        <v>CADASTRO</v>
      </c>
      <c r="C42" s="50" t="str">
        <f>IFERROR(VLOOKUP($A42,EVENTO!$A$2:$C$4999,3,FALSE),"")</f>
        <v>COTER</v>
      </c>
      <c r="D42" s="51">
        <v>45839.0</v>
      </c>
      <c r="E42" s="6">
        <v>60.0</v>
      </c>
      <c r="F42" s="6">
        <v>120.0</v>
      </c>
      <c r="G42" s="52">
        <v>47664.0</v>
      </c>
      <c r="H42" s="52">
        <v>49490.0</v>
      </c>
      <c r="I42" s="49">
        <v>616118.4</v>
      </c>
    </row>
    <row r="43">
      <c r="A43" s="6">
        <v>44.0</v>
      </c>
      <c r="B43" s="50" t="str">
        <f>IFERROR(VLOOKUP($A43,EVENTO!$A$2:$C$4999,2,FALSE),"")</f>
        <v>ADITIVO DE QUANTIDADE</v>
      </c>
      <c r="C43" s="50" t="str">
        <f>IFERROR(VLOOKUP($A43,EVENTO!$A$2:$C$4999,3,FALSE),"")</f>
        <v>COTER</v>
      </c>
      <c r="D43" s="54">
        <v>45951.0</v>
      </c>
      <c r="E43" s="6">
        <v>57.0</v>
      </c>
      <c r="F43" s="6">
        <v>120.0</v>
      </c>
      <c r="G43" s="52">
        <v>47664.0</v>
      </c>
      <c r="H43" s="52">
        <v>49490.0</v>
      </c>
      <c r="I43" s="49">
        <v>658095.6</v>
      </c>
    </row>
    <row r="44">
      <c r="A44" s="6">
        <v>45.0</v>
      </c>
      <c r="B44" s="50" t="str">
        <f>IFERROR(VLOOKUP($A44,EVENTO!$A$2:$C$4999,2,FALSE),"")</f>
        <v>CADASTRO</v>
      </c>
      <c r="C44" s="50" t="str">
        <f>IFERROR(VLOOKUP($A44,EVENTO!$A$2:$C$4999,3,FALSE),"")</f>
        <v>CONSELHO FEDERAL DE FARMÁCIA</v>
      </c>
      <c r="D44" s="51">
        <v>45743.0</v>
      </c>
      <c r="E44" s="6">
        <v>12.0</v>
      </c>
      <c r="F44" s="6">
        <v>120.0</v>
      </c>
      <c r="G44" s="52">
        <v>46107.0</v>
      </c>
      <c r="H44" s="52">
        <v>49394.0</v>
      </c>
      <c r="I44" s="49">
        <v>34500.0</v>
      </c>
    </row>
    <row r="45">
      <c r="A45" s="6">
        <v>46.0</v>
      </c>
      <c r="B45" s="50" t="str">
        <f>IFERROR(VLOOKUP($A45,EVENTO!$A$2:$C$4999,2,FALSE),"")</f>
        <v>CADASTRO</v>
      </c>
      <c r="C45" s="50" t="str">
        <f>IFERROR(VLOOKUP($A45,EVENTO!$A$2:$C$4999,3,FALSE),"")</f>
        <v>MCTI</v>
      </c>
      <c r="D45" s="51">
        <v>45685.0</v>
      </c>
      <c r="E45" s="6">
        <v>48.0</v>
      </c>
      <c r="F45" s="6">
        <v>120.0</v>
      </c>
      <c r="G45" s="52">
        <v>47146.0</v>
      </c>
      <c r="H45" s="52">
        <v>49337.0</v>
      </c>
      <c r="I45" s="49">
        <v>1068410.64</v>
      </c>
    </row>
    <row r="46">
      <c r="A46" s="6">
        <v>47.0</v>
      </c>
      <c r="B46" s="50" t="str">
        <f>IFERROR(VLOOKUP($A46,EVENTO!$A$2:$C$4999,2,FALSE),"")</f>
        <v>CADASTRO</v>
      </c>
      <c r="C46" s="50" t="str">
        <f>IFERROR(VLOOKUP($A46,EVENTO!$A$2:$C$4999,3,FALSE),"")</f>
        <v>MTE </v>
      </c>
      <c r="D46" s="54">
        <v>45607.0</v>
      </c>
      <c r="E46" s="6">
        <v>60.0</v>
      </c>
      <c r="F46" s="6">
        <v>120.0</v>
      </c>
      <c r="G46" s="53">
        <v>47432.0</v>
      </c>
      <c r="H46" s="53">
        <v>49258.0</v>
      </c>
      <c r="I46" s="49">
        <v>7788312.0</v>
      </c>
    </row>
    <row r="47">
      <c r="A47" s="6">
        <v>48.0</v>
      </c>
      <c r="B47" s="50" t="str">
        <f>IFERROR(VLOOKUP($A47,EVENTO!$A$2:$C$4999,2,FALSE),"")</f>
        <v>CADASTRO</v>
      </c>
      <c r="C47" s="50" t="str">
        <f>IFERROR(VLOOKUP($A47,EVENTO!$A$2:$C$4999,3,FALSE),"")</f>
        <v>MT </v>
      </c>
      <c r="D47" s="51">
        <v>45339.0</v>
      </c>
      <c r="E47" s="6">
        <v>48.0</v>
      </c>
      <c r="F47" s="6">
        <v>120.0</v>
      </c>
      <c r="G47" s="52">
        <v>46799.0</v>
      </c>
      <c r="H47" s="52">
        <v>48991.0</v>
      </c>
      <c r="I47" s="49">
        <v>518071.2</v>
      </c>
    </row>
    <row r="48">
      <c r="A48" s="6">
        <v>49.0</v>
      </c>
      <c r="B48" s="50" t="str">
        <f>IFERROR(VLOOKUP($A48,EVENTO!$A$2:$C$4999,2,FALSE),"")</f>
        <v>APOSTILAMENTO</v>
      </c>
      <c r="C48" s="50" t="str">
        <f>IFERROR(VLOOKUP($A48,EVENTO!$A$2:$C$4999,3,FALSE),"")</f>
        <v>MT </v>
      </c>
      <c r="D48" s="51">
        <v>45768.0</v>
      </c>
      <c r="E48" s="6">
        <v>34.0</v>
      </c>
      <c r="F48" s="6">
        <v>120.0</v>
      </c>
      <c r="G48" s="52">
        <v>46799.0</v>
      </c>
      <c r="H48" s="52">
        <v>48991.0</v>
      </c>
      <c r="I48" s="49">
        <v>555758.19</v>
      </c>
    </row>
    <row r="49">
      <c r="A49" s="6">
        <v>50.0</v>
      </c>
      <c r="B49" s="50" t="str">
        <f>IFERROR(VLOOKUP($A49,EVENTO!$A$2:$C$4999,2,FALSE),"")</f>
        <v>CADASTRO</v>
      </c>
      <c r="C49" s="50" t="str">
        <f>IFERROR(VLOOKUP($A49,EVENTO!$A$2:$C$4999,3,FALSE),"")</f>
        <v>MINISTÉRIO DA DEFESA - COMANDO DA AERONÁUTICA - GRUPAMENTO DE APOIO DE BRASÍLIA </v>
      </c>
      <c r="D49" s="51">
        <v>45313.0</v>
      </c>
      <c r="E49" s="6">
        <v>48.0</v>
      </c>
      <c r="F49" s="6">
        <v>120.0</v>
      </c>
      <c r="G49" s="52">
        <v>46773.0</v>
      </c>
      <c r="H49" s="52">
        <v>48965.0</v>
      </c>
      <c r="I49" s="49">
        <v>517426.08</v>
      </c>
    </row>
    <row r="50">
      <c r="A50" s="6">
        <v>51.0</v>
      </c>
      <c r="B50" s="50" t="str">
        <f>IFERROR(VLOOKUP($A50,EVENTO!$A$2:$C$4999,2,FALSE),"")</f>
        <v>CADASTRO</v>
      </c>
      <c r="C50" s="50" t="str">
        <f>IFERROR(VLOOKUP($A50,EVENTO!$A$2:$C$4999,3,FALSE),"")</f>
        <v>COMANDO DA 8º REGIÃO MILITAR</v>
      </c>
      <c r="D50" s="51">
        <v>45296.0</v>
      </c>
      <c r="E50" s="6">
        <v>12.0</v>
      </c>
      <c r="F50" s="6">
        <v>60.0</v>
      </c>
      <c r="G50" s="52">
        <v>45661.0</v>
      </c>
      <c r="H50" s="52">
        <v>47122.0</v>
      </c>
      <c r="I50" s="49">
        <v>106920.0</v>
      </c>
    </row>
    <row r="51">
      <c r="A51" s="6">
        <v>52.0</v>
      </c>
      <c r="B51" s="50" t="str">
        <f>IFERROR(VLOOKUP($A51,EVENTO!$A$2:$C$4999,2,FALSE),"")</f>
        <v>ADITIVO DE REAJUSTE E PRAZO</v>
      </c>
      <c r="C51" s="50" t="str">
        <f>IFERROR(VLOOKUP($A51,EVENTO!$A$2:$C$4999,3,FALSE),"")</f>
        <v>COMANDO DA 8º REGIÃO MILITAR</v>
      </c>
      <c r="D51" s="51">
        <v>45662.0</v>
      </c>
      <c r="E51" s="6">
        <v>12.0</v>
      </c>
      <c r="F51" s="6">
        <v>60.0</v>
      </c>
      <c r="G51" s="52">
        <v>46026.0</v>
      </c>
      <c r="H51" s="52">
        <v>47122.0</v>
      </c>
      <c r="I51" s="49">
        <v>107618.4</v>
      </c>
    </row>
    <row r="52">
      <c r="A52" s="6">
        <v>53.0</v>
      </c>
      <c r="B52" s="50" t="str">
        <f>IFERROR(VLOOKUP($A52,EVENTO!$A$2:$C$4999,2,FALSE),"")</f>
        <v>ADITIVO DE REAJUSTE E PRAZO</v>
      </c>
      <c r="C52" s="50" t="str">
        <f>IFERROR(VLOOKUP($A52,EVENTO!$A$2:$C$4999,3,FALSE),"")</f>
        <v>COMANDO DA 8º REGIÃO MILITAR</v>
      </c>
      <c r="D52" s="51">
        <v>46027.0</v>
      </c>
      <c r="E52" s="6">
        <v>12.0</v>
      </c>
      <c r="F52" s="6">
        <v>60.0</v>
      </c>
      <c r="G52" s="52">
        <v>46391.0</v>
      </c>
      <c r="H52" s="52">
        <v>47122.0</v>
      </c>
      <c r="I52" s="49">
        <v>111669.6</v>
      </c>
    </row>
    <row r="53">
      <c r="A53" s="6">
        <v>54.0</v>
      </c>
      <c r="B53" s="50" t="str">
        <f>IFERROR(VLOOKUP($A53,EVENTO!$A$2:$C$4999,2,FALSE),"")</f>
        <v>CADASTRO</v>
      </c>
      <c r="C53" s="50" t="str">
        <f>IFERROR(VLOOKUP($A53,EVENTO!$A$2:$C$4999,3,FALSE),"")</f>
        <v>HUJB</v>
      </c>
      <c r="D53" s="51">
        <v>45341.0</v>
      </c>
      <c r="E53" s="6">
        <v>48.0</v>
      </c>
      <c r="F53" s="6">
        <v>60.0</v>
      </c>
      <c r="G53" s="52">
        <v>46802.0</v>
      </c>
      <c r="H53" s="52">
        <v>47168.0</v>
      </c>
      <c r="I53" s="49">
        <v>182833.35</v>
      </c>
    </row>
    <row r="54">
      <c r="A54" s="6">
        <v>55.0</v>
      </c>
      <c r="B54" s="50" t="str">
        <f>IFERROR(VLOOKUP($A54,EVENTO!$A$2:$C$4999,2,FALSE),"")</f>
        <v>CADASTRO</v>
      </c>
      <c r="C54" s="50" t="str">
        <f>IFERROR(VLOOKUP($A54,EVENTO!$A$2:$C$4999,3,FALSE),"")</f>
        <v>HUAC</v>
      </c>
      <c r="D54" s="54">
        <v>45240.0</v>
      </c>
      <c r="E54" s="6">
        <v>48.0</v>
      </c>
      <c r="F54" s="6">
        <v>60.0</v>
      </c>
      <c r="G54" s="52">
        <v>46700.0</v>
      </c>
      <c r="H54" s="52">
        <v>47066.0</v>
      </c>
      <c r="I54" s="49">
        <v>454181.4</v>
      </c>
    </row>
    <row r="55">
      <c r="A55" s="6">
        <v>56.0</v>
      </c>
      <c r="B55" s="50" t="str">
        <f>IFERROR(VLOOKUP($A55,EVENTO!$A$2:$C$4999,2,FALSE),"")</f>
        <v>CADASTRO</v>
      </c>
      <c r="C55" s="50" t="str">
        <f>IFERROR(VLOOKUP($A55,EVENTO!$A$2:$C$4999,3,FALSE),"")</f>
        <v>HULW</v>
      </c>
      <c r="D55" s="51">
        <v>45358.0</v>
      </c>
      <c r="E55" s="6">
        <v>48.0</v>
      </c>
      <c r="F55" s="6">
        <v>60.0</v>
      </c>
      <c r="G55" s="52">
        <v>46818.0</v>
      </c>
      <c r="H55" s="52">
        <v>47183.0</v>
      </c>
      <c r="I55" s="49">
        <v>816551.13</v>
      </c>
    </row>
    <row r="56">
      <c r="A56" s="6">
        <v>57.0</v>
      </c>
      <c r="B56" s="50" t="str">
        <f>IFERROR(VLOOKUP($A56,EVENTO!$A$2:$C$4999,2,FALSE),"")</f>
        <v>CADASTRO</v>
      </c>
      <c r="C56" s="50" t="str">
        <f>IFERROR(VLOOKUP($A56,EVENTO!$A$2:$C$4999,3,FALSE),"")</f>
        <v>1o GRUPAMENTO DE ENGENHARIA</v>
      </c>
      <c r="D56" s="54">
        <v>45260.0</v>
      </c>
      <c r="E56" s="6">
        <v>48.0</v>
      </c>
      <c r="F56" s="6">
        <v>60.0</v>
      </c>
      <c r="G56" s="53">
        <v>46721.0</v>
      </c>
      <c r="H56" s="53">
        <v>47087.0</v>
      </c>
      <c r="I56" s="49">
        <v>273700.0</v>
      </c>
    </row>
    <row r="57">
      <c r="A57" s="6">
        <v>58.0</v>
      </c>
      <c r="B57" s="50" t="str">
        <f>IFERROR(VLOOKUP($A57,EVENTO!$A$2:$C$4999,2,FALSE),"")</f>
        <v>ADITIVO DE QUANTIDADE</v>
      </c>
      <c r="C57" s="50" t="str">
        <f>IFERROR(VLOOKUP($A57,EVENTO!$A$2:$C$4999,3,FALSE),"")</f>
        <v>1o GRUPAMENTO DE ENGENHARIA</v>
      </c>
      <c r="D57" s="51">
        <v>45748.0</v>
      </c>
      <c r="E57" s="6">
        <v>32.0</v>
      </c>
      <c r="F57" s="6">
        <v>60.0</v>
      </c>
      <c r="G57" s="53">
        <v>46721.0</v>
      </c>
      <c r="H57" s="53">
        <v>47087.0</v>
      </c>
      <c r="I57" s="49">
        <v>277964.0</v>
      </c>
    </row>
    <row r="58">
      <c r="A58" s="6">
        <v>59.0</v>
      </c>
      <c r="B58" s="50" t="str">
        <f>IFERROR(VLOOKUP($A58,EVENTO!$A$2:$C$4999,2,FALSE),"")</f>
        <v>CADASTRO</v>
      </c>
      <c r="C58" s="50" t="str">
        <f>IFERROR(VLOOKUP($A58,EVENTO!$A$2:$C$4999,3,FALSE),"")</f>
        <v>COLEGIO MILITAR DE SÃO PAULO</v>
      </c>
      <c r="D58" s="51">
        <v>45034.0</v>
      </c>
      <c r="E58" s="6">
        <v>12.0</v>
      </c>
      <c r="F58" s="6">
        <v>60.0</v>
      </c>
      <c r="G58" s="52">
        <v>45400.0</v>
      </c>
      <c r="H58" s="52">
        <v>46861.0</v>
      </c>
      <c r="I58" s="49">
        <v>37080.0</v>
      </c>
    </row>
    <row r="59">
      <c r="A59" s="6">
        <v>60.0</v>
      </c>
      <c r="B59" s="50" t="str">
        <f>IFERROR(VLOOKUP($A59,EVENTO!$A$2:$C$4999,2,FALSE),"")</f>
        <v>ADITIVO DE REAJUSTE E PRAZO</v>
      </c>
      <c r="C59" s="50" t="str">
        <f>IFERROR(VLOOKUP($A59,EVENTO!$A$2:$C$4999,3,FALSE),"")</f>
        <v>COLEGIO MILITAR DE SÃO PAULO</v>
      </c>
      <c r="D59" s="51">
        <v>45427.0</v>
      </c>
      <c r="E59" s="6">
        <v>12.0</v>
      </c>
      <c r="F59" s="6">
        <v>60.0</v>
      </c>
      <c r="G59" s="52">
        <v>45791.0</v>
      </c>
      <c r="H59" s="52">
        <v>46861.0</v>
      </c>
      <c r="I59" s="49">
        <v>37980.0</v>
      </c>
    </row>
    <row r="60">
      <c r="A60" s="6">
        <v>61.0</v>
      </c>
      <c r="B60" s="50" t="str">
        <f>IFERROR(VLOOKUP($A60,EVENTO!$A$2:$C$4999,2,FALSE),"")</f>
        <v>ADITIVO DE PRAZO</v>
      </c>
      <c r="C60" s="50" t="str">
        <f>IFERROR(VLOOKUP($A60,EVENTO!$A$2:$C$4999,3,FALSE),"")</f>
        <v>COLEGIO MILITAR DE SÃO PAULO</v>
      </c>
      <c r="D60" s="51">
        <v>45792.0</v>
      </c>
      <c r="E60" s="6">
        <v>12.0</v>
      </c>
      <c r="F60" s="6">
        <v>60.0</v>
      </c>
      <c r="G60" s="52">
        <v>46156.0</v>
      </c>
      <c r="H60" s="52">
        <v>46861.0</v>
      </c>
      <c r="I60" s="49">
        <v>37980.0</v>
      </c>
    </row>
    <row r="61">
      <c r="A61" s="6">
        <v>62.0</v>
      </c>
      <c r="B61" s="50" t="str">
        <f>IFERROR(VLOOKUP($A61,EVENTO!$A$2:$C$4999,2,FALSE),"")</f>
        <v>APOSTILAMENTO</v>
      </c>
      <c r="C61" s="50" t="str">
        <f>IFERROR(VLOOKUP($A61,EVENTO!$A$2:$C$4999,3,FALSE),"")</f>
        <v>COLEGIO MILITAR DE SÃO PAULO</v>
      </c>
      <c r="D61" s="51">
        <v>45903.0</v>
      </c>
      <c r="E61" s="6">
        <v>9.0</v>
      </c>
      <c r="F61" s="6">
        <v>60.0</v>
      </c>
      <c r="G61" s="52">
        <v>46156.0</v>
      </c>
      <c r="H61" s="52">
        <v>46861.0</v>
      </c>
      <c r="I61" s="49">
        <v>40623.6</v>
      </c>
    </row>
    <row r="62">
      <c r="A62" s="6">
        <v>63.0</v>
      </c>
      <c r="B62" s="50" t="str">
        <f>IFERROR(VLOOKUP($A62,EVENTO!$A$2:$C$4999,2,FALSE),"")</f>
        <v>CADASTRO</v>
      </c>
      <c r="C62" s="50" t="str">
        <f>IFERROR(VLOOKUP($A62,EVENTO!$A$2:$C$4999,3,FALSE),"")</f>
        <v>INCRA</v>
      </c>
      <c r="D62" s="54">
        <v>45609.0</v>
      </c>
      <c r="E62" s="6">
        <v>12.0</v>
      </c>
      <c r="F62" s="6">
        <v>60.0</v>
      </c>
      <c r="G62" s="53">
        <v>45974.0</v>
      </c>
      <c r="H62" s="53">
        <v>47435.0</v>
      </c>
      <c r="I62" s="49">
        <v>54342.54</v>
      </c>
    </row>
    <row r="63">
      <c r="A63" s="6">
        <v>64.0</v>
      </c>
      <c r="B63" s="50" t="str">
        <f>IFERROR(VLOOKUP($A63,EVENTO!$A$2:$C$4999,2,FALSE),"")</f>
        <v>ADITIVO DE REAJUSTE E PRAZO</v>
      </c>
      <c r="C63" s="50" t="str">
        <f>IFERROR(VLOOKUP($A63,EVENTO!$A$2:$C$4999,3,FALSE),"")</f>
        <v>INCRA</v>
      </c>
      <c r="D63" s="54">
        <v>45974.0</v>
      </c>
      <c r="E63" s="6">
        <v>12.0</v>
      </c>
      <c r="F63" s="6">
        <v>60.0</v>
      </c>
      <c r="G63" s="53">
        <v>46339.0</v>
      </c>
      <c r="H63" s="53">
        <v>47435.0</v>
      </c>
      <c r="I63" s="49">
        <v>57447.84</v>
      </c>
    </row>
    <row r="64">
      <c r="A64" s="6">
        <v>65.0</v>
      </c>
      <c r="B64" s="50" t="str">
        <f>IFERROR(VLOOKUP($A64,EVENTO!$A$2:$C$4999,2,FALSE),"")</f>
        <v>CADASTRO</v>
      </c>
      <c r="C64" s="50" t="str">
        <f>IFERROR(VLOOKUP($A64,EVENTO!$A$2:$C$4999,3,FALSE),"")</f>
        <v>SEGER</v>
      </c>
      <c r="D64" s="51">
        <v>44824.0</v>
      </c>
      <c r="E64" s="6">
        <v>12.0</v>
      </c>
      <c r="F64" s="6">
        <v>60.0</v>
      </c>
      <c r="G64" s="52">
        <v>45188.0</v>
      </c>
      <c r="H64" s="52">
        <v>46649.0</v>
      </c>
      <c r="I64" s="49">
        <v>687721.32</v>
      </c>
    </row>
    <row r="65">
      <c r="A65" s="6">
        <v>66.0</v>
      </c>
      <c r="B65" s="50" t="str">
        <f>IFERROR(VLOOKUP($A65,EVENTO!$A$2:$C$4999,2,FALSE),"")</f>
        <v>ADITIVO DE PRAZO</v>
      </c>
      <c r="C65" s="50" t="str">
        <f>IFERROR(VLOOKUP($A65,EVENTO!$A$2:$C$4999,3,FALSE),"")</f>
        <v>SEGER</v>
      </c>
      <c r="D65" s="51">
        <v>45189.0</v>
      </c>
      <c r="E65" s="6">
        <v>12.0</v>
      </c>
      <c r="F65" s="6">
        <v>60.0</v>
      </c>
      <c r="G65" s="52">
        <v>45554.0</v>
      </c>
      <c r="H65" s="52">
        <v>46649.0</v>
      </c>
      <c r="I65" s="49">
        <v>687721.32</v>
      </c>
    </row>
    <row r="66">
      <c r="A66" s="6">
        <v>67.0</v>
      </c>
      <c r="B66" s="50" t="str">
        <f>IFERROR(VLOOKUP($A66,EVENTO!$A$2:$C$4999,2,FALSE),"")</f>
        <v>ADITIVO DE PRAZO</v>
      </c>
      <c r="C66" s="50" t="str">
        <f>IFERROR(VLOOKUP($A66,EVENTO!$A$2:$C$4999,3,FALSE),"")</f>
        <v>SEGER</v>
      </c>
      <c r="D66" s="51">
        <v>45555.0</v>
      </c>
      <c r="E66" s="6">
        <v>12.0</v>
      </c>
      <c r="F66" s="6">
        <v>60.0</v>
      </c>
      <c r="G66" s="52">
        <v>45919.0</v>
      </c>
      <c r="H66" s="52">
        <v>46649.0</v>
      </c>
      <c r="I66" s="49">
        <v>687721.32</v>
      </c>
    </row>
    <row r="67">
      <c r="A67" s="6">
        <v>68.0</v>
      </c>
      <c r="B67" s="50" t="str">
        <f>IFERROR(VLOOKUP($A67,EVENTO!$A$2:$C$4999,2,FALSE),"")</f>
        <v>ADITIVO DE PRAZO</v>
      </c>
      <c r="C67" s="50" t="str">
        <f>IFERROR(VLOOKUP($A67,EVENTO!$A$2:$C$4999,3,FALSE),"")</f>
        <v>CEGOR</v>
      </c>
      <c r="D67" s="51">
        <v>45920.0</v>
      </c>
      <c r="E67" s="6">
        <v>12.0</v>
      </c>
      <c r="F67" s="6">
        <v>60.0</v>
      </c>
      <c r="G67" s="52">
        <v>46284.0</v>
      </c>
      <c r="H67" s="52">
        <v>46649.0</v>
      </c>
      <c r="I67" s="49">
        <v>687721.32</v>
      </c>
    </row>
    <row r="68">
      <c r="A68" s="6">
        <v>69.0</v>
      </c>
      <c r="B68" s="50" t="str">
        <f>IFERROR(VLOOKUP($A68,EVENTO!$A$2:$C$4999,2,FALSE),"")</f>
        <v>CADASTRO</v>
      </c>
      <c r="C68" s="50" t="str">
        <f>IFERROR(VLOOKUP($A68,EVENTO!$A$2:$C$4999,3,FALSE),"")</f>
        <v>DETRAN MA</v>
      </c>
      <c r="D68" s="51">
        <v>45506.0</v>
      </c>
      <c r="E68" s="6">
        <v>12.0</v>
      </c>
      <c r="F68" s="6">
        <v>60.0</v>
      </c>
      <c r="G68" s="52">
        <v>45870.0</v>
      </c>
      <c r="H68" s="52">
        <v>47331.0</v>
      </c>
      <c r="I68" s="49">
        <v>1855597.2</v>
      </c>
    </row>
    <row r="69">
      <c r="A69" s="6">
        <v>70.0</v>
      </c>
      <c r="B69" s="50" t="str">
        <f>IFERROR(VLOOKUP($A69,EVENTO!$A$2:$C$4999,2,FALSE),"")</f>
        <v>CADASTRO</v>
      </c>
      <c r="C69" s="50" t="str">
        <f>IFERROR(VLOOKUP($A69,EVENTO!$A$2:$C$4999,3,FALSE),"")</f>
        <v>IPAM</v>
      </c>
      <c r="D69" s="51">
        <v>44746.0</v>
      </c>
      <c r="E69" s="6">
        <v>12.0</v>
      </c>
      <c r="F69" s="6">
        <v>48.0</v>
      </c>
      <c r="G69" s="52">
        <v>45111.0</v>
      </c>
      <c r="H69" s="52">
        <v>46207.0</v>
      </c>
      <c r="I69" s="49" t="s">
        <v>1341</v>
      </c>
    </row>
    <row r="70">
      <c r="A70" s="6">
        <v>74.0</v>
      </c>
      <c r="B70" s="50" t="str">
        <f>IFERROR(VLOOKUP($A70,EVENTO!$A$2:$C$4999,2,FALSE),"")</f>
        <v>CADASTRO</v>
      </c>
      <c r="C70" s="50" t="str">
        <f>IFERROR(VLOOKUP($A70,EVENTO!$A$2:$C$4999,3,FALSE),"")</f>
        <v>PCDF </v>
      </c>
      <c r="D70" s="51">
        <v>45723.0</v>
      </c>
      <c r="E70" s="6">
        <v>60.0</v>
      </c>
      <c r="F70" s="6">
        <v>120.0</v>
      </c>
      <c r="G70" s="52">
        <v>47548.0</v>
      </c>
      <c r="H70" s="52">
        <v>49374.0</v>
      </c>
      <c r="I70" s="49">
        <v>1.04339844E7</v>
      </c>
    </row>
    <row r="71">
      <c r="A71" s="6">
        <v>71.0</v>
      </c>
      <c r="B71" s="50" t="str">
        <f>IFERROR(VLOOKUP($A71,EVENTO!$A$2:$C$4999,2,FALSE),"")</f>
        <v>ADITIVO DE QUANTIDADE E PRAZO</v>
      </c>
      <c r="C71" s="50" t="str">
        <f>IFERROR(VLOOKUP($A71,EVENTO!$A$2:$C$4999,3,FALSE),"")</f>
        <v>IPAM</v>
      </c>
      <c r="D71" s="51">
        <v>45111.0</v>
      </c>
      <c r="E71" s="6">
        <v>12.0</v>
      </c>
      <c r="F71" s="6">
        <v>48.0</v>
      </c>
      <c r="G71" s="52">
        <v>45477.0</v>
      </c>
      <c r="H71" s="52">
        <v>46207.0</v>
      </c>
      <c r="I71" s="49">
        <v>101550.96</v>
      </c>
    </row>
    <row r="72">
      <c r="A72" s="6">
        <v>75.0</v>
      </c>
      <c r="B72" s="50" t="str">
        <f>IFERROR(VLOOKUP($A72,EVENTO!$A$2:$C$4999,2,FALSE),"")</f>
        <v>CADASTRO</v>
      </c>
      <c r="C72" s="50" t="str">
        <f>IFERROR(VLOOKUP($A72,EVENTO!$A$2:$C$4999,3,FALSE),"")</f>
        <v>HEMOCENTRO PB</v>
      </c>
      <c r="D72" s="51">
        <v>45383.0</v>
      </c>
      <c r="E72" s="6">
        <v>12.0</v>
      </c>
      <c r="F72" s="6">
        <v>60.0</v>
      </c>
      <c r="G72" s="52">
        <v>45746.0</v>
      </c>
      <c r="H72" s="52">
        <v>47207.0</v>
      </c>
      <c r="I72" s="49">
        <v>25872.0</v>
      </c>
    </row>
    <row r="73">
      <c r="A73" s="6">
        <v>76.0</v>
      </c>
      <c r="B73" s="50" t="str">
        <f>IFERROR(VLOOKUP($A73,EVENTO!$A$2:$C$4999,2,FALSE),"")</f>
        <v>CADASTRO</v>
      </c>
      <c r="C73" s="50" t="str">
        <f>IFERROR(VLOOKUP($A73,EVENTO!$A$2:$C$4999,3,FALSE),"")</f>
        <v>ALEMA</v>
      </c>
      <c r="D73" s="51">
        <v>45190.0</v>
      </c>
      <c r="E73" s="6">
        <v>12.0</v>
      </c>
      <c r="F73" s="6">
        <v>60.0</v>
      </c>
      <c r="G73" s="52">
        <v>45555.0</v>
      </c>
      <c r="H73" s="52">
        <v>47016.0</v>
      </c>
      <c r="I73" s="49">
        <v>4083177.6</v>
      </c>
    </row>
    <row r="74">
      <c r="A74" s="6">
        <v>72.0</v>
      </c>
      <c r="B74" s="50" t="str">
        <f>IFERROR(VLOOKUP($A74,EVENTO!$A$2:$C$4999,2,FALSE),"")</f>
        <v>ADITIVO DE PRAZO</v>
      </c>
      <c r="C74" s="50" t="str">
        <f>IFERROR(VLOOKUP($A74,EVENTO!$A$2:$C$4999,3,FALSE),"")</f>
        <v>IPAM</v>
      </c>
      <c r="D74" s="51">
        <v>45477.0</v>
      </c>
      <c r="E74" s="6">
        <v>12.0</v>
      </c>
      <c r="F74" s="6">
        <v>48.0</v>
      </c>
      <c r="G74" s="55">
        <v>45842.0</v>
      </c>
      <c r="H74" s="52">
        <v>46207.0</v>
      </c>
      <c r="I74" s="49">
        <v>101550.96</v>
      </c>
    </row>
    <row r="75">
      <c r="A75" s="6">
        <v>77.0</v>
      </c>
      <c r="B75" s="50" t="str">
        <f>IFERROR(VLOOKUP($A75,EVENTO!$A$2:$C$4999,2,FALSE),"")</f>
        <v>ADITIVO DE REAJUSTE E PRAZO</v>
      </c>
      <c r="C75" s="50" t="str">
        <f>IFERROR(VLOOKUP($A75,EVENTO!$A$2:$C$4999,3,FALSE),"")</f>
        <v>HEMOCENTRO PB</v>
      </c>
      <c r="D75" s="51">
        <v>45748.0</v>
      </c>
      <c r="E75" s="6">
        <v>12.0</v>
      </c>
      <c r="F75" s="6">
        <v>60.0</v>
      </c>
      <c r="G75" s="52">
        <v>46111.0</v>
      </c>
      <c r="H75" s="52">
        <v>47207.0</v>
      </c>
      <c r="I75" s="49">
        <v>29568.0</v>
      </c>
    </row>
    <row r="76">
      <c r="A76" s="6">
        <v>73.0</v>
      </c>
      <c r="B76" s="50" t="str">
        <f>IFERROR(VLOOKUP($A76,EVENTO!$A$2:$C$4999,2,FALSE),"")</f>
        <v>ADITIVO DE REAJUSTE E PRAZO</v>
      </c>
      <c r="C76" s="50" t="str">
        <f>IFERROR(VLOOKUP($A76,EVENTO!$A$2:$C$4999,3,FALSE),"")</f>
        <v>IPAM</v>
      </c>
      <c r="D76" s="51">
        <v>45842.0</v>
      </c>
      <c r="E76" s="6">
        <v>12.0</v>
      </c>
      <c r="F76" s="6">
        <v>48.0</v>
      </c>
      <c r="G76" s="52">
        <v>46207.0</v>
      </c>
      <c r="H76" s="52">
        <v>46207.0</v>
      </c>
      <c r="I76" s="49" t="s">
        <v>1342</v>
      </c>
    </row>
    <row r="77">
      <c r="A77" s="6">
        <v>78.0</v>
      </c>
      <c r="B77" s="50" t="str">
        <f>IFERROR(VLOOKUP($A77,EVENTO!$A$2:$C$4999,2,FALSE),"")</f>
        <v>CADASTRO</v>
      </c>
      <c r="C77" s="50" t="str">
        <f>IFERROR(VLOOKUP($A77,EVENTO!$A$2:$C$4999,3,FALSE),"")</f>
        <v>SEAP-PB</v>
      </c>
      <c r="D77" s="51">
        <v>45376.0</v>
      </c>
      <c r="E77" s="6">
        <v>12.0</v>
      </c>
      <c r="F77" s="6">
        <v>60.0</v>
      </c>
      <c r="G77" s="52">
        <v>45740.0</v>
      </c>
      <c r="H77" s="52">
        <v>47201.0</v>
      </c>
      <c r="I77" s="49">
        <v>58028.0</v>
      </c>
    </row>
    <row r="78">
      <c r="A78" s="6">
        <v>79.0</v>
      </c>
      <c r="B78" s="50" t="str">
        <f>IFERROR(VLOOKUP($A78,EVENTO!$A$2:$C$4999,2,FALSE),"")</f>
        <v>ADITIVO DE PRAZO</v>
      </c>
      <c r="C78" s="50" t="str">
        <f>IFERROR(VLOOKUP($A78,EVENTO!$A$2:$C$4999,3,FALSE),"")</f>
        <v>ALEMA</v>
      </c>
      <c r="D78" s="51">
        <v>45557.0</v>
      </c>
      <c r="E78" s="6">
        <v>12.0</v>
      </c>
      <c r="F78" s="6">
        <v>60.0</v>
      </c>
      <c r="G78" s="52">
        <v>45921.0</v>
      </c>
      <c r="H78" s="52">
        <v>47016.0</v>
      </c>
      <c r="I78" s="49">
        <v>4083177.6</v>
      </c>
    </row>
    <row r="79">
      <c r="A79" s="6">
        <v>80.0</v>
      </c>
      <c r="B79" s="50" t="str">
        <f>IFERROR(VLOOKUP($A79,EVENTO!$A$2:$C$4999,2,FALSE),"")</f>
        <v>ADITIVO DE REAJUSTE E PRAZO</v>
      </c>
      <c r="C79" s="50" t="str">
        <f>IFERROR(VLOOKUP($A79,EVENTO!$A$2:$C$4999,3,FALSE),"")</f>
        <v>ALEMA</v>
      </c>
      <c r="D79" s="51">
        <v>45922.0</v>
      </c>
      <c r="E79" s="6">
        <v>12.0</v>
      </c>
      <c r="F79" s="6">
        <v>60.0</v>
      </c>
      <c r="G79" s="52">
        <v>46286.0</v>
      </c>
      <c r="H79" s="52">
        <v>47016.0</v>
      </c>
      <c r="I79" s="49">
        <v>4262429.1</v>
      </c>
    </row>
    <row r="80">
      <c r="A80" s="6">
        <v>81.0</v>
      </c>
      <c r="B80" s="50" t="str">
        <f>IFERROR(VLOOKUP($A80,EVENTO!$A$2:$C$4999,2,FALSE),"")</f>
        <v>CADASTRO</v>
      </c>
      <c r="C80" s="50" t="str">
        <f>IFERROR(VLOOKUP($A80,EVENTO!$A$2:$C$4999,3,FALSE),"")</f>
        <v>PCPB</v>
      </c>
      <c r="D80" s="51">
        <v>45300.0</v>
      </c>
      <c r="E80" s="6">
        <v>48.0</v>
      </c>
      <c r="F80" s="6">
        <v>60.0</v>
      </c>
      <c r="G80" s="52">
        <v>46760.0</v>
      </c>
      <c r="H80" s="52">
        <v>47126.0</v>
      </c>
      <c r="I80" s="49">
        <v>1950450.72</v>
      </c>
    </row>
    <row r="81">
      <c r="A81" s="6">
        <v>82.0</v>
      </c>
      <c r="B81" s="50" t="str">
        <f>IFERROR(VLOOKUP($A81,EVENTO!$A$2:$C$4999,2,FALSE),"")</f>
        <v>ADITIVO DE QUANTIDADE E PRAZO</v>
      </c>
      <c r="C81" s="50" t="str">
        <f>IFERROR(VLOOKUP($A81,EVENTO!$A$2:$C$4999,3,FALSE),"")</f>
        <v>SEAP-PB</v>
      </c>
      <c r="D81" s="51">
        <v>45737.0</v>
      </c>
      <c r="E81" s="6">
        <v>12.0</v>
      </c>
      <c r="F81" s="6">
        <v>60.0</v>
      </c>
      <c r="G81" s="52">
        <v>46102.0</v>
      </c>
      <c r="H81" s="52">
        <v>47201.0</v>
      </c>
      <c r="I81" s="49">
        <v>68697.12</v>
      </c>
    </row>
    <row r="82">
      <c r="A82" s="6">
        <v>83.0</v>
      </c>
      <c r="B82" s="50" t="str">
        <f>IFERROR(VLOOKUP($A82,EVENTO!$A$2:$C$4999,2,FALSE),"")</f>
        <v>CADASTRO</v>
      </c>
      <c r="C82" s="50" t="str">
        <f>IFERROR(VLOOKUP($A82,EVENTO!$A$2:$C$4999,3,FALSE),"")</f>
        <v>SETUR</v>
      </c>
      <c r="D82" s="51">
        <v>45324.0</v>
      </c>
      <c r="E82" s="6">
        <v>48.0</v>
      </c>
      <c r="F82" s="6">
        <v>48.0</v>
      </c>
      <c r="G82" s="52">
        <v>46785.0</v>
      </c>
      <c r="H82" s="52">
        <v>46785.0</v>
      </c>
      <c r="I82" s="49" t="s">
        <v>1343</v>
      </c>
    </row>
    <row r="83">
      <c r="A83" s="6">
        <v>84.0</v>
      </c>
      <c r="B83" s="50" t="str">
        <f>IFERROR(VLOOKUP($A83,EVENTO!$A$2:$C$4999,2,FALSE),"")</f>
        <v>CADASTRO</v>
      </c>
      <c r="C83" s="50" t="str">
        <f>IFERROR(VLOOKUP($A83,EVENTO!$A$2:$C$4999,3,FALSE),"")</f>
        <v>CITINOVA</v>
      </c>
      <c r="D83" s="51">
        <v>44820.0</v>
      </c>
      <c r="E83" s="6">
        <v>12.0</v>
      </c>
      <c r="F83" s="6">
        <v>60.0</v>
      </c>
      <c r="G83" s="52">
        <v>45184.0</v>
      </c>
      <c r="H83" s="52">
        <v>46645.0</v>
      </c>
      <c r="I83" s="49">
        <v>278475.12</v>
      </c>
    </row>
    <row r="84">
      <c r="A84" s="6">
        <v>85.0</v>
      </c>
      <c r="B84" s="50" t="str">
        <f>IFERROR(VLOOKUP($A84,EVENTO!$A$2:$C$4999,2,FALSE),"")</f>
        <v>CADASTRO</v>
      </c>
      <c r="C84" s="50" t="str">
        <f>IFERROR(VLOOKUP($A84,EVENTO!$A$2:$C$4999,3,FALSE),"")</f>
        <v>RESENDE / SMA</v>
      </c>
      <c r="D84" s="51">
        <v>45369.0</v>
      </c>
      <c r="E84" s="6">
        <v>12.0</v>
      </c>
      <c r="F84" s="6">
        <v>60.0</v>
      </c>
      <c r="G84" s="53">
        <v>45734.0</v>
      </c>
      <c r="H84" s="52">
        <v>47195.0</v>
      </c>
      <c r="I84" s="49">
        <v>297358.08</v>
      </c>
    </row>
    <row r="85">
      <c r="A85" s="6">
        <v>86.0</v>
      </c>
      <c r="B85" s="50" t="str">
        <f>IFERROR(VLOOKUP($A85,EVENTO!$A$2:$C$4999,2,FALSE),"")</f>
        <v>CADASTRO</v>
      </c>
      <c r="C85" s="50" t="str">
        <f>IFERROR(VLOOKUP($A85,EVENTO!$A$2:$C$4999,3,FALSE),"")</f>
        <v>SECRETARIA MUNICIPAL DE SEGURANÇA COM CIDADANIA−SEMUSC - 007-2022</v>
      </c>
      <c r="D85" s="51">
        <v>44749.0</v>
      </c>
      <c r="E85" s="6">
        <v>12.0</v>
      </c>
      <c r="F85" s="6">
        <v>48.0</v>
      </c>
      <c r="G85" s="52">
        <v>45114.0</v>
      </c>
      <c r="H85" s="52">
        <v>46210.0</v>
      </c>
      <c r="I85" s="49" t="s">
        <v>1344</v>
      </c>
    </row>
    <row r="86">
      <c r="A86" s="6">
        <v>87.0</v>
      </c>
      <c r="B86" s="50" t="str">
        <f>IFERROR(VLOOKUP($A86,EVENTO!$A$2:$C$4999,2,FALSE),"")</f>
        <v>ADITIVO DE PRAZO</v>
      </c>
      <c r="C86" s="50" t="str">
        <f>IFERROR(VLOOKUP($A86,EVENTO!$A$2:$C$4999,3,FALSE),"")</f>
        <v>SECRETARIA MUNICIPAL DE SEGURANÇA COM CIDADANIA−SEMUSC - 007-2022</v>
      </c>
      <c r="D86" s="51">
        <v>45114.0</v>
      </c>
      <c r="E86" s="6">
        <v>12.0</v>
      </c>
      <c r="F86" s="6">
        <v>48.0</v>
      </c>
      <c r="G86" s="52">
        <v>45481.0</v>
      </c>
      <c r="H86" s="52">
        <v>46210.0</v>
      </c>
      <c r="I86" s="49" t="s">
        <v>1344</v>
      </c>
    </row>
    <row r="87">
      <c r="A87" s="6">
        <v>88.0</v>
      </c>
      <c r="B87" s="50" t="str">
        <f>IFERROR(VLOOKUP($A87,EVENTO!$A$2:$C$4999,2,FALSE),"")</f>
        <v>ADITIVO DE PRAZO</v>
      </c>
      <c r="C87" s="50" t="str">
        <f>IFERROR(VLOOKUP($A87,EVENTO!$A$2:$C$4999,3,FALSE),"")</f>
        <v>SECRETARIA MUNICIPAL DE SEGURANÇA COM CIDADANIA−SEMUSC - 007-2022</v>
      </c>
      <c r="D87" s="51">
        <v>45481.0</v>
      </c>
      <c r="E87" s="6">
        <v>12.0</v>
      </c>
      <c r="F87" s="6">
        <v>48.0</v>
      </c>
      <c r="G87" s="52">
        <v>45847.0</v>
      </c>
      <c r="H87" s="52">
        <v>46210.0</v>
      </c>
      <c r="I87" s="49" t="s">
        <v>1344</v>
      </c>
    </row>
    <row r="88">
      <c r="A88" s="6">
        <v>89.0</v>
      </c>
      <c r="B88" s="50" t="str">
        <f>IFERROR(VLOOKUP($A88,EVENTO!$A$2:$C$4999,2,FALSE),"")</f>
        <v>APOSTILAMENTO</v>
      </c>
      <c r="C88" s="50" t="str">
        <f>IFERROR(VLOOKUP($A88,EVENTO!$A$2:$C$4999,3,FALSE),"")</f>
        <v>SECRETARIA MUNICIPAL DE SEGURANÇA COM CIDADANIA−SEMUSC - 007-2022</v>
      </c>
      <c r="D88" s="51">
        <v>45881.0</v>
      </c>
      <c r="E88" s="6">
        <v>12.0</v>
      </c>
      <c r="F88" s="6">
        <v>48.0</v>
      </c>
      <c r="G88" s="52">
        <v>46210.0</v>
      </c>
      <c r="H88" s="52">
        <v>46210.0</v>
      </c>
      <c r="I88" s="49" t="s">
        <v>1345</v>
      </c>
    </row>
    <row r="89">
      <c r="A89" s="6">
        <v>90.0</v>
      </c>
      <c r="B89" s="50" t="str">
        <f>IFERROR(VLOOKUP($A89,EVENTO!$A$2:$C$4999,2,FALSE),"")</f>
        <v>ADITIVO DE PRAZO</v>
      </c>
      <c r="C89" s="50" t="str">
        <f>IFERROR(VLOOKUP($A89,EVENTO!$A$2:$C$4999,3,FALSE),"")</f>
        <v>SECRETARIA MUNICIPAL DE SEGURANÇA COM CIDADANIA−SEMUSC - 007-2022</v>
      </c>
      <c r="D89" s="51">
        <v>45847.0</v>
      </c>
      <c r="E89" s="6">
        <v>12.0</v>
      </c>
      <c r="F89" s="6">
        <v>48.0</v>
      </c>
      <c r="G89" s="52">
        <v>46210.0</v>
      </c>
      <c r="H89" s="52">
        <v>46210.0</v>
      </c>
      <c r="I89" s="49" t="s">
        <v>1345</v>
      </c>
      <c r="J89" s="56"/>
    </row>
    <row r="90">
      <c r="A90" s="6">
        <v>91.0</v>
      </c>
      <c r="B90" s="50" t="str">
        <f>IFERROR(VLOOKUP($A90,EVENTO!$A$2:$C$4999,2,FALSE),"")</f>
        <v>CADASTRO</v>
      </c>
      <c r="C90" s="50" t="str">
        <f>IFERROR(VLOOKUP($A90,EVENTO!$A$2:$C$4999,3,FALSE),"")</f>
        <v>CAMARA DE HORTOLANDIA </v>
      </c>
      <c r="D90" s="54">
        <v>45271.0</v>
      </c>
      <c r="E90" s="6">
        <v>12.0</v>
      </c>
      <c r="F90" s="6">
        <v>60.0</v>
      </c>
      <c r="G90" s="53">
        <v>45636.0</v>
      </c>
      <c r="H90" s="53">
        <v>47097.0</v>
      </c>
      <c r="I90" s="49">
        <v>175980.0</v>
      </c>
      <c r="J90" s="56"/>
    </row>
    <row r="91">
      <c r="A91" s="6">
        <v>92.0</v>
      </c>
      <c r="B91" s="50" t="str">
        <f>IFERROR(VLOOKUP($A91,EVENTO!$A$2:$C$4999,2,FALSE),"")</f>
        <v>ADITIVO DE REAJUSTE E PRAZO</v>
      </c>
      <c r="C91" s="50" t="str">
        <f>IFERROR(VLOOKUP($A91,EVENTO!$A$2:$C$4999,3,FALSE),"")</f>
        <v>CAMARA DE HORTOLANDIA </v>
      </c>
      <c r="D91" s="54">
        <v>45637.0</v>
      </c>
      <c r="E91" s="6">
        <v>12.0</v>
      </c>
      <c r="F91" s="6">
        <v>60.0</v>
      </c>
      <c r="G91" s="53">
        <v>46001.0</v>
      </c>
      <c r="H91" s="53">
        <v>47097.0</v>
      </c>
      <c r="I91" s="49">
        <v>183838.56</v>
      </c>
      <c r="J91" s="56"/>
    </row>
    <row r="92">
      <c r="A92" s="6">
        <v>93.0</v>
      </c>
      <c r="B92" s="50" t="str">
        <f>IFERROR(VLOOKUP($A92,EVENTO!$A$2:$C$4999,2,FALSE),"")</f>
        <v>ADITIVO DE REAJUSTE E PRAZO</v>
      </c>
      <c r="C92" s="50" t="str">
        <f>IFERROR(VLOOKUP($A92,EVENTO!$A$2:$C$4999,3,FALSE),"")</f>
        <v>CAMARA DE HORTOLANDIA </v>
      </c>
      <c r="D92" s="54">
        <v>46002.0</v>
      </c>
      <c r="E92" s="6">
        <v>12.0</v>
      </c>
      <c r="F92" s="6">
        <v>60.0</v>
      </c>
      <c r="G92" s="53">
        <v>46366.0</v>
      </c>
      <c r="H92" s="53">
        <v>47097.0</v>
      </c>
      <c r="I92" s="49">
        <v>191523.71</v>
      </c>
      <c r="J92" s="56"/>
    </row>
    <row r="93">
      <c r="A93" s="6">
        <v>94.0</v>
      </c>
      <c r="B93" s="50" t="str">
        <f>IFERROR(VLOOKUP($A93,EVENTO!$A$2:$C$4999,2,FALSE),"")</f>
        <v>ADITIVO DE PRAZO</v>
      </c>
      <c r="C93" s="50" t="str">
        <f>IFERROR(VLOOKUP($A93,EVENTO!$A$2:$C$4999,3,FALSE),"")</f>
        <v>RESENDE / SMA</v>
      </c>
      <c r="D93" s="51">
        <v>45734.0</v>
      </c>
      <c r="E93" s="6">
        <v>12.0</v>
      </c>
      <c r="F93" s="6">
        <v>60.0</v>
      </c>
      <c r="G93" s="52">
        <v>46099.0</v>
      </c>
      <c r="H93" s="52">
        <v>47195.0</v>
      </c>
      <c r="I93" s="49">
        <v>297358.08</v>
      </c>
      <c r="J93" s="56"/>
    </row>
    <row r="94">
      <c r="A94" s="6">
        <v>95.0</v>
      </c>
      <c r="B94" s="50" t="str">
        <f>IFERROR(VLOOKUP($A94,EVENTO!$A$2:$C$4999,2,FALSE),"")</f>
        <v>CADASTRO</v>
      </c>
      <c r="C94" s="50" t="str">
        <f>IFERROR(VLOOKUP($A94,EVENTO!$A$2:$C$4999,3,FALSE),"")</f>
        <v>FMS PB</v>
      </c>
      <c r="D94" s="51">
        <v>45188.0</v>
      </c>
      <c r="E94" s="6">
        <v>12.0</v>
      </c>
      <c r="F94" s="6">
        <v>60.0</v>
      </c>
      <c r="G94" s="52">
        <v>45554.0</v>
      </c>
      <c r="H94" s="52">
        <v>47015.0</v>
      </c>
      <c r="I94" s="49" t="s">
        <v>1346</v>
      </c>
      <c r="J94" s="56"/>
    </row>
    <row r="95">
      <c r="A95" s="6">
        <v>98.0</v>
      </c>
      <c r="B95" s="50" t="str">
        <f>IFERROR(VLOOKUP($A95,EVENTO!$A$2:$C$4999,2,FALSE),"")</f>
        <v>ADITIVO DE REAJUSTE E PRAZO</v>
      </c>
      <c r="C95" s="50" t="str">
        <f>IFERROR(VLOOKUP($A95,EVENTO!$A$2:$C$4999,3,FALSE),"")</f>
        <v>CITINOVA</v>
      </c>
      <c r="D95" s="51">
        <v>45185.0</v>
      </c>
      <c r="E95" s="6">
        <v>12.0</v>
      </c>
      <c r="F95" s="6">
        <v>60.0</v>
      </c>
      <c r="G95" s="52">
        <v>45550.0</v>
      </c>
      <c r="H95" s="52">
        <v>46645.0</v>
      </c>
      <c r="I95" s="49">
        <v>316735.56</v>
      </c>
      <c r="J95" s="56"/>
    </row>
    <row r="96">
      <c r="A96" s="6">
        <v>99.0</v>
      </c>
      <c r="B96" s="50" t="str">
        <f>IFERROR(VLOOKUP($A96,EVENTO!$A$2:$C$4999,2,FALSE),"")</f>
        <v>ADITIVO DE REAJUSTE E PRAZO</v>
      </c>
      <c r="C96" s="50" t="str">
        <f>IFERROR(VLOOKUP($A96,EVENTO!$A$2:$C$4999,3,FALSE),"")</f>
        <v>CITINOVA</v>
      </c>
      <c r="D96" s="51">
        <v>45551.0</v>
      </c>
      <c r="E96" s="6">
        <v>12.0</v>
      </c>
      <c r="F96" s="6">
        <v>60.0</v>
      </c>
      <c r="G96" s="52">
        <v>45915.0</v>
      </c>
      <c r="H96" s="52">
        <v>46645.0</v>
      </c>
      <c r="I96" s="49">
        <v>328834.858</v>
      </c>
      <c r="J96" s="56"/>
    </row>
    <row r="97">
      <c r="A97" s="6">
        <v>100.0</v>
      </c>
      <c r="B97" s="50" t="str">
        <f>IFERROR(VLOOKUP($A97,EVENTO!$A$2:$C$4999,2,FALSE),"")</f>
        <v>ADITIVO DE PRAZO</v>
      </c>
      <c r="C97" s="50" t="str">
        <f>IFERROR(VLOOKUP($A97,EVENTO!$A$2:$C$4999,3,FALSE),"")</f>
        <v>CITINOVA</v>
      </c>
      <c r="D97" s="51">
        <v>45916.0</v>
      </c>
      <c r="E97" s="6">
        <v>12.0</v>
      </c>
      <c r="F97" s="6">
        <v>60.0</v>
      </c>
      <c r="G97" s="52">
        <v>46280.0</v>
      </c>
      <c r="H97" s="52">
        <v>46645.0</v>
      </c>
      <c r="I97" s="49">
        <v>328834.858</v>
      </c>
      <c r="J97" s="56"/>
    </row>
    <row r="98">
      <c r="A98" s="6">
        <v>96.0</v>
      </c>
      <c r="B98" s="50" t="str">
        <f>IFERROR(VLOOKUP($A98,EVENTO!$A$2:$C$4999,2,FALSE),"")</f>
        <v>ADITIVO DE PRAZO</v>
      </c>
      <c r="C98" s="50" t="str">
        <f>IFERROR(VLOOKUP($A98,EVENTO!$A$2:$C$4999,3,FALSE),"")</f>
        <v>FMS PB</v>
      </c>
      <c r="D98" s="51">
        <v>45554.0</v>
      </c>
      <c r="E98" s="6">
        <v>12.0</v>
      </c>
      <c r="F98" s="6">
        <v>60.0</v>
      </c>
      <c r="G98" s="52">
        <v>45919.0</v>
      </c>
      <c r="H98" s="52">
        <v>47015.0</v>
      </c>
      <c r="I98" s="49" t="s">
        <v>1346</v>
      </c>
      <c r="J98" s="56"/>
    </row>
    <row r="99">
      <c r="A99" s="6">
        <v>97.0</v>
      </c>
      <c r="B99" s="50" t="str">
        <f>IFERROR(VLOOKUP($A99,EVENTO!$A$2:$C$4999,2,FALSE),"")</f>
        <v>ADITIVO DE PRAZO</v>
      </c>
      <c r="C99" s="50" t="str">
        <f>IFERROR(VLOOKUP($A99,EVENTO!$A$2:$C$4999,3,FALSE),"")</f>
        <v>FMS PB</v>
      </c>
      <c r="D99" s="51">
        <v>45919.0</v>
      </c>
      <c r="E99" s="6">
        <v>12.0</v>
      </c>
      <c r="F99" s="6">
        <v>60.0</v>
      </c>
      <c r="G99" s="52">
        <v>46284.0</v>
      </c>
      <c r="H99" s="52">
        <v>47015.0</v>
      </c>
      <c r="I99" s="49" t="s">
        <v>1346</v>
      </c>
      <c r="J99" s="56"/>
    </row>
    <row r="100">
      <c r="A100" s="6">
        <v>101.0</v>
      </c>
      <c r="B100" s="50" t="str">
        <f>IFERROR(VLOOKUP($A100,EVENTO!$A$2:$C$4999,2,FALSE),"")</f>
        <v>CADASTRO</v>
      </c>
      <c r="C100" s="50" t="str">
        <f>IFERROR(VLOOKUP($A100,EVENTO!$A$2:$C$4999,3,FALSE),"")</f>
        <v>SEMCAS - 017-2022</v>
      </c>
      <c r="D100" s="51">
        <v>44806.0</v>
      </c>
      <c r="E100" s="6">
        <v>12.0</v>
      </c>
      <c r="F100" s="6">
        <v>48.0</v>
      </c>
      <c r="G100" s="52">
        <v>45171.0</v>
      </c>
      <c r="H100" s="52">
        <v>46267.0</v>
      </c>
      <c r="I100" s="49" t="s">
        <v>1347</v>
      </c>
      <c r="J100" s="56"/>
    </row>
    <row r="101">
      <c r="A101" s="6">
        <v>102.0</v>
      </c>
      <c r="B101" s="50" t="str">
        <f>IFERROR(VLOOKUP($A101,EVENTO!$A$2:$C$4999,2,FALSE),"")</f>
        <v>ADITIVO DE PRAZO</v>
      </c>
      <c r="C101" s="50" t="str">
        <f>IFERROR(VLOOKUP($A101,EVENTO!$A$2:$C$4999,3,FALSE),"")</f>
        <v>SEMCAS - 017-2022</v>
      </c>
      <c r="D101" s="51">
        <v>45171.0</v>
      </c>
      <c r="E101" s="6">
        <v>12.0</v>
      </c>
      <c r="F101" s="6">
        <v>48.0</v>
      </c>
      <c r="G101" s="52">
        <v>45537.0</v>
      </c>
      <c r="H101" s="52">
        <v>46267.0</v>
      </c>
      <c r="I101" s="49" t="s">
        <v>1347</v>
      </c>
      <c r="J101" s="56"/>
    </row>
    <row r="102">
      <c r="A102" s="6">
        <v>103.0</v>
      </c>
      <c r="B102" s="50" t="str">
        <f>IFERROR(VLOOKUP($A102,EVENTO!$A$2:$C$4999,2,FALSE),"")</f>
        <v>ADITIVO DE QUANTIDADE</v>
      </c>
      <c r="C102" s="50" t="str">
        <f>IFERROR(VLOOKUP($A102,EVENTO!$A$2:$C$4999,3,FALSE),"")</f>
        <v>SEMCAS - 017-2022</v>
      </c>
      <c r="D102" s="51">
        <v>45400.0</v>
      </c>
      <c r="E102" s="6">
        <v>12.0</v>
      </c>
      <c r="F102" s="6">
        <v>48.0</v>
      </c>
      <c r="G102" s="52">
        <v>45537.0</v>
      </c>
      <c r="H102" s="52">
        <v>46267.0</v>
      </c>
      <c r="I102" s="49" t="s">
        <v>1348</v>
      </c>
      <c r="J102" s="56"/>
    </row>
    <row r="103">
      <c r="A103" s="6">
        <v>105.0</v>
      </c>
      <c r="B103" s="50" t="str">
        <f>IFERROR(VLOOKUP($A103,EVENTO!$A$2:$C$4999,2,FALSE),"")</f>
        <v>CADASTRO</v>
      </c>
      <c r="C103" s="50" t="str">
        <f>IFERROR(VLOOKUP($A103,EVENTO!$A$2:$C$4999,3,FALSE),"")</f>
        <v>SEMCAS - 019-2022</v>
      </c>
      <c r="D103" s="51">
        <v>44824.0</v>
      </c>
      <c r="E103" s="6">
        <v>12.0</v>
      </c>
      <c r="F103" s="6">
        <v>48.0</v>
      </c>
      <c r="G103" s="52">
        <v>45188.0</v>
      </c>
      <c r="H103" s="52">
        <v>46284.0</v>
      </c>
      <c r="I103" s="49">
        <v>206164.8</v>
      </c>
      <c r="J103" s="56"/>
    </row>
    <row r="104">
      <c r="A104" s="6">
        <v>104.0</v>
      </c>
      <c r="B104" s="50" t="str">
        <f>IFERROR(VLOOKUP($A104,EVENTO!$A$2:$C$4999,2,FALSE),"")</f>
        <v>ADITIVO DE PRAZO</v>
      </c>
      <c r="C104" s="50" t="str">
        <f>IFERROR(VLOOKUP($A104,EVENTO!$A$2:$C$4999,3,FALSE),"")</f>
        <v>SEMCAS - 017-2022</v>
      </c>
      <c r="D104" s="51">
        <v>45537.0</v>
      </c>
      <c r="E104" s="6">
        <v>12.0</v>
      </c>
      <c r="F104" s="6">
        <v>48.0</v>
      </c>
      <c r="G104" s="52">
        <v>45902.0</v>
      </c>
      <c r="H104" s="52">
        <v>46267.0</v>
      </c>
      <c r="I104" s="49" t="s">
        <v>1348</v>
      </c>
      <c r="J104" s="56"/>
    </row>
    <row r="105">
      <c r="A105" s="6">
        <v>106.0</v>
      </c>
      <c r="B105" s="50" t="str">
        <f>IFERROR(VLOOKUP($A105,EVENTO!$A$2:$C$4999,2,FALSE),"")</f>
        <v>ADITIVO DE REAJUSTE E PRAZO</v>
      </c>
      <c r="C105" s="50" t="str">
        <f>IFERROR(VLOOKUP($A105,EVENTO!$A$2:$C$4999,3,FALSE),"")</f>
        <v>SEMCAS - 019-2022</v>
      </c>
      <c r="D105" s="51">
        <v>45902.0</v>
      </c>
      <c r="E105" s="6">
        <v>12.0</v>
      </c>
      <c r="F105" s="6">
        <v>48.0</v>
      </c>
      <c r="G105" s="52">
        <v>46267.0</v>
      </c>
      <c r="H105" s="52">
        <v>46267.0</v>
      </c>
      <c r="I105" s="49" t="s">
        <v>1349</v>
      </c>
      <c r="J105" s="56"/>
    </row>
    <row r="106">
      <c r="A106" s="6">
        <v>107.0</v>
      </c>
      <c r="B106" s="50" t="str">
        <f>IFERROR(VLOOKUP($A106,EVENTO!$A$2:$C$4999,2,FALSE),"")</f>
        <v>ADITIVO DE PRAZO</v>
      </c>
      <c r="C106" s="50" t="str">
        <f>IFERROR(VLOOKUP($A106,EVENTO!$A$2:$C$4999,3,FALSE),"")</f>
        <v>SEMCAS - 019-2022</v>
      </c>
      <c r="D106" s="51">
        <v>45189.0</v>
      </c>
      <c r="E106" s="6">
        <v>12.0</v>
      </c>
      <c r="F106" s="6">
        <v>48.0</v>
      </c>
      <c r="G106" s="52">
        <v>45555.0</v>
      </c>
      <c r="H106" s="52">
        <v>46285.0</v>
      </c>
      <c r="I106" s="49">
        <v>206164.8</v>
      </c>
      <c r="J106" s="56"/>
    </row>
    <row r="107">
      <c r="A107" s="6">
        <v>108.0</v>
      </c>
      <c r="B107" s="50" t="str">
        <f>IFERROR(VLOOKUP($A107,EVENTO!$A$2:$C$4999,2,FALSE),"")</f>
        <v>ADITIVO DE PRAZO</v>
      </c>
      <c r="C107" s="50" t="str">
        <f>IFERROR(VLOOKUP($A107,EVENTO!$A$2:$C$4999,3,FALSE),"")</f>
        <v>SEMCAS - 019-2022</v>
      </c>
      <c r="D107" s="51">
        <v>45555.0</v>
      </c>
      <c r="E107" s="6">
        <v>12.0</v>
      </c>
      <c r="F107" s="6">
        <v>48.0</v>
      </c>
      <c r="G107" s="52">
        <v>45920.0</v>
      </c>
      <c r="H107" s="52">
        <v>46285.0</v>
      </c>
      <c r="I107" s="49">
        <v>206164.8</v>
      </c>
      <c r="J107" s="56"/>
    </row>
    <row r="108">
      <c r="A108" s="6">
        <v>109.0</v>
      </c>
      <c r="B108" s="50" t="str">
        <f>IFERROR(VLOOKUP($A108,EVENTO!$A$2:$C$4999,2,FALSE),"")</f>
        <v>ADITIVO DE PRAZO</v>
      </c>
      <c r="C108" s="50" t="str">
        <f>IFERROR(VLOOKUP($A108,EVENTO!$A$2:$C$4999,3,FALSE),"")</f>
        <v>SEMCAS - 019-2022</v>
      </c>
      <c r="D108" s="51">
        <v>45920.0</v>
      </c>
      <c r="E108" s="6">
        <v>12.0</v>
      </c>
      <c r="F108" s="6">
        <v>48.0</v>
      </c>
      <c r="G108" s="52">
        <v>46285.0</v>
      </c>
      <c r="H108" s="52">
        <v>46285.0</v>
      </c>
      <c r="I108" s="49">
        <v>212421.6</v>
      </c>
      <c r="J108" s="56"/>
    </row>
    <row r="109">
      <c r="A109" s="6">
        <v>110.0</v>
      </c>
      <c r="B109" s="50" t="str">
        <f>IFERROR(VLOOKUP($A109,EVENTO!$A$2:$C$4999,2,FALSE),"")</f>
        <v>CADASTRO</v>
      </c>
      <c r="C109" s="50" t="str">
        <f>IFERROR(VLOOKUP($A109,EVENTO!$A$2:$C$4999,3,FALSE),"")</f>
        <v>PREFEITURA MUNICIPAL DE ARACATI - CASA CIVIL</v>
      </c>
      <c r="D109" s="51">
        <v>44664.0</v>
      </c>
      <c r="E109" s="6">
        <v>12.0</v>
      </c>
      <c r="F109" s="6">
        <v>60.0</v>
      </c>
      <c r="G109" s="52">
        <v>45029.0</v>
      </c>
      <c r="H109" s="52">
        <v>46490.0</v>
      </c>
      <c r="I109" s="49" t="s">
        <v>1350</v>
      </c>
      <c r="J109" s="56"/>
    </row>
    <row r="110">
      <c r="A110" s="6">
        <v>111.0</v>
      </c>
      <c r="B110" s="50" t="str">
        <f>IFERROR(VLOOKUP($A110,EVENTO!$A$2:$C$4999,2,FALSE),"")</f>
        <v>ADITIVO DE PRAZO</v>
      </c>
      <c r="C110" s="50" t="str">
        <f>IFERROR(VLOOKUP($A110,EVENTO!$A$2:$C$4999,3,FALSE),"")</f>
        <v>PREFEITURA MUNICIPAL DE ARACATI - CASA CIVIL</v>
      </c>
      <c r="D110" s="51">
        <v>45029.0</v>
      </c>
      <c r="E110" s="6">
        <v>12.0</v>
      </c>
      <c r="F110" s="6">
        <v>60.0</v>
      </c>
      <c r="G110" s="52">
        <v>45395.0</v>
      </c>
      <c r="H110" s="52">
        <v>46490.0</v>
      </c>
      <c r="I110" s="49" t="s">
        <v>1350</v>
      </c>
      <c r="J110" s="56"/>
    </row>
    <row r="111">
      <c r="A111" s="6">
        <v>112.0</v>
      </c>
      <c r="B111" s="50" t="str">
        <f>IFERROR(VLOOKUP($A111,EVENTO!$A$2:$C$4999,2,FALSE),"")</f>
        <v>ADITIVO DE PRAZO</v>
      </c>
      <c r="C111" s="50" t="str">
        <f>IFERROR(VLOOKUP($A111,EVENTO!$A$2:$C$4999,3,FALSE),"")</f>
        <v>PREFEITURA MUNICIPAL DE ARACATI - CASA CIVIL</v>
      </c>
      <c r="D111" s="51">
        <v>45396.0</v>
      </c>
      <c r="E111" s="6">
        <v>9.0</v>
      </c>
      <c r="F111" s="6">
        <v>60.0</v>
      </c>
      <c r="G111" s="53">
        <v>45657.0</v>
      </c>
      <c r="H111" s="52">
        <v>46490.0</v>
      </c>
      <c r="I111" s="49" t="s">
        <v>1351</v>
      </c>
      <c r="J111" s="56"/>
    </row>
    <row r="112">
      <c r="A112" s="6">
        <v>115.0</v>
      </c>
      <c r="B112" s="50" t="str">
        <f>IFERROR(VLOOKUP($A112,EVENTO!$A$2:$C$4999,2,FALSE),"")</f>
        <v>ADITIVO DE PRAZO</v>
      </c>
      <c r="C112" s="50" t="str">
        <f>IFERROR(VLOOKUP($A112,EVENTO!$A$2:$C$4999,3,FALSE),"")</f>
        <v>UFC</v>
      </c>
      <c r="D112" s="51">
        <v>46047.0</v>
      </c>
      <c r="E112" s="6">
        <v>12.0</v>
      </c>
      <c r="F112" s="6">
        <v>60.0</v>
      </c>
      <c r="G112" s="52">
        <v>46412.0</v>
      </c>
      <c r="H112" s="52">
        <v>47140.0</v>
      </c>
      <c r="I112" s="49">
        <v>191604.02</v>
      </c>
      <c r="J112" s="56"/>
    </row>
    <row r="113">
      <c r="A113" s="6">
        <v>116.0</v>
      </c>
      <c r="B113" s="50" t="str">
        <f>IFERROR(VLOOKUP($A113,EVENTO!$A$2:$C$4999,2,FALSE),"")</f>
        <v>CADASTRO</v>
      </c>
      <c r="C113" s="50" t="str">
        <f>IFERROR(VLOOKUP($A113,EVENTO!$A$2:$C$4999,3,FALSE),"")</f>
        <v>PREF. MUNICIPAL DE CANINDE - AGRICULTURA</v>
      </c>
      <c r="D113" s="51">
        <v>45198.0</v>
      </c>
      <c r="E113" s="6">
        <v>12.0</v>
      </c>
      <c r="F113" s="6">
        <v>60.0</v>
      </c>
      <c r="G113" s="52">
        <v>45563.0</v>
      </c>
      <c r="H113" s="52">
        <v>47024.0</v>
      </c>
      <c r="I113" s="49">
        <v>8428.44</v>
      </c>
      <c r="J113" s="56"/>
    </row>
    <row r="114">
      <c r="A114" s="6">
        <v>113.0</v>
      </c>
      <c r="B114" s="50" t="str">
        <f>IFERROR(VLOOKUP($A114,EVENTO!$A$2:$C$4999,2,FALSE),"")</f>
        <v>ADITIVO DE PRAZO</v>
      </c>
      <c r="C114" s="50" t="str">
        <f>IFERROR(VLOOKUP($A114,EVENTO!$A$2:$C$4999,3,FALSE),"")</f>
        <v>PREFEITURA MUNICIPAL DE ARACATI - CASA CIVIL</v>
      </c>
      <c r="D114" s="51">
        <v>45658.0</v>
      </c>
      <c r="E114" s="6">
        <v>6.0</v>
      </c>
      <c r="F114" s="6">
        <v>60.0</v>
      </c>
      <c r="G114" s="52">
        <v>45838.0</v>
      </c>
      <c r="H114" s="52">
        <v>46490.0</v>
      </c>
      <c r="I114" s="49">
        <v>85240.0</v>
      </c>
      <c r="J114" s="56"/>
    </row>
    <row r="115">
      <c r="A115" s="6">
        <v>114.0</v>
      </c>
      <c r="B115" s="50" t="str">
        <f>IFERROR(VLOOKUP($A115,EVENTO!$A$2:$C$4999,2,FALSE),"")</f>
        <v>ADITIVO DE PRAZO</v>
      </c>
      <c r="C115" s="50" t="str">
        <f>IFERROR(VLOOKUP($A115,EVENTO!$A$2:$C$4999,3,FALSE),"")</f>
        <v>PREFEITURA MUNICIPAL DE ARACATI - CASA CIVIL</v>
      </c>
      <c r="D115" s="51">
        <v>45839.0</v>
      </c>
      <c r="E115" s="6">
        <v>4.0</v>
      </c>
      <c r="F115" s="6">
        <v>60.0</v>
      </c>
      <c r="G115" s="53">
        <v>45961.0</v>
      </c>
      <c r="H115" s="52">
        <v>46490.0</v>
      </c>
      <c r="I115" s="49">
        <v>58415.6</v>
      </c>
      <c r="J115" s="56"/>
    </row>
    <row r="116">
      <c r="A116" s="6">
        <v>117.0</v>
      </c>
      <c r="B116" s="50" t="str">
        <f>IFERROR(VLOOKUP($A116,EVENTO!$A$2:$C$4999,2,FALSE),"")</f>
        <v>ADITIVO DE PRAZO</v>
      </c>
      <c r="C116" s="50" t="str">
        <f>IFERROR(VLOOKUP($A116,EVENTO!$A$2:$C$4999,3,FALSE),"")</f>
        <v>PREFEITURA MUNICIPAL DE ARACATI - CASA CIVIL</v>
      </c>
      <c r="D116" s="51">
        <v>45962.0</v>
      </c>
      <c r="E116" s="6">
        <v>3.0</v>
      </c>
      <c r="F116" s="6">
        <v>60.0</v>
      </c>
      <c r="G116" s="52">
        <v>46053.0</v>
      </c>
      <c r="H116" s="52">
        <v>46490.0</v>
      </c>
      <c r="I116" s="49">
        <v>43819.17</v>
      </c>
      <c r="J116" s="56"/>
    </row>
    <row r="117">
      <c r="A117" s="6">
        <v>118.0</v>
      </c>
      <c r="B117" s="50" t="str">
        <f>IFERROR(VLOOKUP($A117,EVENTO!$A$2:$C$4999,2,FALSE),"")</f>
        <v>ADITIVO DE PRAZO</v>
      </c>
      <c r="C117" s="50" t="str">
        <f>IFERROR(VLOOKUP($A117,EVENTO!$A$2:$C$4999,3,FALSE),"")</f>
        <v>PREF. MUNICIPAL DE CANINDE - AGRICULTURA</v>
      </c>
      <c r="D117" s="51">
        <v>45565.0</v>
      </c>
      <c r="E117" s="6">
        <v>12.0</v>
      </c>
      <c r="F117" s="6">
        <v>60.0</v>
      </c>
      <c r="G117" s="52">
        <v>45930.0</v>
      </c>
      <c r="H117" s="52">
        <v>47024.0</v>
      </c>
      <c r="I117" s="49">
        <v>8428.44</v>
      </c>
      <c r="J117" s="56"/>
    </row>
    <row r="118">
      <c r="A118" s="6">
        <v>119.0</v>
      </c>
      <c r="B118" s="50" t="str">
        <f>IFERROR(VLOOKUP($A118,EVENTO!$A$2:$C$4999,2,FALSE),"")</f>
        <v>ADITIVO DE PRAZO</v>
      </c>
      <c r="C118" s="50" t="str">
        <f>IFERROR(VLOOKUP($A118,EVENTO!$A$2:$C$4999,3,FALSE),"")</f>
        <v>PREF. MUNICIPAL DE CANINDE - AGRICULTURA</v>
      </c>
      <c r="D118" s="51">
        <v>45565.0</v>
      </c>
      <c r="E118" s="6">
        <v>2.0</v>
      </c>
      <c r="F118" s="6">
        <v>60.0</v>
      </c>
      <c r="G118" s="52">
        <v>45992.0</v>
      </c>
      <c r="H118" s="52">
        <v>47024.0</v>
      </c>
      <c r="I118" s="49">
        <v>8428.44</v>
      </c>
      <c r="J118" s="56"/>
    </row>
    <row r="119">
      <c r="A119" s="6">
        <v>120.0</v>
      </c>
      <c r="B119" s="50" t="str">
        <f>IFERROR(VLOOKUP($A119,EVENTO!$A$2:$C$4999,2,FALSE),"")</f>
        <v>CADASTRO</v>
      </c>
      <c r="C119" s="50" t="str">
        <f>IFERROR(VLOOKUP($A119,EVENTO!$A$2:$C$4999,3,FALSE),"")</f>
        <v>PREF. MUNICIPAL DE ARACATI - SEGURANÇA CIDADÃ - 017-2022</v>
      </c>
      <c r="D119" s="51">
        <v>44664.0</v>
      </c>
      <c r="E119" s="6">
        <v>12.0</v>
      </c>
      <c r="F119" s="6">
        <v>60.0</v>
      </c>
      <c r="G119" s="52">
        <v>45029.0</v>
      </c>
      <c r="H119" s="52">
        <v>46490.0</v>
      </c>
      <c r="I119" s="49">
        <v>108712.92</v>
      </c>
      <c r="J119" s="56"/>
    </row>
    <row r="120">
      <c r="A120" s="6">
        <v>121.0</v>
      </c>
      <c r="B120" s="50" t="str">
        <f>IFERROR(VLOOKUP($A120,EVENTO!$A$2:$C$4999,2,FALSE),"")</f>
        <v>ADITIVO DE PRAZO</v>
      </c>
      <c r="C120" s="50" t="str">
        <f>IFERROR(VLOOKUP($A120,EVENTO!$A$2:$C$4999,3,FALSE),"")</f>
        <v>PREF. MUNICIPAL DE ARACATI - SEGURANÇA CIDADÃ - 017-2022</v>
      </c>
      <c r="D120" s="51">
        <v>45030.0</v>
      </c>
      <c r="E120" s="6">
        <v>12.0</v>
      </c>
      <c r="F120" s="6">
        <v>60.0</v>
      </c>
      <c r="G120" s="52">
        <v>45396.0</v>
      </c>
      <c r="H120" s="52">
        <v>46490.0</v>
      </c>
      <c r="I120" s="49">
        <v>108712.92</v>
      </c>
      <c r="J120" s="56"/>
    </row>
    <row r="121">
      <c r="A121" s="6">
        <v>122.0</v>
      </c>
      <c r="B121" s="50" t="str">
        <f>IFERROR(VLOOKUP($A121,EVENTO!$A$2:$C$4999,2,FALSE),"")</f>
        <v>ADITIVO DE PRAZO</v>
      </c>
      <c r="C121" s="50" t="str">
        <f>IFERROR(VLOOKUP($A121,EVENTO!$A$2:$C$4999,3,FALSE),"")</f>
        <v>PREF. MUNICIPAL DE ARACATI - SEGURANÇA CIDADÃ - 017-2022</v>
      </c>
      <c r="D121" s="51">
        <v>45396.0</v>
      </c>
      <c r="E121" s="6">
        <v>9.0</v>
      </c>
      <c r="F121" s="6">
        <v>60.0</v>
      </c>
      <c r="G121" s="53">
        <v>45657.0</v>
      </c>
      <c r="H121" s="52">
        <v>46490.0</v>
      </c>
      <c r="I121" s="49">
        <v>77897.43</v>
      </c>
      <c r="J121" s="56"/>
    </row>
    <row r="122">
      <c r="A122" s="6">
        <v>123.0</v>
      </c>
      <c r="B122" s="50" t="str">
        <f>IFERROR(VLOOKUP($A122,EVENTO!$A$2:$C$4999,2,FALSE),"")</f>
        <v>ADITIVO DE PRAZO</v>
      </c>
      <c r="C122" s="50" t="str">
        <f>IFERROR(VLOOKUP($A122,EVENTO!$A$2:$C$4999,3,FALSE),"")</f>
        <v>PREF. MUNICIPAL DE ARACATI - SEGURANÇA CIDADÃ - 017-2022</v>
      </c>
      <c r="D122" s="51">
        <v>45658.0</v>
      </c>
      <c r="E122" s="6">
        <v>6.0</v>
      </c>
      <c r="F122" s="6">
        <v>60.0</v>
      </c>
      <c r="G122" s="52">
        <v>45838.0</v>
      </c>
      <c r="H122" s="52">
        <v>46490.0</v>
      </c>
      <c r="I122" s="49">
        <v>51931.62</v>
      </c>
      <c r="J122" s="56"/>
    </row>
    <row r="123">
      <c r="A123" s="6">
        <v>124.0</v>
      </c>
      <c r="B123" s="50" t="str">
        <f>IFERROR(VLOOKUP($A123,EVENTO!$A$2:$C$4999,2,FALSE),"")</f>
        <v>ADITIVO DE PRAZO</v>
      </c>
      <c r="C123" s="50" t="str">
        <f>IFERROR(VLOOKUP($A123,EVENTO!$A$2:$C$4999,3,FALSE),"")</f>
        <v>PREF. MUNICIPAL DE ARACATI - SEGURANÇA CIDADÃ - 017-2022</v>
      </c>
      <c r="D123" s="51">
        <v>45839.0</v>
      </c>
      <c r="E123" s="6">
        <v>4.0</v>
      </c>
      <c r="F123" s="6">
        <v>60.0</v>
      </c>
      <c r="G123" s="53">
        <v>45961.0</v>
      </c>
      <c r="H123" s="52">
        <v>46490.0</v>
      </c>
      <c r="I123" s="49">
        <v>34621.08</v>
      </c>
      <c r="J123" s="56"/>
    </row>
    <row r="124">
      <c r="A124" s="6">
        <v>125.0</v>
      </c>
      <c r="B124" s="50" t="str">
        <f>IFERROR(VLOOKUP($A124,EVENTO!$A$2:$C$4999,2,FALSE),"")</f>
        <v>ADITIVO DE PRAZO</v>
      </c>
      <c r="C124" s="50" t="str">
        <f>IFERROR(VLOOKUP($A124,EVENTO!$A$2:$C$4999,3,FALSE),"")</f>
        <v>PREF. MUNICIPAL DE ARACATI - SEGURANÇA CIDADÃ - 017-2022</v>
      </c>
      <c r="D124" s="51">
        <v>45962.0</v>
      </c>
      <c r="E124" s="6">
        <v>3.0</v>
      </c>
      <c r="F124" s="6">
        <v>60.0</v>
      </c>
      <c r="G124" s="52">
        <v>46053.0</v>
      </c>
      <c r="H124" s="52">
        <v>46490.0</v>
      </c>
      <c r="I124" s="49">
        <v>25965.81</v>
      </c>
      <c r="J124" s="56"/>
    </row>
    <row r="125">
      <c r="A125" s="6">
        <v>126.0</v>
      </c>
      <c r="B125" s="50" t="str">
        <f>IFERROR(VLOOKUP($A125,EVENTO!$A$2:$C$4999,2,FALSE),"")</f>
        <v>CADASTRO</v>
      </c>
      <c r="C125" s="50" t="str">
        <f>IFERROR(VLOOKUP($A125,EVENTO!$A$2:$C$4999,3,FALSE),"")</f>
        <v>PREF. MUNICIPAL DE ARACATI - SEGURANÇA CIDADÃ - 018-2022</v>
      </c>
      <c r="D125" s="51">
        <v>44664.0</v>
      </c>
      <c r="E125" s="6">
        <v>12.0</v>
      </c>
      <c r="F125" s="6">
        <v>60.0</v>
      </c>
      <c r="G125" s="52">
        <v>45029.0</v>
      </c>
      <c r="H125" s="52">
        <v>46490.0</v>
      </c>
      <c r="I125" s="49">
        <v>44344.92</v>
      </c>
      <c r="J125" s="56"/>
    </row>
    <row r="126">
      <c r="A126" s="6">
        <v>133.0</v>
      </c>
      <c r="B126" s="50" t="str">
        <f>IFERROR(VLOOKUP($A126,EVENTO!$A$2:$C$4999,2,FALSE),"")</f>
        <v>CADASTRO</v>
      </c>
      <c r="C126" s="50" t="str">
        <f>IFERROR(VLOOKUP($A126,EVENTO!$A$2:$C$4999,3,FALSE),"")</f>
        <v>PREFEITURA MUNICIPAL DE MARANGUAPE - GABINETE</v>
      </c>
      <c r="D126" s="51">
        <v>45810.0</v>
      </c>
      <c r="E126" s="6">
        <v>12.0</v>
      </c>
      <c r="F126" s="6">
        <v>120.0</v>
      </c>
      <c r="G126" s="52">
        <v>46174.0</v>
      </c>
      <c r="H126" s="52">
        <v>49461.0</v>
      </c>
      <c r="I126" s="49">
        <v>76642.2</v>
      </c>
      <c r="J126" s="56"/>
    </row>
    <row r="127">
      <c r="A127" s="6">
        <v>127.0</v>
      </c>
      <c r="B127" s="50" t="str">
        <f>IFERROR(VLOOKUP($A127,EVENTO!$A$2:$C$4999,2,FALSE),"")</f>
        <v>ADITIVO DE PRAZO</v>
      </c>
      <c r="C127" s="50" t="str">
        <f>IFERROR(VLOOKUP($A127,EVENTO!$A$2:$C$4999,3,FALSE),"")</f>
        <v>PREF. MUNICIPAL DE ARACATI - SEGURANÇA CIDADÃ - 018-2022</v>
      </c>
      <c r="D127" s="51">
        <v>45029.0</v>
      </c>
      <c r="E127" s="6">
        <v>12.0</v>
      </c>
      <c r="F127" s="6">
        <v>60.0</v>
      </c>
      <c r="G127" s="52">
        <v>45395.0</v>
      </c>
      <c r="H127" s="52">
        <v>46490.0</v>
      </c>
      <c r="I127" s="49">
        <v>44344.92</v>
      </c>
      <c r="J127" s="56"/>
    </row>
    <row r="128">
      <c r="A128" s="6">
        <v>128.0</v>
      </c>
      <c r="B128" s="50" t="str">
        <f>IFERROR(VLOOKUP($A128,EVENTO!$A$2:$C$4999,2,FALSE),"")</f>
        <v>ADITIVO DE PRAZO</v>
      </c>
      <c r="C128" s="50" t="str">
        <f>IFERROR(VLOOKUP($A128,EVENTO!$A$2:$C$4999,3,FALSE),"")</f>
        <v>PREF. MUNICIPAL DE ARACATI - SEGURANÇA CIDADÃ - 018-2022</v>
      </c>
      <c r="D128" s="51">
        <v>45396.0</v>
      </c>
      <c r="E128" s="6">
        <v>9.0</v>
      </c>
      <c r="F128" s="6">
        <v>60.0</v>
      </c>
      <c r="G128" s="53">
        <v>45657.0</v>
      </c>
      <c r="H128" s="52">
        <v>46490.0</v>
      </c>
      <c r="I128" s="49">
        <v>33258.69</v>
      </c>
      <c r="J128" s="56"/>
    </row>
    <row r="129">
      <c r="A129" s="6">
        <v>134.0</v>
      </c>
      <c r="B129" s="50" t="str">
        <f>IFERROR(VLOOKUP($A129,EVENTO!$A$2:$C$4999,2,FALSE),"")</f>
        <v>CADASTRO</v>
      </c>
      <c r="C129" s="50" t="str">
        <f>IFERROR(VLOOKUP($A129,EVENTO!$A$2:$C$4999,3,FALSE),"")</f>
        <v>PREFEITURA MUNICIPAL DE MOCOCA </v>
      </c>
      <c r="D129" s="51">
        <v>45799.0</v>
      </c>
      <c r="E129" s="6">
        <v>36.0</v>
      </c>
      <c r="F129" s="6">
        <v>120.0</v>
      </c>
      <c r="G129" s="52">
        <v>46894.0</v>
      </c>
      <c r="H129" s="52">
        <v>49450.0</v>
      </c>
      <c r="I129" s="49">
        <v>247968.0</v>
      </c>
      <c r="J129" s="56"/>
    </row>
    <row r="130">
      <c r="A130" s="6">
        <v>129.0</v>
      </c>
      <c r="B130" s="50" t="str">
        <f>IFERROR(VLOOKUP($A130,EVENTO!$A$2:$C$4999,2,FALSE),"")</f>
        <v>ADITIVO DE PRAZO</v>
      </c>
      <c r="C130" s="50" t="str">
        <f>IFERROR(VLOOKUP($A130,EVENTO!$A$2:$C$4999,3,FALSE),"")</f>
        <v>PREF. MUNICIPAL DE ARACATI - SEGURANÇA CIDADÃ - 018-2022</v>
      </c>
      <c r="D130" s="51">
        <v>45658.0</v>
      </c>
      <c r="E130" s="6">
        <v>6.0</v>
      </c>
      <c r="F130" s="6">
        <v>60.0</v>
      </c>
      <c r="G130" s="52">
        <v>45838.0</v>
      </c>
      <c r="H130" s="52">
        <v>46490.0</v>
      </c>
      <c r="I130" s="49">
        <v>22172.46</v>
      </c>
      <c r="J130" s="56"/>
    </row>
    <row r="131">
      <c r="A131" s="6">
        <v>130.0</v>
      </c>
      <c r="B131" s="50" t="str">
        <f>IFERROR(VLOOKUP($A131,EVENTO!$A$2:$C$4999,2,FALSE),"")</f>
        <v>ADITIVO DE PRAZO</v>
      </c>
      <c r="C131" s="50" t="str">
        <f>IFERROR(VLOOKUP($A131,EVENTO!$A$2:$C$4999,3,FALSE),"")</f>
        <v>PREF. MUNICIPAL DE ARACATI - SEGURANÇA CIDADÃ - 018-2022</v>
      </c>
      <c r="D131" s="51">
        <v>45839.0</v>
      </c>
      <c r="E131" s="6">
        <v>4.0</v>
      </c>
      <c r="F131" s="6">
        <v>60.0</v>
      </c>
      <c r="G131" s="53">
        <v>45961.0</v>
      </c>
      <c r="H131" s="52">
        <v>46490.0</v>
      </c>
      <c r="I131" s="49">
        <v>14781.64</v>
      </c>
      <c r="J131" s="56"/>
    </row>
    <row r="132">
      <c r="A132" s="6">
        <v>131.0</v>
      </c>
      <c r="B132" s="50" t="str">
        <f>IFERROR(VLOOKUP($A132,EVENTO!$A$2:$C$4999,2,FALSE),"")</f>
        <v>ADITIVO DE PRAZO</v>
      </c>
      <c r="C132" s="50" t="str">
        <f>IFERROR(VLOOKUP($A132,EVENTO!$A$2:$C$4999,3,FALSE),"")</f>
        <v>PREF. MUNICIPAL DE ARACATI - SEGURANÇA CIDADÃ - 018-2022</v>
      </c>
      <c r="D132" s="51">
        <v>45962.0</v>
      </c>
      <c r="E132" s="6">
        <v>3.0</v>
      </c>
      <c r="F132" s="6">
        <v>60.0</v>
      </c>
      <c r="G132" s="52">
        <v>46053.0</v>
      </c>
      <c r="H132" s="52">
        <v>46490.0</v>
      </c>
      <c r="I132" s="49">
        <v>11086.23</v>
      </c>
      <c r="J132" s="56"/>
    </row>
    <row r="133">
      <c r="A133" s="6">
        <v>132.0</v>
      </c>
      <c r="B133" s="50" t="str">
        <f>IFERROR(VLOOKUP($A133,EVENTO!$A$2:$C$4999,2,FALSE),"")</f>
        <v>CADASTRO</v>
      </c>
      <c r="C133" s="50" t="str">
        <f>IFERROR(VLOOKUP($A133,EVENTO!$A$2:$C$4999,3,FALSE),"")</f>
        <v>PREF. MUNICIPAL DE ARACATI - DESENVOLVIMENTO SOCIAL - 021-2022</v>
      </c>
      <c r="D133" s="51">
        <v>44664.0</v>
      </c>
      <c r="E133" s="6">
        <v>12.0</v>
      </c>
      <c r="F133" s="6">
        <v>60.0</v>
      </c>
      <c r="G133" s="52">
        <v>45029.0</v>
      </c>
      <c r="H133" s="52">
        <v>46490.0</v>
      </c>
      <c r="I133" s="49">
        <v>199380.96</v>
      </c>
      <c r="J133" s="56"/>
    </row>
    <row r="134">
      <c r="A134" s="6">
        <v>140.0</v>
      </c>
      <c r="B134" s="50" t="str">
        <f>IFERROR(VLOOKUP($A134,EVENTO!$A$2:$C$4999,2,FALSE),"")</f>
        <v>CADASTRO</v>
      </c>
      <c r="C134" s="50" t="str">
        <f>IFERROR(VLOOKUP($A134,EVENTO!$A$2:$C$4999,3,FALSE),"")</f>
        <v>PREFEITURA MUNICIPAL DE TIANGUA - SAUDE</v>
      </c>
      <c r="D134" s="51">
        <v>45392.0</v>
      </c>
      <c r="E134" s="6">
        <v>12.0</v>
      </c>
      <c r="F134" s="6">
        <v>120.0</v>
      </c>
      <c r="G134" s="52">
        <v>45757.0</v>
      </c>
      <c r="H134" s="52">
        <v>49044.0</v>
      </c>
      <c r="I134" s="49">
        <v>1297991.16</v>
      </c>
      <c r="J134" s="56"/>
    </row>
    <row r="135">
      <c r="A135" s="6">
        <v>141.0</v>
      </c>
      <c r="B135" s="50" t="str">
        <f>IFERROR(VLOOKUP($A135,EVENTO!$A$2:$C$4999,2,FALSE),"")</f>
        <v>CADASTRO</v>
      </c>
      <c r="C135" s="50" t="str">
        <f>IFERROR(VLOOKUP($A135,EVENTO!$A$2:$C$4999,3,FALSE),"")</f>
        <v>PREFEITURA MUNICIPAL DE MARANGUAPE - SAUDE</v>
      </c>
      <c r="D135" s="51">
        <v>45719.0</v>
      </c>
      <c r="E135" s="6">
        <v>12.0</v>
      </c>
      <c r="F135" s="6">
        <v>120.0</v>
      </c>
      <c r="G135" s="52">
        <v>46083.0</v>
      </c>
      <c r="H135" s="52">
        <v>49370.0</v>
      </c>
      <c r="I135" s="49">
        <v>164781.0</v>
      </c>
      <c r="J135" s="56"/>
    </row>
    <row r="136">
      <c r="A136" s="6">
        <v>135.0</v>
      </c>
      <c r="B136" s="50" t="str">
        <f>IFERROR(VLOOKUP($A136,EVENTO!$A$2:$C$4999,2,FALSE),"")</f>
        <v>ADITIVO DE PRAZO</v>
      </c>
      <c r="C136" s="50" t="str">
        <f>IFERROR(VLOOKUP($A136,EVENTO!$A$2:$C$4999,3,FALSE),"")</f>
        <v>PREF. MUNICIPAL DE ARACATI - DESENVOLVIMENTO SOCIAL - 021-2022</v>
      </c>
      <c r="D136" s="51">
        <v>45029.0</v>
      </c>
      <c r="E136" s="6">
        <v>12.0</v>
      </c>
      <c r="F136" s="6">
        <v>60.0</v>
      </c>
      <c r="G136" s="52">
        <v>45395.0</v>
      </c>
      <c r="H136" s="52">
        <v>46490.0</v>
      </c>
      <c r="I136" s="49">
        <v>199380.96</v>
      </c>
      <c r="J136" s="56"/>
    </row>
    <row r="137">
      <c r="A137" s="6">
        <v>136.0</v>
      </c>
      <c r="B137" s="50" t="str">
        <f>IFERROR(VLOOKUP($A137,EVENTO!$A$2:$C$4999,2,FALSE),"")</f>
        <v>ADITIVO DE PRAZO</v>
      </c>
      <c r="C137" s="50" t="str">
        <f>IFERROR(VLOOKUP($A137,EVENTO!$A$2:$C$4999,3,FALSE),"")</f>
        <v>PREF. MUNICIPAL DE ARACATI - DESENVOLVIMENTO SOCIAL - 021-2022</v>
      </c>
      <c r="D137" s="51">
        <v>45396.0</v>
      </c>
      <c r="E137" s="6">
        <v>9.0</v>
      </c>
      <c r="F137" s="6">
        <v>60.0</v>
      </c>
      <c r="G137" s="53">
        <v>45657.0</v>
      </c>
      <c r="H137" s="52">
        <v>46490.0</v>
      </c>
      <c r="I137" s="49">
        <v>141993.0</v>
      </c>
      <c r="J137" s="56"/>
    </row>
    <row r="138">
      <c r="A138" s="6">
        <v>137.0</v>
      </c>
      <c r="B138" s="50" t="str">
        <f>IFERROR(VLOOKUP($A138,EVENTO!$A$2:$C$4999,2,FALSE),"")</f>
        <v>ADITIVO DE PRAZO</v>
      </c>
      <c r="C138" s="50" t="str">
        <f>IFERROR(VLOOKUP($A138,EVENTO!$A$2:$C$4999,3,FALSE),"")</f>
        <v>PREF. MUNICIPAL DE ARACATI - DESENVOLVIMENTO SOCIAL - 021-2022</v>
      </c>
      <c r="D138" s="51">
        <v>45658.0</v>
      </c>
      <c r="E138" s="6">
        <v>6.0</v>
      </c>
      <c r="F138" s="6">
        <v>60.0</v>
      </c>
      <c r="G138" s="52">
        <v>45838.0</v>
      </c>
      <c r="H138" s="52">
        <v>46490.0</v>
      </c>
      <c r="I138" s="49">
        <v>94662.0</v>
      </c>
      <c r="J138" s="56"/>
    </row>
    <row r="139">
      <c r="A139" s="6">
        <v>142.0</v>
      </c>
      <c r="B139" s="50" t="str">
        <f>IFERROR(VLOOKUP($A139,EVENTO!$A$2:$C$4999,2,FALSE),"")</f>
        <v>ADITIVO DE QUANTIDADE</v>
      </c>
      <c r="C139" s="50" t="str">
        <f>IFERROR(VLOOKUP($A139,EVENTO!$A$2:$C$4999,3,FALSE),"")</f>
        <v>PREFEITURA MUNICIPAL DE TIANGUA - SAUDE</v>
      </c>
      <c r="D139" s="51">
        <v>45533.0</v>
      </c>
      <c r="E139" s="6">
        <v>8.0</v>
      </c>
      <c r="F139" s="6">
        <v>120.0</v>
      </c>
      <c r="G139" s="52">
        <v>45757.0</v>
      </c>
      <c r="H139" s="52">
        <v>49044.0</v>
      </c>
      <c r="I139" s="49">
        <v>1622488.95</v>
      </c>
      <c r="J139" s="56"/>
    </row>
    <row r="140">
      <c r="A140" s="6">
        <v>138.0</v>
      </c>
      <c r="B140" s="50" t="str">
        <f>IFERROR(VLOOKUP($A140,EVENTO!$A$2:$C$4999,2,FALSE),"")</f>
        <v>ADITIVO DE PRAZO</v>
      </c>
      <c r="C140" s="50" t="str">
        <f>IFERROR(VLOOKUP($A140,EVENTO!$A$2:$C$4999,3,FALSE),"")</f>
        <v>PREF. MUNICIPAL DE ARACATI - DESENVOLVIMENTO SOCIAL - 021-2022</v>
      </c>
      <c r="D140" s="51">
        <v>45839.0</v>
      </c>
      <c r="E140" s="6">
        <v>4.0</v>
      </c>
      <c r="F140" s="6">
        <v>60.0</v>
      </c>
      <c r="G140" s="53">
        <v>45961.0</v>
      </c>
      <c r="H140" s="52">
        <v>46490.0</v>
      </c>
      <c r="I140" s="49">
        <v>62772.4</v>
      </c>
      <c r="J140" s="56"/>
    </row>
    <row r="141">
      <c r="A141" s="6">
        <v>143.0</v>
      </c>
      <c r="B141" s="50" t="str">
        <f>IFERROR(VLOOKUP($A141,EVENTO!$A$2:$C$4999,2,FALSE),"")</f>
        <v>CADASTRO</v>
      </c>
      <c r="C141" s="50" t="str">
        <f>IFERROR(VLOOKUP($A141,EVENTO!$A$2:$C$4999,3,FALSE),"")</f>
        <v>PREFEITURA MUNICIPAL DE MARANGUAPE - SAFIN</v>
      </c>
      <c r="D141" s="51">
        <v>45691.0</v>
      </c>
      <c r="E141" s="6">
        <v>12.0</v>
      </c>
      <c r="F141" s="6">
        <v>120.0</v>
      </c>
      <c r="G141" s="52">
        <v>46055.0</v>
      </c>
      <c r="H141" s="52">
        <v>49342.0</v>
      </c>
      <c r="I141" s="49">
        <v>98011.68</v>
      </c>
      <c r="J141" s="56"/>
    </row>
    <row r="142">
      <c r="A142" s="6">
        <v>139.0</v>
      </c>
      <c r="B142" s="50" t="str">
        <f>IFERROR(VLOOKUP($A142,EVENTO!$A$2:$C$4999,2,FALSE),"")</f>
        <v>ADITIVO DE PRAZO</v>
      </c>
      <c r="C142" s="50" t="str">
        <f>IFERROR(VLOOKUP($A142,EVENTO!$A$2:$C$4999,3,FALSE),"")</f>
        <v>PREF. MUNICIPAL DE ARACATI - DESENVOLVIMENTO SOCIAL - 021-2022</v>
      </c>
      <c r="D142" s="51">
        <v>45962.0</v>
      </c>
      <c r="E142" s="6">
        <v>3.0</v>
      </c>
      <c r="F142" s="6">
        <v>60.0</v>
      </c>
      <c r="G142" s="52">
        <v>46053.0</v>
      </c>
      <c r="H142" s="52">
        <v>46490.0</v>
      </c>
      <c r="I142" s="49">
        <v>47079.3</v>
      </c>
      <c r="J142" s="56"/>
    </row>
    <row r="143">
      <c r="A143" s="6">
        <v>144.0</v>
      </c>
      <c r="B143" s="50" t="str">
        <f>IFERROR(VLOOKUP($A143,EVENTO!$A$2:$C$4999,2,FALSE),"")</f>
        <v>ADITIVO DE QUANTIDADE</v>
      </c>
      <c r="C143" s="50" t="str">
        <f>IFERROR(VLOOKUP($A143,EVENTO!$A$2:$C$4999,3,FALSE),"")</f>
        <v>PREFEITURA MUNICIPAL DE TIANGUA - SAUDE</v>
      </c>
      <c r="D143" s="51">
        <v>45659.0</v>
      </c>
      <c r="E143" s="6">
        <v>3.0</v>
      </c>
      <c r="F143" s="6">
        <v>120.0</v>
      </c>
      <c r="G143" s="52">
        <v>45757.0</v>
      </c>
      <c r="H143" s="52">
        <v>49044.0</v>
      </c>
      <c r="I143" s="49">
        <v>1587012.36</v>
      </c>
      <c r="J143" s="56"/>
    </row>
    <row r="144">
      <c r="A144" s="6">
        <v>145.0</v>
      </c>
      <c r="B144" s="50" t="str">
        <f>IFERROR(VLOOKUP($A144,EVENTO!$A$2:$C$4999,2,FALSE),"")</f>
        <v>ADITIVO DE PRAZO</v>
      </c>
      <c r="C144" s="50" t="str">
        <f>IFERROR(VLOOKUP($A144,EVENTO!$A$2:$C$4999,3,FALSE),"")</f>
        <v>PREFEITURA MUNICIPAL DE TIANGUA - SAUDE</v>
      </c>
      <c r="D144" s="51">
        <v>45757.0</v>
      </c>
      <c r="E144" s="6">
        <v>12.0</v>
      </c>
      <c r="F144" s="6">
        <v>120.0</v>
      </c>
      <c r="G144" s="52">
        <v>46122.0</v>
      </c>
      <c r="H144" s="52">
        <v>49044.0</v>
      </c>
      <c r="I144" s="49">
        <v>1587012.36</v>
      </c>
      <c r="J144" s="56"/>
    </row>
    <row r="145">
      <c r="A145" s="6">
        <v>146.0</v>
      </c>
      <c r="B145" s="50" t="str">
        <f>IFERROR(VLOOKUP($A145,EVENTO!$A$2:$C$4999,2,FALSE),"")</f>
        <v>CADASTRO</v>
      </c>
      <c r="C145" s="50" t="str">
        <f>IFERROR(VLOOKUP($A145,EVENTO!$A$2:$C$4999,3,FALSE),"")</f>
        <v>PREF. MUNICIPAL DE ARACATI - CONTROLADORIA</v>
      </c>
      <c r="D145" s="51">
        <v>44664.0</v>
      </c>
      <c r="E145" s="6">
        <v>12.0</v>
      </c>
      <c r="F145" s="6">
        <v>60.0</v>
      </c>
      <c r="G145" s="52">
        <v>45029.0</v>
      </c>
      <c r="H145" s="52">
        <v>46490.0</v>
      </c>
      <c r="I145" s="49">
        <v>101276.52</v>
      </c>
      <c r="J145" s="56"/>
    </row>
    <row r="146">
      <c r="A146" s="6">
        <v>152.0</v>
      </c>
      <c r="B146" s="50" t="str">
        <f>IFERROR(VLOOKUP($A146,EVENTO!$A$2:$C$4999,2,FALSE),"")</f>
        <v>CADASTRO</v>
      </c>
      <c r="C146" s="50" t="str">
        <f>IFERROR(VLOOKUP($A146,EVENTO!$A$2:$C$4999,3,FALSE),"")</f>
        <v>PREFEITURA MUNICIPAL DE ITAREMA - SAUDE</v>
      </c>
      <c r="D146" s="51">
        <v>45883.0</v>
      </c>
      <c r="E146" s="6">
        <v>12.0</v>
      </c>
      <c r="F146" s="6">
        <v>120.0</v>
      </c>
      <c r="G146" s="52">
        <v>46247.0</v>
      </c>
      <c r="H146" s="52">
        <v>49534.0</v>
      </c>
      <c r="I146" s="49">
        <v>430072.68</v>
      </c>
      <c r="J146" s="56"/>
    </row>
    <row r="147">
      <c r="A147" s="6">
        <v>147.0</v>
      </c>
      <c r="B147" s="50" t="str">
        <f>IFERROR(VLOOKUP($A147,EVENTO!$A$2:$C$4999,2,FALSE),"")</f>
        <v>ADITIVO DE PRAZO</v>
      </c>
      <c r="C147" s="50" t="str">
        <f>IFERROR(VLOOKUP($A147,EVENTO!$A$2:$C$4999,3,FALSE),"")</f>
        <v>PREF. MUNICIPAL DE ARACATI - CONTROLADORIA</v>
      </c>
      <c r="D147" s="51">
        <v>45029.0</v>
      </c>
      <c r="E147" s="6">
        <v>12.0</v>
      </c>
      <c r="F147" s="6">
        <v>60.0</v>
      </c>
      <c r="G147" s="52">
        <v>45395.0</v>
      </c>
      <c r="H147" s="52">
        <v>46490.0</v>
      </c>
      <c r="I147" s="49">
        <v>101276.52</v>
      </c>
      <c r="J147" s="56"/>
    </row>
    <row r="148">
      <c r="A148" s="6">
        <v>153.0</v>
      </c>
      <c r="B148" s="50" t="str">
        <f>IFERROR(VLOOKUP($A148,EVENTO!$A$2:$C$4999,2,FALSE),"")</f>
        <v>CADASTRO</v>
      </c>
      <c r="C148" s="50" t="str">
        <f>IFERROR(VLOOKUP($A148,EVENTO!$A$2:$C$4999,3,FALSE),"")</f>
        <v>PREFEITURA MUNICIPAL DE ACOPIARA - PROCURADORIA</v>
      </c>
      <c r="D148" s="51">
        <v>45296.0</v>
      </c>
      <c r="E148" s="6">
        <v>12.0</v>
      </c>
      <c r="F148" s="6">
        <v>60.0</v>
      </c>
      <c r="G148" s="52">
        <v>45662.0</v>
      </c>
      <c r="H148" s="52">
        <v>47123.0</v>
      </c>
      <c r="I148" s="49">
        <v>79656.0</v>
      </c>
      <c r="J148" s="56"/>
    </row>
    <row r="149">
      <c r="A149" s="6">
        <v>148.0</v>
      </c>
      <c r="B149" s="50" t="str">
        <f>IFERROR(VLOOKUP($A149,EVENTO!$A$2:$C$4999,2,FALSE),"")</f>
        <v>ADITIVO DE PRAZO</v>
      </c>
      <c r="C149" s="50" t="str">
        <f>IFERROR(VLOOKUP($A149,EVENTO!$A$2:$C$4999,3,FALSE),"")</f>
        <v>PREF. MUNICIPAL DE ARACATI - CONTROLADORIA</v>
      </c>
      <c r="D149" s="51">
        <v>45396.0</v>
      </c>
      <c r="E149" s="6">
        <v>9.0</v>
      </c>
      <c r="F149" s="6">
        <v>60.0</v>
      </c>
      <c r="G149" s="53">
        <v>45657.0</v>
      </c>
      <c r="H149" s="52">
        <v>46490.0</v>
      </c>
      <c r="I149" s="49">
        <v>75957.39</v>
      </c>
      <c r="J149" s="56"/>
    </row>
    <row r="150">
      <c r="A150" s="6">
        <v>154.0</v>
      </c>
      <c r="B150" s="50" t="str">
        <f>IFERROR(VLOOKUP($A150,EVENTO!$A$2:$C$4999,2,FALSE),"")</f>
        <v>ADITIVO DE PRAZO</v>
      </c>
      <c r="C150" s="50" t="str">
        <f>IFERROR(VLOOKUP($A150,EVENTO!$A$2:$C$4999,3,FALSE),"")</f>
        <v>PREFEITURA MUNICIPAL DE ACOPIARA - PROCURADORIA</v>
      </c>
      <c r="D150" s="51">
        <v>45662.0</v>
      </c>
      <c r="E150" s="6">
        <v>3.0</v>
      </c>
      <c r="F150" s="6">
        <v>60.0</v>
      </c>
      <c r="G150" s="52">
        <v>45752.0</v>
      </c>
      <c r="H150" s="52">
        <v>47123.0</v>
      </c>
      <c r="I150" s="49">
        <v>79656.0</v>
      </c>
      <c r="J150" s="56"/>
    </row>
    <row r="151">
      <c r="A151" s="6">
        <v>149.0</v>
      </c>
      <c r="B151" s="50" t="str">
        <f>IFERROR(VLOOKUP($A151,EVENTO!$A$2:$C$4999,2,FALSE),"")</f>
        <v>ADITIVO DE PRAZO</v>
      </c>
      <c r="C151" s="50" t="str">
        <f>IFERROR(VLOOKUP($A151,EVENTO!$A$2:$C$4999,3,FALSE),"")</f>
        <v>PREF. MUNICIPAL DE ARACATI - CONTROLADORIA</v>
      </c>
      <c r="D151" s="51">
        <v>45658.0</v>
      </c>
      <c r="E151" s="6">
        <v>6.0</v>
      </c>
      <c r="F151" s="6">
        <v>60.0</v>
      </c>
      <c r="G151" s="52">
        <v>45838.0</v>
      </c>
      <c r="H151" s="52">
        <v>46490.0</v>
      </c>
      <c r="I151" s="49">
        <v>50638.26</v>
      </c>
      <c r="J151" s="56"/>
    </row>
    <row r="152">
      <c r="A152" s="6">
        <v>155.0</v>
      </c>
      <c r="B152" s="50" t="str">
        <f>IFERROR(VLOOKUP($A152,EVENTO!$A$2:$C$4999,2,FALSE),"")</f>
        <v>ADITIVO DE PRAZO</v>
      </c>
      <c r="C152" s="50" t="str">
        <f>IFERROR(VLOOKUP($A152,EVENTO!$A$2:$C$4999,3,FALSE),"")</f>
        <v>PREFEITURA MUNICIPAL DE ACOPIARA - PROCURADORIA</v>
      </c>
      <c r="D152" s="51">
        <v>45752.0</v>
      </c>
      <c r="E152" s="6">
        <v>9.0</v>
      </c>
      <c r="F152" s="6">
        <v>60.0</v>
      </c>
      <c r="G152" s="52">
        <v>46027.0</v>
      </c>
      <c r="H152" s="52">
        <v>47123.0</v>
      </c>
      <c r="I152" s="49">
        <v>79656.0</v>
      </c>
      <c r="J152" s="56"/>
    </row>
    <row r="153">
      <c r="A153" s="6">
        <v>150.0</v>
      </c>
      <c r="B153" s="50" t="str">
        <f>IFERROR(VLOOKUP($A153,EVENTO!$A$2:$C$4999,2,FALSE),"")</f>
        <v>ADITIVO DE PRAZO</v>
      </c>
      <c r="C153" s="50" t="str">
        <f>IFERROR(VLOOKUP($A153,EVENTO!$A$2:$C$4999,3,FALSE),"")</f>
        <v>PREF. MUNICIPAL DE ARACATI - CONTROLADORIA</v>
      </c>
      <c r="D153" s="51">
        <v>45839.0</v>
      </c>
      <c r="E153" s="6">
        <v>4.0</v>
      </c>
      <c r="F153" s="6">
        <v>60.0</v>
      </c>
      <c r="G153" s="53">
        <v>45961.0</v>
      </c>
      <c r="H153" s="52">
        <v>46490.0</v>
      </c>
      <c r="I153" s="49">
        <v>33758.84</v>
      </c>
      <c r="J153" s="56"/>
    </row>
    <row r="154">
      <c r="A154" s="6">
        <v>151.0</v>
      </c>
      <c r="B154" s="50" t="str">
        <f>IFERROR(VLOOKUP($A154,EVENTO!$A$2:$C$4999,2,FALSE),"")</f>
        <v>ADITIVO DE PRAZO</v>
      </c>
      <c r="C154" s="50" t="str">
        <f>IFERROR(VLOOKUP($A154,EVENTO!$A$2:$C$4999,3,FALSE),"")</f>
        <v>PREF. MUNICIPAL DE ARACATI - CONTROLADORIA</v>
      </c>
      <c r="D154" s="51">
        <v>45962.0</v>
      </c>
      <c r="E154" s="6">
        <v>3.0</v>
      </c>
      <c r="F154" s="6">
        <v>60.0</v>
      </c>
      <c r="G154" s="52">
        <v>46053.0</v>
      </c>
      <c r="H154" s="52">
        <v>46490.0</v>
      </c>
      <c r="I154" s="49">
        <v>25319.13</v>
      </c>
      <c r="J154" s="56"/>
    </row>
    <row r="155">
      <c r="A155" s="6">
        <v>156.0</v>
      </c>
      <c r="B155" s="50" t="str">
        <f>IFERROR(VLOOKUP($A155,EVENTO!$A$2:$C$4999,2,FALSE),"")</f>
        <v>CADASTRO</v>
      </c>
      <c r="C155" s="50" t="str">
        <f>IFERROR(VLOOKUP($A155,EVENTO!$A$2:$C$4999,3,FALSE),"")</f>
        <v>PREFEITURA MUNICIPAL DE MARANGUAPE - SEJUV</v>
      </c>
      <c r="D155" s="51">
        <v>45719.0</v>
      </c>
      <c r="E155" s="6">
        <v>12.0</v>
      </c>
      <c r="F155" s="6">
        <v>120.0</v>
      </c>
      <c r="G155" s="52">
        <v>46083.0</v>
      </c>
      <c r="H155" s="52">
        <v>49370.0</v>
      </c>
      <c r="I155" s="49">
        <v>8572.32</v>
      </c>
      <c r="J155" s="56"/>
    </row>
    <row r="156">
      <c r="A156" s="6">
        <v>157.0</v>
      </c>
      <c r="B156" s="50" t="str">
        <f>IFERROR(VLOOKUP($A156,EVENTO!$A$2:$C$4999,2,FALSE),"")</f>
        <v>CADASTRO</v>
      </c>
      <c r="C156" s="50" t="str">
        <f>IFERROR(VLOOKUP($A156,EVENTO!$A$2:$C$4999,3,FALSE),"")</f>
        <v>PREFEITURA MUNICIPAL DE MARANGUAPE - TRAB ASSIST SOCIAL - 07.25.03.03.001</v>
      </c>
      <c r="D156" s="51">
        <v>45719.0</v>
      </c>
      <c r="E156" s="6">
        <v>12.0</v>
      </c>
      <c r="F156" s="6">
        <v>120.0</v>
      </c>
      <c r="G156" s="52">
        <v>46083.0</v>
      </c>
      <c r="H156" s="52">
        <v>49370.0</v>
      </c>
      <c r="I156" s="49">
        <v>47160.96</v>
      </c>
      <c r="J156" s="56"/>
    </row>
    <row r="157">
      <c r="A157" s="6">
        <v>158.0</v>
      </c>
      <c r="B157" s="50" t="str">
        <f>IFERROR(VLOOKUP($A157,EVENTO!$A$2:$C$4999,2,FALSE),"")</f>
        <v>CADASTRO</v>
      </c>
      <c r="C157" s="50" t="str">
        <f>IFERROR(VLOOKUP($A157,EVENTO!$A$2:$C$4999,3,FALSE),"")</f>
        <v>PREFEITURA MUNICIPAL DE MARANGUAPE - TRAB ASSIST SOCIAL - 07.25.04.02.001</v>
      </c>
      <c r="D157" s="51">
        <v>45749.0</v>
      </c>
      <c r="E157" s="6">
        <v>12.0</v>
      </c>
      <c r="F157" s="6">
        <v>120.0</v>
      </c>
      <c r="G157" s="52">
        <v>46113.0</v>
      </c>
      <c r="H157" s="52">
        <v>49400.0</v>
      </c>
      <c r="I157" s="49">
        <v>6758.4</v>
      </c>
      <c r="J157" s="56"/>
    </row>
    <row r="158">
      <c r="A158" s="6">
        <v>159.0</v>
      </c>
      <c r="B158" s="50" t="str">
        <f>IFERROR(VLOOKUP($A158,EVENTO!$A$2:$C$4999,2,FALSE),"")</f>
        <v>CADASTRO</v>
      </c>
      <c r="C158" s="50" t="str">
        <f>IFERROR(VLOOKUP($A158,EVENTO!$A$2:$C$4999,3,FALSE),"")</f>
        <v>PREFEITURA MUNICIPAL DE ACOPIARA - SAÚDE</v>
      </c>
      <c r="D158" s="51">
        <v>45296.0</v>
      </c>
      <c r="E158" s="6">
        <v>12.0</v>
      </c>
      <c r="F158" s="6">
        <v>60.0</v>
      </c>
      <c r="G158" s="52">
        <v>45662.0</v>
      </c>
      <c r="H158" s="52">
        <v>47123.0</v>
      </c>
      <c r="I158" s="49">
        <v>448199.4</v>
      </c>
      <c r="J158" s="56"/>
    </row>
    <row r="159">
      <c r="A159" s="6">
        <v>160.0</v>
      </c>
      <c r="B159" s="50" t="str">
        <f>IFERROR(VLOOKUP($A159,EVENTO!$A$2:$C$4999,2,FALSE),"")</f>
        <v>ADITIVO DE PRAZO</v>
      </c>
      <c r="C159" s="50" t="str">
        <f>IFERROR(VLOOKUP($A159,EVENTO!$A$2:$C$4999,3,FALSE),"")</f>
        <v>PREFEITURA MUNICIPAL DE ACOPIARA - SAÚDE</v>
      </c>
      <c r="D159" s="51">
        <v>45662.0</v>
      </c>
      <c r="E159" s="6">
        <v>3.0</v>
      </c>
      <c r="F159" s="6">
        <v>60.0</v>
      </c>
      <c r="G159" s="52">
        <v>45752.0</v>
      </c>
      <c r="H159" s="52">
        <v>47123.0</v>
      </c>
      <c r="I159" s="49">
        <v>448199.4</v>
      </c>
      <c r="J159" s="56"/>
    </row>
    <row r="160">
      <c r="A160" s="6">
        <v>161.0</v>
      </c>
      <c r="B160" s="50" t="str">
        <f>IFERROR(VLOOKUP($A160,EVENTO!$A$2:$C$4999,2,FALSE),"")</f>
        <v>ADITIVO DE PRAZO</v>
      </c>
      <c r="C160" s="50" t="str">
        <f>IFERROR(VLOOKUP($A160,EVENTO!$A$2:$C$4999,3,FALSE),"")</f>
        <v>PREFEITURA MUNICIPAL DE ACOPIARA - SAÚDE</v>
      </c>
      <c r="D160" s="51">
        <v>45752.0</v>
      </c>
      <c r="E160" s="6">
        <v>9.0</v>
      </c>
      <c r="F160" s="6">
        <v>60.0</v>
      </c>
      <c r="G160" s="52">
        <v>46027.0</v>
      </c>
      <c r="H160" s="52">
        <v>47123.0</v>
      </c>
      <c r="I160" s="49">
        <v>448199.4</v>
      </c>
      <c r="J160" s="56"/>
    </row>
    <row r="161">
      <c r="A161" s="6">
        <v>162.0</v>
      </c>
      <c r="B161" s="50" t="str">
        <f>IFERROR(VLOOKUP($A161,EVENTO!$A$2:$C$4999,2,FALSE),"")</f>
        <v>CADASTRO</v>
      </c>
      <c r="C161" s="50" t="str">
        <f>IFERROR(VLOOKUP($A161,EVENTO!$A$2:$C$4999,3,FALSE),"")</f>
        <v>PREFEITURA MUNICIPAL DE ACOPIARA - TRANSPORTE E LOGISTICA</v>
      </c>
      <c r="D161" s="51">
        <v>45296.0</v>
      </c>
      <c r="E161" s="6">
        <v>12.0</v>
      </c>
      <c r="F161" s="6">
        <v>60.0</v>
      </c>
      <c r="G161" s="52">
        <v>45662.0</v>
      </c>
      <c r="H161" s="52">
        <v>47123.0</v>
      </c>
      <c r="I161" s="49">
        <v>16517.76</v>
      </c>
      <c r="J161" s="56"/>
    </row>
    <row r="162">
      <c r="A162" s="6">
        <v>163.0</v>
      </c>
      <c r="B162" s="50" t="str">
        <f>IFERROR(VLOOKUP($A162,EVENTO!$A$2:$C$4999,2,FALSE),"")</f>
        <v>ADITIVO DE PRAZO</v>
      </c>
      <c r="C162" s="50" t="str">
        <f>IFERROR(VLOOKUP($A162,EVENTO!$A$2:$C$4999,3,FALSE),"")</f>
        <v>PREFEITURA MUNICIPAL DE ACOPIARA - TRANSPORTE E LOGISTICA</v>
      </c>
      <c r="D162" s="51">
        <v>45662.0</v>
      </c>
      <c r="E162" s="6">
        <v>3.0</v>
      </c>
      <c r="F162" s="6">
        <v>60.0</v>
      </c>
      <c r="G162" s="52">
        <v>45752.0</v>
      </c>
      <c r="H162" s="52">
        <v>47123.0</v>
      </c>
      <c r="I162" s="49">
        <v>16517.76</v>
      </c>
    </row>
    <row r="163">
      <c r="A163" s="6">
        <v>164.0</v>
      </c>
      <c r="B163" s="50" t="str">
        <f>IFERROR(VLOOKUP($A163,EVENTO!$A$2:$C$4999,2,FALSE),"")</f>
        <v>ADITIVO DE PRAZO</v>
      </c>
      <c r="C163" s="50" t="str">
        <f>IFERROR(VLOOKUP($A163,EVENTO!$A$2:$C$4999,3,FALSE),"")</f>
        <v>PREFEITURA MUNICIPAL DE ACOPIARA - TRANSPORTE E LOGISTICA</v>
      </c>
      <c r="D163" s="51">
        <v>45752.0</v>
      </c>
      <c r="E163" s="6">
        <v>9.0</v>
      </c>
      <c r="F163" s="6">
        <v>60.0</v>
      </c>
      <c r="G163" s="52">
        <v>46027.0</v>
      </c>
      <c r="H163" s="52">
        <v>47123.0</v>
      </c>
      <c r="I163" s="49">
        <v>16517.76</v>
      </c>
    </row>
    <row r="164">
      <c r="A164" s="6">
        <v>165.0</v>
      </c>
      <c r="B164" s="50" t="str">
        <f>IFERROR(VLOOKUP($A164,EVENTO!$A$2:$C$4999,2,FALSE),"")</f>
        <v>CADASTRO</v>
      </c>
      <c r="C164" s="50" t="str">
        <f>IFERROR(VLOOKUP($A164,EVENTO!$A$2:$C$4999,3,FALSE),"")</f>
        <v>PREFEITURA MUNICIPAL DE ACOPIARA - TRABALHO E DESENVOLVIMENTO SOCIAL</v>
      </c>
      <c r="D164" s="51">
        <v>45296.0</v>
      </c>
      <c r="E164" s="6">
        <v>12.0</v>
      </c>
      <c r="F164" s="6">
        <v>60.0</v>
      </c>
      <c r="G164" s="52">
        <v>45662.0</v>
      </c>
      <c r="H164" s="52">
        <v>47123.0</v>
      </c>
      <c r="I164" s="49">
        <v>131242.32</v>
      </c>
    </row>
    <row r="165">
      <c r="A165" s="6">
        <v>166.0</v>
      </c>
      <c r="B165" s="50" t="str">
        <f>IFERROR(VLOOKUP($A165,EVENTO!$A$2:$C$4999,2,FALSE),"")</f>
        <v>ADITIVO DE PRAZO</v>
      </c>
      <c r="C165" s="50" t="str">
        <f>IFERROR(VLOOKUP($A165,EVENTO!$A$2:$C$4999,3,FALSE),"")</f>
        <v>PREFEITURA MUNICIPAL DE ACOPIARA - TRABALHO E DESENVOLVIMENTO SOCIAL</v>
      </c>
      <c r="D165" s="51">
        <v>45662.0</v>
      </c>
      <c r="E165" s="6">
        <v>3.0</v>
      </c>
      <c r="F165" s="6">
        <v>60.0</v>
      </c>
      <c r="G165" s="52">
        <v>45752.0</v>
      </c>
      <c r="H165" s="52">
        <v>47123.0</v>
      </c>
      <c r="I165" s="49">
        <v>131242.32</v>
      </c>
    </row>
    <row r="166">
      <c r="A166" s="6">
        <v>167.0</v>
      </c>
      <c r="B166" s="50" t="str">
        <f>IFERROR(VLOOKUP($A166,EVENTO!$A$2:$C$4999,2,FALSE),"")</f>
        <v>ADITIVO DE PRAZO</v>
      </c>
      <c r="C166" s="50" t="str">
        <f>IFERROR(VLOOKUP($A166,EVENTO!$A$2:$C$4999,3,FALSE),"")</f>
        <v>PREFEITURA MUNICIPAL DE ACOPIARA - TRABALHO E DESENVOLVIMENTO SOCIAL</v>
      </c>
      <c r="D166" s="51">
        <v>45752.0</v>
      </c>
      <c r="E166" s="6">
        <v>9.0</v>
      </c>
      <c r="F166" s="6">
        <v>60.0</v>
      </c>
      <c r="G166" s="52">
        <v>46027.0</v>
      </c>
      <c r="H166" s="52">
        <v>47123.0</v>
      </c>
      <c r="I166" s="49">
        <v>131242.32</v>
      </c>
    </row>
    <row r="167">
      <c r="A167" s="6">
        <v>168.0</v>
      </c>
      <c r="B167" s="50" t="str">
        <f>IFERROR(VLOOKUP($A167,EVENTO!$A$2:$C$4999,2,FALSE),"")</f>
        <v>CADASTRO</v>
      </c>
      <c r="C167" s="50" t="str">
        <f>IFERROR(VLOOKUP($A167,EVENTO!$A$2:$C$4999,3,FALSE),"")</f>
        <v>PREFEITURA MUNICIPAL DE ACOPIARA - TRABALHO E DESENVOLVIMENTO SOCIAL - PROGRAMAS</v>
      </c>
      <c r="D167" s="51">
        <v>45296.0</v>
      </c>
      <c r="E167" s="6">
        <v>12.0</v>
      </c>
      <c r="F167" s="6">
        <v>60.0</v>
      </c>
      <c r="G167" s="52">
        <v>45662.0</v>
      </c>
      <c r="H167" s="52">
        <v>47123.0</v>
      </c>
      <c r="I167" s="49">
        <v>123383.76</v>
      </c>
    </row>
    <row r="168">
      <c r="A168" s="6">
        <v>169.0</v>
      </c>
      <c r="B168" s="50" t="str">
        <f>IFERROR(VLOOKUP($A168,EVENTO!$A$2:$C$4999,2,FALSE),"")</f>
        <v>ADITIVO DE PRAZO</v>
      </c>
      <c r="C168" s="50" t="str">
        <f>IFERROR(VLOOKUP($A168,EVENTO!$A$2:$C$4999,3,FALSE),"")</f>
        <v>PREFEITURA MUNICIPAL DE ACOPIARA - TRABALHO E DESENVOLVIMENTO SOCIAL - PROGRAMAS</v>
      </c>
      <c r="D168" s="51">
        <v>45662.0</v>
      </c>
      <c r="E168" s="6">
        <v>3.0</v>
      </c>
      <c r="F168" s="6">
        <v>60.0</v>
      </c>
      <c r="G168" s="52">
        <v>45752.0</v>
      </c>
      <c r="H168" s="52">
        <v>47123.0</v>
      </c>
      <c r="I168" s="49">
        <v>123383.76</v>
      </c>
    </row>
    <row r="169">
      <c r="A169" s="6">
        <v>170.0</v>
      </c>
      <c r="B169" s="50" t="str">
        <f>IFERROR(VLOOKUP($A169,EVENTO!$A$2:$C$4999,2,FALSE),"")</f>
        <v>ADITIVO DE PRAZO</v>
      </c>
      <c r="C169" s="50" t="str">
        <f>IFERROR(VLOOKUP($A169,EVENTO!$A$2:$C$4999,3,FALSE),"")</f>
        <v>PREFEITURA MUNICIPAL DE ACOPIARA - TRABALHO E DESENVOLVIMENTO SOCIAL - PROGRAMAS</v>
      </c>
      <c r="D169" s="51">
        <v>45752.0</v>
      </c>
      <c r="E169" s="6">
        <v>9.0</v>
      </c>
      <c r="F169" s="6">
        <v>60.0</v>
      </c>
      <c r="G169" s="52">
        <v>46027.0</v>
      </c>
      <c r="H169" s="52">
        <v>47123.0</v>
      </c>
      <c r="I169" s="49">
        <v>123383.76</v>
      </c>
    </row>
    <row r="170">
      <c r="A170" s="6">
        <v>171.0</v>
      </c>
      <c r="B170" s="50" t="str">
        <f>IFERROR(VLOOKUP($A170,EVENTO!$A$2:$C$4999,2,FALSE),"")</f>
        <v>CADASTRO</v>
      </c>
      <c r="C170" s="50" t="str">
        <f>IFERROR(VLOOKUP($A170,EVENTO!$A$2:$C$4999,3,FALSE),"")</f>
        <v>SECRETARIA DO TRABALHO DO ESTADO DO CEARÁ - SET</v>
      </c>
      <c r="D170" s="51">
        <v>45840.0</v>
      </c>
      <c r="E170" s="6">
        <v>12.0</v>
      </c>
      <c r="F170" s="6">
        <v>120.0</v>
      </c>
      <c r="G170" s="52">
        <v>46204.0</v>
      </c>
      <c r="H170" s="52">
        <v>49491.0</v>
      </c>
      <c r="I170" s="49">
        <v>64260.0</v>
      </c>
    </row>
    <row r="171">
      <c r="A171" s="6">
        <v>172.0</v>
      </c>
      <c r="B171" s="50" t="str">
        <f>IFERROR(VLOOKUP($A171,EVENTO!$A$2:$C$4999,2,FALSE),"")</f>
        <v>CADASTRO</v>
      </c>
      <c r="C171" s="50" t="str">
        <f>IFERROR(VLOOKUP($A171,EVENTO!$A$2:$C$4999,3,FALSE),"")</f>
        <v>PREFEITURA MUNICIPAL DE PALMACIA - FUNDO MUNICIPAL DE ASSISTENCIA SOCIAL</v>
      </c>
      <c r="D171" s="51">
        <v>45882.0</v>
      </c>
      <c r="E171" s="6">
        <v>12.0</v>
      </c>
      <c r="F171" s="6">
        <v>120.0</v>
      </c>
      <c r="G171" s="52">
        <v>46246.0</v>
      </c>
      <c r="H171" s="52">
        <v>49533.0</v>
      </c>
      <c r="I171" s="49">
        <v>102480.0</v>
      </c>
    </row>
    <row r="172">
      <c r="A172" s="6">
        <v>173.0</v>
      </c>
      <c r="B172" s="50" t="str">
        <f>IFERROR(VLOOKUP($A172,EVENTO!$A$2:$C$4999,2,FALSE),"")</f>
        <v>CADASTRO</v>
      </c>
      <c r="C172" s="50" t="str">
        <f>IFERROR(VLOOKUP($A172,EVENTO!$A$2:$C$4999,3,FALSE),"")</f>
        <v>PREFEITURA MUNICIPAL DE PALMACIA - EDUCAÇÃO</v>
      </c>
      <c r="D172" s="51">
        <v>45882.0</v>
      </c>
      <c r="E172" s="6">
        <v>12.0</v>
      </c>
      <c r="F172" s="6">
        <v>120.0</v>
      </c>
      <c r="G172" s="52">
        <v>46246.0</v>
      </c>
      <c r="H172" s="52">
        <v>49533.0</v>
      </c>
      <c r="I172" s="49">
        <v>139764.0</v>
      </c>
    </row>
    <row r="173">
      <c r="A173" s="6">
        <v>174.0</v>
      </c>
      <c r="B173" s="50" t="str">
        <f>IFERROR(VLOOKUP($A173,EVENTO!$A$2:$C$4999,2,FALSE),"")</f>
        <v>CADASTRO</v>
      </c>
      <c r="C173" s="50" t="str">
        <f>IFERROR(VLOOKUP($A173,EVENTO!$A$2:$C$4999,3,FALSE),"")</f>
        <v>PREFEITURA MUNICIPAL DE PALMACIA - FUNDO MUNICIPAL DE PREVIDÊNCIA</v>
      </c>
      <c r="D173" s="51">
        <v>45882.0</v>
      </c>
      <c r="E173" s="6">
        <v>12.0</v>
      </c>
      <c r="F173" s="6">
        <v>120.0</v>
      </c>
      <c r="G173" s="52">
        <v>46246.0</v>
      </c>
      <c r="H173" s="52">
        <v>49533.0</v>
      </c>
      <c r="I173" s="49">
        <v>2484.0</v>
      </c>
    </row>
    <row r="174">
      <c r="A174" s="6">
        <v>175.0</v>
      </c>
      <c r="B174" s="50" t="str">
        <f>IFERROR(VLOOKUP($A174,EVENTO!$A$2:$C$4999,2,FALSE),"")</f>
        <v>CADASTRO</v>
      </c>
      <c r="C174" s="50" t="str">
        <f>IFERROR(VLOOKUP($A174,EVENTO!$A$2:$C$4999,3,FALSE),"")</f>
        <v>PREFEITURA MUNICIPAL DE PALMACIA - ADMINISTRAÇÃO</v>
      </c>
      <c r="D174" s="51">
        <v>45882.0</v>
      </c>
      <c r="E174" s="6">
        <v>12.0</v>
      </c>
      <c r="F174" s="6">
        <v>120.0</v>
      </c>
      <c r="G174" s="52">
        <v>46246.0</v>
      </c>
      <c r="H174" s="52">
        <v>49533.0</v>
      </c>
      <c r="I174" s="49">
        <v>34428.0</v>
      </c>
    </row>
    <row r="175">
      <c r="A175" s="6">
        <v>176.0</v>
      </c>
      <c r="B175" s="50" t="str">
        <f>IFERROR(VLOOKUP($A175,EVENTO!$A$2:$C$4999,2,FALSE),"")</f>
        <v>CADASTRO</v>
      </c>
      <c r="C175" s="50" t="str">
        <f>IFERROR(VLOOKUP($A175,EVENTO!$A$2:$C$4999,3,FALSE),"")</f>
        <v>PREFEITURA MUNICIPAL DE PALMACIA - AGRICULTURA E ABASTECIMENTO</v>
      </c>
      <c r="D175" s="51">
        <v>45882.0</v>
      </c>
      <c r="E175" s="6">
        <v>12.0</v>
      </c>
      <c r="F175" s="6">
        <v>120.0</v>
      </c>
      <c r="G175" s="52">
        <v>46246.0</v>
      </c>
      <c r="H175" s="52">
        <v>49533.0</v>
      </c>
      <c r="I175" s="49">
        <v>8880.0</v>
      </c>
    </row>
    <row r="176">
      <c r="A176" s="6">
        <v>177.0</v>
      </c>
      <c r="B176" s="50" t="str">
        <f>IFERROR(VLOOKUP($A176,EVENTO!$A$2:$C$4999,2,FALSE),"")</f>
        <v>CADASTRO</v>
      </c>
      <c r="C176" s="50" t="str">
        <f>IFERROR(VLOOKUP($A176,EVENTO!$A$2:$C$4999,3,FALSE),"")</f>
        <v>PREFEITURA MUNICIPAL DE PALMACIA - CULTURA</v>
      </c>
      <c r="D176" s="51">
        <v>45882.0</v>
      </c>
      <c r="E176" s="6">
        <v>12.0</v>
      </c>
      <c r="F176" s="6">
        <v>120.0</v>
      </c>
      <c r="G176" s="52">
        <v>46246.0</v>
      </c>
      <c r="H176" s="52">
        <v>49533.0</v>
      </c>
      <c r="I176" s="49">
        <v>12444.0</v>
      </c>
    </row>
    <row r="177">
      <c r="A177" s="6">
        <v>178.0</v>
      </c>
      <c r="B177" s="50" t="str">
        <f>IFERROR(VLOOKUP($A177,EVENTO!$A$2:$C$4999,2,FALSE),"")</f>
        <v>CADASTRO</v>
      </c>
      <c r="C177" s="50" t="str">
        <f>IFERROR(VLOOKUP($A177,EVENTO!$A$2:$C$4999,3,FALSE),"")</f>
        <v>PREFEITURA MUNICIPAL DE PALMACIA - FINANÇAS</v>
      </c>
      <c r="D177" s="51">
        <v>45882.0</v>
      </c>
      <c r="E177" s="6">
        <v>12.0</v>
      </c>
      <c r="F177" s="6">
        <v>120.0</v>
      </c>
      <c r="G177" s="52">
        <v>46246.0</v>
      </c>
      <c r="H177" s="52">
        <v>49533.0</v>
      </c>
      <c r="I177" s="49">
        <v>34476.0</v>
      </c>
    </row>
    <row r="178">
      <c r="A178" s="6">
        <v>179.0</v>
      </c>
      <c r="B178" s="50" t="str">
        <f>IFERROR(VLOOKUP($A178,EVENTO!$A$2:$C$4999,2,FALSE),"")</f>
        <v>CADASTRO</v>
      </c>
      <c r="C178" s="50" t="str">
        <f>IFERROR(VLOOKUP($A178,EVENTO!$A$2:$C$4999,3,FALSE),"")</f>
        <v>PREFEITURA MUNICIPAL DE PALMACIA - OBRAS E MEIO AMBIENTE</v>
      </c>
      <c r="D178" s="51">
        <v>45882.0</v>
      </c>
      <c r="E178" s="6">
        <v>12.0</v>
      </c>
      <c r="F178" s="6">
        <v>120.0</v>
      </c>
      <c r="G178" s="52">
        <v>46246.0</v>
      </c>
      <c r="H178" s="52">
        <v>49533.0</v>
      </c>
      <c r="I178" s="49">
        <v>12444.0</v>
      </c>
    </row>
    <row r="179">
      <c r="A179" s="6">
        <v>180.0</v>
      </c>
      <c r="B179" s="50" t="str">
        <f>IFERROR(VLOOKUP($A179,EVENTO!$A$2:$C$4999,2,FALSE),"")</f>
        <v>CADASTRO</v>
      </c>
      <c r="C179" s="50" t="str">
        <f>IFERROR(VLOOKUP($A179,EVENTO!$A$2:$C$4999,3,FALSE),"")</f>
        <v>PREFEITURA MUNICIPAL DE PALMACIA - SAÚDE</v>
      </c>
      <c r="D179" s="51">
        <v>45882.0</v>
      </c>
      <c r="E179" s="6">
        <v>12.0</v>
      </c>
      <c r="F179" s="6">
        <v>120.0</v>
      </c>
      <c r="G179" s="52">
        <v>46246.0</v>
      </c>
      <c r="H179" s="52">
        <v>49533.0</v>
      </c>
      <c r="I179" s="49">
        <v>37068.0</v>
      </c>
    </row>
    <row r="180">
      <c r="A180" s="6">
        <v>181.0</v>
      </c>
      <c r="B180" s="50" t="str">
        <f>IFERROR(VLOOKUP($A180,EVENTO!$A$2:$C$4999,2,FALSE),"")</f>
        <v>CADASTRO</v>
      </c>
      <c r="C180" s="50" t="str">
        <f>IFERROR(VLOOKUP($A180,EVENTO!$A$2:$C$4999,3,FALSE),"")</f>
        <v>Hospital Municipal Dr. Augeu Braga Herbster</v>
      </c>
      <c r="D180" s="51">
        <v>45719.0</v>
      </c>
      <c r="E180" s="6">
        <v>12.0</v>
      </c>
      <c r="F180" s="6">
        <v>120.0</v>
      </c>
      <c r="G180" s="52">
        <v>45718.0</v>
      </c>
      <c r="H180" s="52">
        <v>49370.0</v>
      </c>
      <c r="I180" s="49">
        <v>22221.24</v>
      </c>
    </row>
    <row r="181">
      <c r="A181" s="11"/>
      <c r="B181" s="50" t="str">
        <f>IFERROR(VLOOKUP($A181,EVENTO!$A$2:$C$4999,2,FALSE),"")</f>
        <v/>
      </c>
      <c r="C181" s="50" t="str">
        <f>IFERROR(VLOOKUP($A181,EVENTO!$A$2:$C$4999,3,FALSE),"")</f>
        <v/>
      </c>
      <c r="D181" s="51"/>
      <c r="G181" s="52"/>
      <c r="H181" s="52"/>
      <c r="I181" s="49"/>
    </row>
    <row r="182">
      <c r="A182" s="6">
        <v>183.0</v>
      </c>
      <c r="B182" s="50" t="str">
        <f>IFERROR(VLOOKUP($A182,EVENTO!$A$2:$C$4999,2,FALSE),"")</f>
        <v>CADASTRO</v>
      </c>
      <c r="C182" s="50" t="str">
        <f>IFERROR(VLOOKUP($A182,EVENTO!$A$2:$C$4999,3,FALSE),"")</f>
        <v>PREFEITURA MUNICIPAL DE ARACATI - DESENVOLVIMENTO AGRÁRIO </v>
      </c>
      <c r="D182" s="51">
        <v>44664.0</v>
      </c>
      <c r="E182" s="6">
        <v>12.0</v>
      </c>
      <c r="F182" s="6">
        <v>60.0</v>
      </c>
      <c r="G182" s="52">
        <v>45029.0</v>
      </c>
      <c r="H182" s="52">
        <v>46490.0</v>
      </c>
      <c r="I182" s="49">
        <v>111011.28</v>
      </c>
    </row>
    <row r="183">
      <c r="A183" s="6">
        <v>189.0</v>
      </c>
      <c r="B183" s="50" t="str">
        <f>IFERROR(VLOOKUP($A183,EVENTO!$A$2:$C$4999,2,FALSE),"")</f>
        <v>CADASTRO</v>
      </c>
      <c r="C183" s="50" t="str">
        <f>IFERROR(VLOOKUP($A183,EVENTO!$A$2:$C$4999,3,FALSE),"")</f>
        <v>PREFEITURA MUNICIPAL DE MARANGUAPE - EDUCAÇÃO</v>
      </c>
      <c r="D183" s="51">
        <v>45719.0</v>
      </c>
      <c r="E183" s="6">
        <v>12.0</v>
      </c>
      <c r="F183" s="6">
        <v>120.0</v>
      </c>
      <c r="G183" s="52">
        <v>45718.0</v>
      </c>
      <c r="H183" s="52">
        <v>49370.0</v>
      </c>
      <c r="I183" s="49">
        <v>120634.8</v>
      </c>
    </row>
    <row r="184">
      <c r="A184" s="6">
        <v>190.0</v>
      </c>
      <c r="B184" s="50" t="str">
        <f>IFERROR(VLOOKUP($A184,EVENTO!$A$2:$C$4999,2,FALSE),"")</f>
        <v>CADASTRO</v>
      </c>
      <c r="C184" s="50" t="str">
        <f>IFERROR(VLOOKUP($A184,EVENTO!$A$2:$C$4999,3,FALSE),"")</f>
        <v>CÂMARA MUNICIPAL DE CAUCAIA </v>
      </c>
      <c r="D184" s="51">
        <v>44820.0</v>
      </c>
      <c r="E184" s="6">
        <v>12.0</v>
      </c>
      <c r="F184" s="6">
        <v>60.0</v>
      </c>
      <c r="G184" s="52">
        <v>45184.0</v>
      </c>
      <c r="H184" s="52">
        <v>46645.0</v>
      </c>
      <c r="I184" s="49">
        <v>137007.96</v>
      </c>
    </row>
    <row r="185">
      <c r="A185" s="6">
        <v>191.0</v>
      </c>
      <c r="B185" s="50" t="str">
        <f>IFERROR(VLOOKUP($A185,EVENTO!$A$2:$C$4999,2,FALSE),"")</f>
        <v>ADITIVO DE PRAZO</v>
      </c>
      <c r="C185" s="50" t="str">
        <f>IFERROR(VLOOKUP($A185,EVENTO!$A$2:$C$4999,3,FALSE),"")</f>
        <v>CÂMARA MUNICIPAL DE CAUCAIA </v>
      </c>
      <c r="D185" s="51">
        <v>45184.0</v>
      </c>
      <c r="E185" s="6">
        <v>12.0</v>
      </c>
      <c r="F185" s="6">
        <v>60.0</v>
      </c>
      <c r="G185" s="52">
        <v>45550.0</v>
      </c>
      <c r="H185" s="52">
        <v>46645.0</v>
      </c>
      <c r="I185" s="49">
        <v>137007.96</v>
      </c>
    </row>
    <row r="186">
      <c r="A186" s="6">
        <v>192.0</v>
      </c>
      <c r="B186" s="50" t="str">
        <f>IFERROR(VLOOKUP($A186,EVENTO!$A$2:$C$4999,2,FALSE),"")</f>
        <v>ADITIVO DE PRAZO</v>
      </c>
      <c r="C186" s="50" t="str">
        <f>IFERROR(VLOOKUP($A186,EVENTO!$A$2:$C$4999,3,FALSE),"")</f>
        <v>CÂMARA MUNICIPAL DE CAUCAIA </v>
      </c>
      <c r="D186" s="51">
        <v>45548.0</v>
      </c>
      <c r="E186" s="6">
        <v>12.0</v>
      </c>
      <c r="F186" s="6">
        <v>60.0</v>
      </c>
      <c r="G186" s="52">
        <v>45913.0</v>
      </c>
      <c r="H186" s="52">
        <v>46645.0</v>
      </c>
      <c r="I186" s="49">
        <v>137007.96</v>
      </c>
    </row>
    <row r="187">
      <c r="A187" s="6">
        <v>193.0</v>
      </c>
      <c r="B187" s="50" t="str">
        <f>IFERROR(VLOOKUP($A187,EVENTO!$A$2:$C$4999,2,FALSE),"")</f>
        <v>ADITIVO DE PRAZO</v>
      </c>
      <c r="C187" s="50" t="str">
        <f>IFERROR(VLOOKUP($A187,EVENTO!$A$2:$C$4999,3,FALSE),"")</f>
        <v>CÂMARA MUNICIPAL DE CAUCAIA </v>
      </c>
      <c r="D187" s="51">
        <v>45912.0</v>
      </c>
      <c r="E187" s="6">
        <v>12.0</v>
      </c>
      <c r="F187" s="6">
        <v>60.0</v>
      </c>
      <c r="G187" s="52">
        <v>46277.0</v>
      </c>
      <c r="H187" s="52">
        <v>46645.0</v>
      </c>
      <c r="I187" s="49">
        <v>137007.96</v>
      </c>
    </row>
    <row r="188">
      <c r="A188" s="6">
        <v>184.0</v>
      </c>
      <c r="B188" s="50" t="str">
        <f>IFERROR(VLOOKUP($A188,EVENTO!$A$2:$C$4999,2,FALSE),"")</f>
        <v>ADITIVO DE PRAZO</v>
      </c>
      <c r="C188" s="50" t="str">
        <f>IFERROR(VLOOKUP($A188,EVENTO!$A$2:$C$4999,3,FALSE),"")</f>
        <v>PREFEITURA MUNICIPAL DE ARACATI - DESENVOLVIMENTO AGRÁRIO </v>
      </c>
      <c r="D188" s="51">
        <v>45029.0</v>
      </c>
      <c r="E188" s="6">
        <v>12.0</v>
      </c>
      <c r="F188" s="6">
        <v>60.0</v>
      </c>
      <c r="G188" s="52">
        <v>45395.0</v>
      </c>
      <c r="H188" s="52">
        <v>46490.0</v>
      </c>
      <c r="I188" s="49">
        <v>111011.28</v>
      </c>
    </row>
    <row r="189">
      <c r="A189" s="6">
        <v>185.0</v>
      </c>
      <c r="B189" s="50" t="str">
        <f>IFERROR(VLOOKUP($A189,EVENTO!$A$2:$C$4999,2,FALSE),"")</f>
        <v>ADITIVO DE PRAZO</v>
      </c>
      <c r="C189" s="50" t="str">
        <f>IFERROR(VLOOKUP($A189,EVENTO!$A$2:$C$4999,3,FALSE),"")</f>
        <v>PREFEITURA MUNICIPAL DE ARACATI - DESENVOLVIMENTO AGRÁRIO </v>
      </c>
      <c r="D189" s="51">
        <v>45658.0</v>
      </c>
      <c r="E189" s="6">
        <v>6.0</v>
      </c>
      <c r="F189" s="6">
        <v>60.0</v>
      </c>
      <c r="G189" s="53">
        <v>45838.0</v>
      </c>
      <c r="H189" s="52">
        <v>46490.0</v>
      </c>
      <c r="I189" s="49">
        <v>55505.67</v>
      </c>
    </row>
    <row r="190">
      <c r="A190" s="6">
        <v>186.0</v>
      </c>
      <c r="B190" s="50" t="str">
        <f>IFERROR(VLOOKUP($A190,EVENTO!$A$2:$C$4999,2,FALSE),"")</f>
        <v>ADITIVO DE PRAZO</v>
      </c>
      <c r="C190" s="50" t="str">
        <f>IFERROR(VLOOKUP($A190,EVENTO!$A$2:$C$4999,3,FALSE),"")</f>
        <v>PREFEITURA MUNICIPAL DE ARACATI - DESENVOLVIMENTO AGRÁRIO </v>
      </c>
      <c r="D190" s="51">
        <v>45839.0</v>
      </c>
      <c r="E190" s="6">
        <v>4.0</v>
      </c>
      <c r="F190" s="6">
        <v>60.0</v>
      </c>
      <c r="G190" s="53">
        <v>45961.0</v>
      </c>
      <c r="H190" s="52">
        <v>46490.0</v>
      </c>
      <c r="I190" s="49">
        <v>37003.76</v>
      </c>
    </row>
    <row r="191">
      <c r="A191" s="6">
        <v>187.0</v>
      </c>
      <c r="B191" s="50" t="str">
        <f>IFERROR(VLOOKUP($A191,EVENTO!$A$2:$C$4999,2,FALSE),"")</f>
        <v>ADITIVO DE PRAZO</v>
      </c>
      <c r="C191" s="50" t="str">
        <f>IFERROR(VLOOKUP($A191,EVENTO!$A$2:$C$4999,3,FALSE),"")</f>
        <v>PREFEITURA MUNICIPAL DE ARACATI - DESENVOLVIMENTO AGRÁRIO </v>
      </c>
      <c r="D191" s="51">
        <v>45962.0</v>
      </c>
      <c r="E191" s="6">
        <v>3.0</v>
      </c>
      <c r="F191" s="6">
        <v>60.0</v>
      </c>
      <c r="G191" s="52">
        <v>46053.0</v>
      </c>
      <c r="H191" s="52">
        <v>46490.0</v>
      </c>
      <c r="I191" s="49">
        <v>27752.82</v>
      </c>
    </row>
    <row r="192">
      <c r="A192" s="6">
        <v>194.0</v>
      </c>
      <c r="B192" s="50" t="str">
        <f>IFERROR(VLOOKUP($A192,EVENTO!$A$2:$C$4999,2,FALSE),"")</f>
        <v>CADASTRO</v>
      </c>
      <c r="C192" s="50" t="str">
        <f>IFERROR(VLOOKUP($A192,EVENTO!$A$2:$C$4999,3,FALSE),"")</f>
        <v>PREFEITURA MUNICIPAL DE ARACATI - DESENV ECON, TRAB E RENDA</v>
      </c>
      <c r="D192" s="51">
        <v>44664.0</v>
      </c>
      <c r="E192" s="6">
        <v>12.0</v>
      </c>
      <c r="F192" s="6">
        <v>60.0</v>
      </c>
      <c r="G192" s="52">
        <v>45029.0</v>
      </c>
      <c r="H192" s="52">
        <v>46490.0</v>
      </c>
      <c r="I192" s="49">
        <v>143199.0</v>
      </c>
    </row>
    <row r="193">
      <c r="A193" s="6">
        <v>182.0</v>
      </c>
      <c r="B193" s="50" t="str">
        <f>IFERROR(VLOOKUP($A193,EVENTO!$A$2:$C$4999,2,FALSE),"")</f>
        <v>CADASTRO</v>
      </c>
      <c r="C193" s="50" t="str">
        <f>IFERROR(VLOOKUP($A193,EVENTO!$A$2:$C$4999,3,FALSE),"")</f>
        <v>PREFEITURA MUNICIPAL DE MARANGUAPE - AGRICULTURA, PESCA E RECURSOS HÍDRICOS</v>
      </c>
      <c r="D193" s="51">
        <v>45719.0</v>
      </c>
      <c r="E193" s="6">
        <v>12.0</v>
      </c>
      <c r="F193" s="6">
        <v>120.0</v>
      </c>
      <c r="G193" s="52">
        <v>45718.0</v>
      </c>
      <c r="H193" s="52">
        <v>49370.0</v>
      </c>
      <c r="I193" s="49">
        <v>13333.2</v>
      </c>
    </row>
    <row r="194">
      <c r="A194" s="6">
        <v>200.0</v>
      </c>
      <c r="B194" s="50" t="str">
        <f>IFERROR(VLOOKUP($A194,EVENTO!$A$2:$C$4999,2,FALSE),"")</f>
        <v>CADASTRO</v>
      </c>
      <c r="C194" s="50" t="str">
        <f>IFERROR(VLOOKUP($A194,EVENTO!$A$2:$C$4999,3,FALSE),"")</f>
        <v>PREFEITURA MUNICIPAL DE CAUCAIA - TURISMO E CULTURA</v>
      </c>
      <c r="D194" s="51">
        <v>44459.0</v>
      </c>
      <c r="E194" s="6">
        <v>12.0</v>
      </c>
      <c r="F194" s="6">
        <v>60.0</v>
      </c>
      <c r="G194" s="52">
        <v>44823.0</v>
      </c>
      <c r="H194" s="52">
        <v>46284.0</v>
      </c>
      <c r="I194" s="49">
        <v>151394.76</v>
      </c>
    </row>
    <row r="195">
      <c r="A195" s="6">
        <v>201.0</v>
      </c>
      <c r="B195" s="50" t="str">
        <f>IFERROR(VLOOKUP($A195,EVENTO!$A$2:$C$4999,2,FALSE),"")</f>
        <v>ADITIVO DE PRAZO</v>
      </c>
      <c r="C195" s="50" t="str">
        <f>IFERROR(VLOOKUP($A195,EVENTO!$A$2:$C$4999,3,FALSE),"")</f>
        <v>PREFEITURA MUNICIPAL DE CAUCAIA - TURISMO E CULTURA</v>
      </c>
      <c r="D195" s="51">
        <v>44823.0</v>
      </c>
      <c r="E195" s="6">
        <v>12.0</v>
      </c>
      <c r="F195" s="6">
        <v>60.0</v>
      </c>
      <c r="G195" s="52">
        <v>45188.0</v>
      </c>
      <c r="H195" s="52">
        <v>46284.0</v>
      </c>
      <c r="I195" s="49">
        <v>151394.76</v>
      </c>
    </row>
    <row r="196">
      <c r="A196" s="6">
        <v>202.0</v>
      </c>
      <c r="B196" s="50" t="str">
        <f>IFERROR(VLOOKUP($A196,EVENTO!$A$2:$C$4999,2,FALSE),"")</f>
        <v>ADITIVO DE PRAZO</v>
      </c>
      <c r="C196" s="50" t="str">
        <f>IFERROR(VLOOKUP($A196,EVENTO!$A$2:$C$4999,3,FALSE),"")</f>
        <v>PREFEITURA MUNICIPAL DE CAUCAIA - TURISMO E CULTURA</v>
      </c>
      <c r="D196" s="51">
        <v>45189.0</v>
      </c>
      <c r="E196" s="6">
        <v>12.0</v>
      </c>
      <c r="F196" s="6">
        <v>60.0</v>
      </c>
      <c r="G196" s="52">
        <v>45555.0</v>
      </c>
      <c r="H196" s="52">
        <v>46284.0</v>
      </c>
      <c r="I196" s="49">
        <v>151394.76</v>
      </c>
    </row>
    <row r="197">
      <c r="A197" s="6">
        <v>203.0</v>
      </c>
      <c r="B197" s="50" t="str">
        <f>IFERROR(VLOOKUP($A197,EVENTO!$A$2:$C$4999,2,FALSE),"")</f>
        <v>ADITIVO DE PRAZO</v>
      </c>
      <c r="C197" s="50" t="str">
        <f>IFERROR(VLOOKUP($A197,EVENTO!$A$2:$C$4999,3,FALSE),"")</f>
        <v>PREFEITURA MUNICIPAL DE CAUCAIA - TURISMO E CULTURA</v>
      </c>
      <c r="D197" s="51">
        <v>45556.0</v>
      </c>
      <c r="E197" s="6">
        <v>12.0</v>
      </c>
      <c r="F197" s="6">
        <v>60.0</v>
      </c>
      <c r="G197" s="52">
        <v>45921.0</v>
      </c>
      <c r="H197" s="52">
        <v>46284.0</v>
      </c>
      <c r="I197" s="49">
        <v>151394.76</v>
      </c>
    </row>
    <row r="198">
      <c r="A198" s="6">
        <v>195.0</v>
      </c>
      <c r="B198" s="50" t="str">
        <f>IFERROR(VLOOKUP($A198,EVENTO!$A$2:$C$4999,2,FALSE),"")</f>
        <v>ADITIVO DE PRAZO</v>
      </c>
      <c r="C198" s="50" t="str">
        <f>IFERROR(VLOOKUP($A198,EVENTO!$A$2:$C$4999,3,FALSE),"")</f>
        <v>PREFEITURA MUNICIPAL DE ARACATI - DESENV ECON, TRAB E RENDA</v>
      </c>
      <c r="D198" s="51">
        <v>45029.0</v>
      </c>
      <c r="E198" s="6">
        <v>12.0</v>
      </c>
      <c r="F198" s="6">
        <v>60.0</v>
      </c>
      <c r="G198" s="52">
        <v>45395.0</v>
      </c>
      <c r="H198" s="52">
        <v>46490.0</v>
      </c>
      <c r="I198" s="49">
        <v>143199.0</v>
      </c>
    </row>
    <row r="199">
      <c r="A199" s="6">
        <v>204.0</v>
      </c>
      <c r="B199" s="50" t="str">
        <f>IFERROR(VLOOKUP($A199,EVENTO!$A$2:$C$4999,2,FALSE),"")</f>
        <v>ADITIVO DE SUPRESSÃO</v>
      </c>
      <c r="C199" s="50" t="str">
        <f>IFERROR(VLOOKUP($A199,EVENTO!$A$2:$C$4999,3,FALSE),"")</f>
        <v>PREFEITURA MUNICIPAL DE CAUCAIA - TURISMO E CULTURA</v>
      </c>
      <c r="D199" s="51">
        <v>45659.0</v>
      </c>
      <c r="E199" s="6">
        <v>6.0</v>
      </c>
      <c r="F199" s="6">
        <v>60.0</v>
      </c>
      <c r="G199" s="52">
        <v>45839.0</v>
      </c>
      <c r="H199" s="52">
        <v>46284.0</v>
      </c>
      <c r="I199" s="49">
        <v>113546.07</v>
      </c>
    </row>
    <row r="200">
      <c r="A200" s="6">
        <v>196.0</v>
      </c>
      <c r="B200" s="50" t="str">
        <f>IFERROR(VLOOKUP($A200,EVENTO!$A$2:$C$4999,2,FALSE),"")</f>
        <v>ADITIVO DE PRAZO</v>
      </c>
      <c r="C200" s="50" t="str">
        <f>IFERROR(VLOOKUP($A200,EVENTO!$A$2:$C$4999,3,FALSE),"")</f>
        <v>PREFEITURA MUNICIPAL DE ARACATI - DESENV ECON, TRAB E RENDA</v>
      </c>
      <c r="D200" s="51">
        <v>45658.0</v>
      </c>
      <c r="E200" s="6">
        <v>6.0</v>
      </c>
      <c r="F200" s="6">
        <v>60.0</v>
      </c>
      <c r="G200" s="52">
        <v>45838.0</v>
      </c>
      <c r="H200" s="52">
        <v>46490.0</v>
      </c>
      <c r="I200" s="49">
        <v>75591.54</v>
      </c>
    </row>
    <row r="201">
      <c r="A201" s="6">
        <v>205.0</v>
      </c>
      <c r="B201" s="50" t="str">
        <f>IFERROR(VLOOKUP($A201,EVENTO!$A$2:$C$4999,2,FALSE),"")</f>
        <v>ADITIVO DE PRAZO</v>
      </c>
      <c r="C201" s="50" t="str">
        <f>IFERROR(VLOOKUP($A201,EVENTO!$A$2:$C$4999,3,FALSE),"")</f>
        <v>PREFEITURA MUNICIPAL DE CAUCAIA - TURISMO E CULTURA</v>
      </c>
      <c r="D201" s="51">
        <v>45921.0</v>
      </c>
      <c r="E201" s="6">
        <v>12.0</v>
      </c>
      <c r="F201" s="6">
        <v>60.0</v>
      </c>
      <c r="G201" s="52">
        <v>45921.0</v>
      </c>
      <c r="H201" s="52">
        <v>46294.0</v>
      </c>
      <c r="I201" s="49">
        <v>151394.76</v>
      </c>
    </row>
    <row r="202">
      <c r="A202" s="6">
        <v>197.0</v>
      </c>
      <c r="B202" s="50" t="str">
        <f>IFERROR(VLOOKUP($A202,EVENTO!$A$2:$C$4999,2,FALSE),"")</f>
        <v>ADITIVO DE PRAZO</v>
      </c>
      <c r="C202" s="50" t="str">
        <f>IFERROR(VLOOKUP($A202,EVENTO!$A$2:$C$4999,3,FALSE),"")</f>
        <v>PREFEITURA MUNICIPAL DE ARACATI - DESENV ECON, TRAB E RENDA</v>
      </c>
      <c r="D202" s="51">
        <v>45839.0</v>
      </c>
      <c r="E202" s="6">
        <v>4.0</v>
      </c>
      <c r="F202" s="6">
        <v>60.0</v>
      </c>
      <c r="G202" s="53">
        <v>45961.0</v>
      </c>
      <c r="H202" s="52">
        <v>46490.0</v>
      </c>
      <c r="I202" s="49">
        <v>47733.0</v>
      </c>
    </row>
    <row r="203">
      <c r="A203" s="6">
        <v>198.0</v>
      </c>
      <c r="B203" s="50" t="str">
        <f>IFERROR(VLOOKUP($A203,EVENTO!$A$2:$C$4999,2,FALSE),"")</f>
        <v>ADITIVO DE PRAZO</v>
      </c>
      <c r="C203" s="50" t="str">
        <f>IFERROR(VLOOKUP($A203,EVENTO!$A$2:$C$4999,3,FALSE),"")</f>
        <v>PREFEITURA MUNICIPAL DE ARACATI - DESENV ECON, TRAB E RENDA</v>
      </c>
      <c r="D203" s="51">
        <v>45962.0</v>
      </c>
      <c r="E203" s="6">
        <v>3.0</v>
      </c>
      <c r="F203" s="6">
        <v>60.0</v>
      </c>
      <c r="G203" s="52">
        <v>46053.0</v>
      </c>
      <c r="H203" s="52">
        <v>46490.0</v>
      </c>
      <c r="I203" s="49">
        <v>35799.75</v>
      </c>
    </row>
    <row r="204">
      <c r="A204" s="6">
        <v>206.0</v>
      </c>
      <c r="B204" s="50" t="str">
        <f>IFERROR(VLOOKUP($A204,EVENTO!$A$2:$C$4999,2,FALSE),"")</f>
        <v>CADASTRO</v>
      </c>
      <c r="C204" s="50" t="str">
        <f>IFERROR(VLOOKUP($A204,EVENTO!$A$2:$C$4999,3,FALSE),"")</f>
        <v>PREFEITURA MUNICIPAL DE ARACATI - EDUCAÇÃO</v>
      </c>
      <c r="D204" s="51">
        <v>44664.0</v>
      </c>
      <c r="E204" s="6">
        <v>12.0</v>
      </c>
      <c r="F204" s="6">
        <v>60.0</v>
      </c>
      <c r="G204" s="52">
        <v>45029.0</v>
      </c>
      <c r="H204" s="52">
        <v>46490.0</v>
      </c>
      <c r="I204" s="49">
        <v>523318.56</v>
      </c>
    </row>
    <row r="205">
      <c r="A205" s="6">
        <v>212.0</v>
      </c>
      <c r="B205" s="50" t="str">
        <f>IFERROR(VLOOKUP($A205,EVENTO!$A$2:$C$4999,2,FALSE),"")</f>
        <v>CADASTRO</v>
      </c>
      <c r="C205" s="50" t="str">
        <f>IFERROR(VLOOKUP($A205,EVENTO!$A$2:$C$4999,3,FALSE),"")</f>
        <v>PREFEITURA MUNICIPAL DE CAUCAIA - ADMINISTRAÇÃO E RECURSOS HUMANOS</v>
      </c>
      <c r="D205" s="51">
        <v>44459.0</v>
      </c>
      <c r="E205" s="6">
        <v>12.0</v>
      </c>
      <c r="F205" s="6">
        <v>60.0</v>
      </c>
      <c r="G205" s="52">
        <v>44823.0</v>
      </c>
      <c r="H205" s="52">
        <v>46284.0</v>
      </c>
      <c r="I205" s="49">
        <v>275497.08</v>
      </c>
    </row>
    <row r="206">
      <c r="A206" s="6">
        <v>213.0</v>
      </c>
      <c r="B206" s="50" t="str">
        <f>IFERROR(VLOOKUP($A206,EVENTO!$A$2:$C$4999,2,FALSE),"")</f>
        <v>ADITIVO DE PRAZO</v>
      </c>
      <c r="C206" s="50" t="str">
        <f>IFERROR(VLOOKUP($A206,EVENTO!$A$2:$C$4999,3,FALSE),"")</f>
        <v>PREFEITURA MUNICIPAL DE CAUCAIA - ADMINISTRAÇÃO E RECURSOS HUMANOS</v>
      </c>
      <c r="D206" s="51">
        <v>44823.0</v>
      </c>
      <c r="E206" s="6">
        <v>12.0</v>
      </c>
      <c r="F206" s="6">
        <v>60.0</v>
      </c>
      <c r="G206" s="52">
        <v>45188.0</v>
      </c>
      <c r="H206" s="52">
        <v>46284.0</v>
      </c>
      <c r="I206" s="49">
        <v>275497.08</v>
      </c>
    </row>
    <row r="207">
      <c r="A207" s="6">
        <v>214.0</v>
      </c>
      <c r="B207" s="50" t="str">
        <f>IFERROR(VLOOKUP($A207,EVENTO!$A$2:$C$4999,2,FALSE),"")</f>
        <v>ADITIVO DE PRAZO</v>
      </c>
      <c r="C207" s="50" t="str">
        <f>IFERROR(VLOOKUP($A207,EVENTO!$A$2:$C$4999,3,FALSE),"")</f>
        <v>PREFEITURA MUNICIPAL DE CAUCAIA - ADMINISTRAÇÃO E RECURSOS HUMANOS</v>
      </c>
      <c r="D207" s="51">
        <v>45189.0</v>
      </c>
      <c r="E207" s="6">
        <v>12.0</v>
      </c>
      <c r="F207" s="6">
        <v>60.0</v>
      </c>
      <c r="G207" s="52">
        <v>45555.0</v>
      </c>
      <c r="H207" s="52">
        <v>46284.0</v>
      </c>
      <c r="I207" s="49">
        <v>275497.08</v>
      </c>
    </row>
    <row r="208">
      <c r="A208" s="6">
        <v>215.0</v>
      </c>
      <c r="B208" s="50" t="str">
        <f>IFERROR(VLOOKUP($A208,EVENTO!$A$2:$C$4999,2,FALSE),"")</f>
        <v>ADITIVO DE PRAZO</v>
      </c>
      <c r="C208" s="50" t="str">
        <f>IFERROR(VLOOKUP($A208,EVENTO!$A$2:$C$4999,3,FALSE),"")</f>
        <v>PREFEITURA MUNICIPAL DE CAUCAIA - ADMINISTRAÇÃO E RECURSOS HUMANOS</v>
      </c>
      <c r="D208" s="51">
        <v>45556.0</v>
      </c>
      <c r="E208" s="6">
        <v>12.0</v>
      </c>
      <c r="F208" s="6">
        <v>60.0</v>
      </c>
      <c r="G208" s="52">
        <v>45921.0</v>
      </c>
      <c r="H208" s="52">
        <v>46284.0</v>
      </c>
      <c r="I208" s="49">
        <v>275497.08</v>
      </c>
    </row>
    <row r="209">
      <c r="A209" s="6">
        <v>216.0</v>
      </c>
      <c r="B209" s="50" t="str">
        <f>IFERROR(VLOOKUP($A209,EVENTO!$A$2:$C$4999,2,FALSE),"")</f>
        <v>ADITIVO DE PRAZO</v>
      </c>
      <c r="C209" s="50" t="str">
        <f>IFERROR(VLOOKUP($A209,EVENTO!$A$2:$C$4999,3,FALSE),"")</f>
        <v>PREFEITURA MUNICIPAL DE CAUCAIA - ADMINISTRAÇÃO E RECURSOS HUMANOS</v>
      </c>
      <c r="D209" s="51">
        <v>45921.0</v>
      </c>
      <c r="E209" s="6">
        <v>12.0</v>
      </c>
      <c r="F209" s="6">
        <v>60.0</v>
      </c>
      <c r="G209" s="52">
        <v>46286.0</v>
      </c>
      <c r="H209" s="52">
        <v>46284.0</v>
      </c>
      <c r="I209" s="49">
        <v>275497.08</v>
      </c>
    </row>
    <row r="210">
      <c r="A210" s="6">
        <v>207.0</v>
      </c>
      <c r="B210" s="50" t="str">
        <f>IFERROR(VLOOKUP($A210,EVENTO!$A$2:$C$4999,2,FALSE),"")</f>
        <v>ADITIVO DE PRAZO</v>
      </c>
      <c r="C210" s="50" t="str">
        <f>IFERROR(VLOOKUP($A210,EVENTO!$A$2:$C$4999,3,FALSE),"")</f>
        <v>PREFEITURA MUNICIPAL DE ARACATI - EDUCAÇÃO</v>
      </c>
      <c r="D210" s="51">
        <v>45029.0</v>
      </c>
      <c r="E210" s="6">
        <v>12.0</v>
      </c>
      <c r="F210" s="6">
        <v>60.0</v>
      </c>
      <c r="G210" s="52">
        <v>45395.0</v>
      </c>
      <c r="H210" s="52">
        <v>46490.0</v>
      </c>
      <c r="I210" s="49">
        <v>523318.56</v>
      </c>
    </row>
    <row r="211">
      <c r="A211" s="6">
        <v>208.0</v>
      </c>
      <c r="B211" s="50" t="str">
        <f>IFERROR(VLOOKUP($A211,EVENTO!$A$2:$C$4999,2,FALSE),"")</f>
        <v>ADITIVO DE PRAZO</v>
      </c>
      <c r="C211" s="50" t="str">
        <f>IFERROR(VLOOKUP($A211,EVENTO!$A$2:$C$4999,3,FALSE),"")</f>
        <v>PREFEITURA MUNICIPAL DE ARACATI - EDUCAÇÃO</v>
      </c>
      <c r="D211" s="51">
        <v>45658.0</v>
      </c>
      <c r="E211" s="6">
        <v>6.0</v>
      </c>
      <c r="F211" s="6">
        <v>60.0</v>
      </c>
      <c r="G211" s="52">
        <v>45838.0</v>
      </c>
      <c r="H211" s="52">
        <v>46490.0</v>
      </c>
      <c r="I211" s="49">
        <v>261659.26</v>
      </c>
    </row>
    <row r="212">
      <c r="A212" s="6">
        <v>209.0</v>
      </c>
      <c r="B212" s="50" t="str">
        <f>IFERROR(VLOOKUP($A212,EVENTO!$A$2:$C$4999,2,FALSE),"")</f>
        <v>ADITIVO DE PRAZO</v>
      </c>
      <c r="C212" s="50" t="str">
        <f>IFERROR(VLOOKUP($A212,EVENTO!$A$2:$C$4999,3,FALSE),"")</f>
        <v>PREFEITURA MUNICIPAL DE ARACATI - EDUCAÇÃO</v>
      </c>
      <c r="D212" s="51">
        <v>45839.0</v>
      </c>
      <c r="E212" s="6">
        <v>4.0</v>
      </c>
      <c r="F212" s="6">
        <v>60.0</v>
      </c>
      <c r="G212" s="53">
        <v>45961.0</v>
      </c>
      <c r="H212" s="52">
        <v>46490.0</v>
      </c>
      <c r="I212" s="49">
        <v>203775.92</v>
      </c>
    </row>
    <row r="213">
      <c r="A213" s="6">
        <v>217.0</v>
      </c>
      <c r="B213" s="50" t="str">
        <f>IFERROR(VLOOKUP($A213,EVENTO!$A$2:$C$4999,2,FALSE),"")</f>
        <v>CADASTRO</v>
      </c>
      <c r="C213" s="50" t="str">
        <f>IFERROR(VLOOKUP($A213,EVENTO!$A$2:$C$4999,3,FALSE),"")</f>
        <v>PREFEITURA MUNICIPAL DE CAUCAIA - AUTARQUIA MUNICIPAL DE TRÂNSITO</v>
      </c>
      <c r="D213" s="51">
        <v>44473.0</v>
      </c>
      <c r="E213" s="6">
        <v>12.0</v>
      </c>
      <c r="F213" s="6">
        <v>60.0</v>
      </c>
      <c r="G213" s="52">
        <v>44838.0</v>
      </c>
      <c r="H213" s="52">
        <v>46299.0</v>
      </c>
      <c r="I213" s="49">
        <v>90168.0</v>
      </c>
    </row>
    <row r="214">
      <c r="A214" s="6">
        <v>210.0</v>
      </c>
      <c r="B214" s="50" t="str">
        <f>IFERROR(VLOOKUP($A214,EVENTO!$A$2:$C$4999,2,FALSE),"")</f>
        <v>ADITIVO DE PRAZO</v>
      </c>
      <c r="C214" s="50" t="str">
        <f>IFERROR(VLOOKUP($A214,EVENTO!$A$2:$C$4999,3,FALSE),"")</f>
        <v>PREFEITURA MUNICIPAL DE ARACATI - EDUCAÇÃO</v>
      </c>
      <c r="D214" s="51">
        <v>45962.0</v>
      </c>
      <c r="E214" s="6">
        <v>3.0</v>
      </c>
      <c r="F214" s="6">
        <v>60.0</v>
      </c>
      <c r="G214" s="52">
        <v>46053.0</v>
      </c>
      <c r="H214" s="52">
        <v>46490.0</v>
      </c>
      <c r="I214" s="49">
        <v>130829.64</v>
      </c>
    </row>
    <row r="215">
      <c r="A215" s="6">
        <v>218.0</v>
      </c>
      <c r="B215" s="50" t="str">
        <f>IFERROR(VLOOKUP($A215,EVENTO!$A$2:$C$4999,2,FALSE),"")</f>
        <v>ADITIVO DE QUANTIDADE</v>
      </c>
      <c r="C215" s="50" t="str">
        <f>IFERROR(VLOOKUP($A215,EVENTO!$A$2:$C$4999,3,FALSE),"")</f>
        <v>PREFEITURA MUNICIPAL DE CAUCAIA - AUTARQUIA MUNICIPAL DE TRÂNSITO</v>
      </c>
      <c r="D215" s="51">
        <v>44783.0</v>
      </c>
      <c r="E215" s="6">
        <v>2.0</v>
      </c>
      <c r="F215" s="6">
        <v>60.0</v>
      </c>
      <c r="G215" s="52">
        <v>44837.0</v>
      </c>
      <c r="H215" s="52">
        <v>46298.0</v>
      </c>
      <c r="I215" s="49">
        <v>109417.56</v>
      </c>
    </row>
    <row r="216">
      <c r="A216" s="6">
        <v>219.0</v>
      </c>
      <c r="B216" s="50" t="str">
        <f>IFERROR(VLOOKUP($A216,EVENTO!$A$2:$C$4999,2,FALSE),"")</f>
        <v>CADASTRO</v>
      </c>
      <c r="C216" s="50" t="str">
        <f>IFERROR(VLOOKUP($A216,EVENTO!$A$2:$C$4999,3,FALSE),"")</f>
        <v>PREFEITURA MUNICIPAL DE ARACATI - ESPORTE E LAZER</v>
      </c>
      <c r="D216" s="51">
        <v>44664.0</v>
      </c>
      <c r="E216" s="6">
        <v>12.0</v>
      </c>
      <c r="F216" s="6">
        <v>60.0</v>
      </c>
      <c r="G216" s="52">
        <v>45029.0</v>
      </c>
      <c r="H216" s="52">
        <v>46490.0</v>
      </c>
      <c r="I216" s="49">
        <v>53908.68</v>
      </c>
    </row>
    <row r="217">
      <c r="A217" s="6">
        <v>225.0</v>
      </c>
      <c r="B217" s="50" t="str">
        <f>IFERROR(VLOOKUP($A217,EVENTO!$A$2:$C$4999,2,FALSE),"")</f>
        <v>ADITIVO DE PRAZO</v>
      </c>
      <c r="C217" s="50" t="str">
        <f>IFERROR(VLOOKUP($A217,EVENTO!$A$2:$C$4999,3,FALSE),"")</f>
        <v>PREFEITURA MUNICIPAL DE CAUCAIA - AUTARQUIA MUNICIPAL DE TRÂNSITO</v>
      </c>
      <c r="D217" s="51">
        <v>44838.0</v>
      </c>
      <c r="E217" s="6">
        <v>12.0</v>
      </c>
      <c r="F217" s="6">
        <v>60.0</v>
      </c>
      <c r="G217" s="52">
        <v>45203.0</v>
      </c>
      <c r="H217" s="52">
        <v>46299.0</v>
      </c>
      <c r="I217" s="49">
        <v>109417.56</v>
      </c>
    </row>
    <row r="218">
      <c r="A218" s="6">
        <v>226.0</v>
      </c>
      <c r="B218" s="50" t="str">
        <f>IFERROR(VLOOKUP($A218,EVENTO!$A$2:$C$4999,2,FALSE),"")</f>
        <v>ADITIVO DE PRAZO</v>
      </c>
      <c r="C218" s="50" t="str">
        <f>IFERROR(VLOOKUP($A218,EVENTO!$A$2:$C$4999,3,FALSE),"")</f>
        <v>PREFEITURA MUNICIPAL DE CAUCAIA - AUTARQUIA MUNICIPAL DE TRÂNSITO</v>
      </c>
      <c r="D218" s="51">
        <v>45204.0</v>
      </c>
      <c r="E218" s="6">
        <v>12.0</v>
      </c>
      <c r="F218" s="6">
        <v>60.0</v>
      </c>
      <c r="G218" s="52">
        <v>45570.0</v>
      </c>
      <c r="H218" s="52">
        <v>46300.0</v>
      </c>
      <c r="I218" s="49">
        <v>109417.56</v>
      </c>
    </row>
    <row r="219">
      <c r="A219" s="6">
        <v>227.0</v>
      </c>
      <c r="B219" s="50" t="str">
        <f>IFERROR(VLOOKUP($A219,EVENTO!$A$2:$C$4999,2,FALSE),"")</f>
        <v>ADITIVO DE PRAZO</v>
      </c>
      <c r="C219" s="50" t="str">
        <f>IFERROR(VLOOKUP($A219,EVENTO!$A$2:$C$4999,3,FALSE),"")</f>
        <v>PREFEITURA MUNICIPAL DE CAUCAIA - AUTARQUIA MUNICIPAL DE TRÂNSITO</v>
      </c>
      <c r="D219" s="51">
        <v>45571.0</v>
      </c>
      <c r="E219" s="6">
        <v>12.0</v>
      </c>
      <c r="F219" s="6">
        <v>60.0</v>
      </c>
      <c r="G219" s="52">
        <v>45936.0</v>
      </c>
      <c r="H219" s="52">
        <v>46301.0</v>
      </c>
      <c r="I219" s="49">
        <v>109417.56</v>
      </c>
    </row>
    <row r="220">
      <c r="A220" s="6">
        <v>228.0</v>
      </c>
      <c r="B220" s="50" t="str">
        <f>IFERROR(VLOOKUP($A220,EVENTO!$A$2:$C$4999,2,FALSE),"")</f>
        <v>CADASTRO</v>
      </c>
      <c r="C220" s="50" t="str">
        <f>IFERROR(VLOOKUP($A220,EVENTO!$A$2:$C$4999,3,FALSE),"")</f>
        <v>PREFEITURA MUNICIPAL DE CANINDE - SECRETARIA DE ASSISTÊNCIA SOCIAL</v>
      </c>
      <c r="D220" s="51">
        <v>45198.0</v>
      </c>
      <c r="E220" s="6">
        <v>12.0</v>
      </c>
      <c r="F220" s="6">
        <v>60.0</v>
      </c>
      <c r="G220" s="52">
        <v>45564.0</v>
      </c>
      <c r="H220" s="52">
        <v>47025.0</v>
      </c>
      <c r="I220" s="49">
        <v>41456.88</v>
      </c>
    </row>
    <row r="221">
      <c r="A221" s="6">
        <v>229.0</v>
      </c>
      <c r="B221" s="50" t="str">
        <f>IFERROR(VLOOKUP($A221,EVENTO!$A$2:$C$4999,2,FALSE),"")</f>
        <v>ADITIVO DE PRAZO</v>
      </c>
      <c r="C221" s="50" t="str">
        <f>IFERROR(VLOOKUP($A221,EVENTO!$A$2:$C$4999,3,FALSE),"")</f>
        <v>PREFEITURA MUNICIPAL DE CAUCAIA - AUTARQUIA MUNICIPAL DE TRÂNSITO</v>
      </c>
      <c r="D221" s="51">
        <v>45936.0</v>
      </c>
      <c r="E221" s="6">
        <v>12.0</v>
      </c>
      <c r="F221" s="6">
        <v>60.0</v>
      </c>
      <c r="G221" s="52">
        <v>46301.0</v>
      </c>
      <c r="H221" s="52">
        <v>46301.0</v>
      </c>
      <c r="I221" s="49">
        <v>109417.56</v>
      </c>
    </row>
    <row r="222">
      <c r="A222" s="6">
        <v>220.0</v>
      </c>
      <c r="B222" s="50" t="str">
        <f>IFERROR(VLOOKUP($A222,EVENTO!$A$2:$C$4999,2,FALSE),"")</f>
        <v>ADITIVO DE PRAZO</v>
      </c>
      <c r="C222" s="50" t="str">
        <f>IFERROR(VLOOKUP($A222,EVENTO!$A$2:$C$4999,3,FALSE),"")</f>
        <v>PREFEITURA MUNICIPAL DE ARACATI - ESPORTE E LAZER</v>
      </c>
      <c r="D222" s="51">
        <v>45029.0</v>
      </c>
      <c r="E222" s="6">
        <v>12.0</v>
      </c>
      <c r="F222" s="6">
        <v>60.0</v>
      </c>
      <c r="G222" s="52">
        <v>45395.0</v>
      </c>
      <c r="H222" s="52">
        <v>46490.0</v>
      </c>
      <c r="I222" s="49">
        <v>53908.68</v>
      </c>
    </row>
    <row r="223">
      <c r="A223" s="6">
        <v>221.0</v>
      </c>
      <c r="B223" s="50" t="str">
        <f>IFERROR(VLOOKUP($A223,EVENTO!$A$2:$C$4999,2,FALSE),"")</f>
        <v>ADITIVO DE PRAZO</v>
      </c>
      <c r="C223" s="50" t="str">
        <f>IFERROR(VLOOKUP($A223,EVENTO!$A$2:$C$4999,3,FALSE),"")</f>
        <v>PREFEITURA MUNICIPAL DE ARACATI - ESPORTE E LAZER</v>
      </c>
      <c r="D223" s="51">
        <v>45396.0</v>
      </c>
      <c r="E223" s="6">
        <v>9.0</v>
      </c>
      <c r="F223" s="6">
        <v>60.0</v>
      </c>
      <c r="G223" s="53">
        <v>45657.0</v>
      </c>
      <c r="H223" s="52">
        <v>46490.0</v>
      </c>
      <c r="I223" s="49">
        <v>40431.51</v>
      </c>
    </row>
    <row r="224">
      <c r="A224" s="6">
        <v>230.0</v>
      </c>
      <c r="B224" s="50" t="str">
        <f>IFERROR(VLOOKUP($A224,EVENTO!$A$2:$C$4999,2,FALSE),"")</f>
        <v>ADITIVO DE PRAZO</v>
      </c>
      <c r="C224" s="50" t="str">
        <f>IFERROR(VLOOKUP($A224,EVENTO!$A$2:$C$4999,3,FALSE),"")</f>
        <v>PREFEITURA MUNICIPAL DE CANINDE - SECRETARIA DE ASSISTÊNCIA SOCIAL</v>
      </c>
      <c r="D224" s="51">
        <v>45565.0</v>
      </c>
      <c r="E224" s="6">
        <v>12.0</v>
      </c>
      <c r="F224" s="6">
        <v>60.0</v>
      </c>
      <c r="G224" s="52">
        <v>45930.0</v>
      </c>
      <c r="H224" s="52">
        <v>47026.0</v>
      </c>
      <c r="I224" s="49">
        <v>41456.88</v>
      </c>
    </row>
    <row r="225">
      <c r="A225" s="6">
        <v>222.0</v>
      </c>
      <c r="B225" s="50" t="str">
        <f>IFERROR(VLOOKUP($A225,EVENTO!$A$2:$C$4999,2,FALSE),"")</f>
        <v>ADITIVO DE PRAZO</v>
      </c>
      <c r="C225" s="50" t="str">
        <f>IFERROR(VLOOKUP($A225,EVENTO!$A$2:$C$4999,3,FALSE),"")</f>
        <v>PREFEITURA MUNICIPAL DE ARACATI - ESPORTE E LAZER</v>
      </c>
      <c r="D225" s="51">
        <v>45658.0</v>
      </c>
      <c r="E225" s="6">
        <v>6.0</v>
      </c>
      <c r="F225" s="6">
        <v>60.0</v>
      </c>
      <c r="G225" s="52">
        <v>45838.0</v>
      </c>
      <c r="H225" s="52">
        <v>46490.0</v>
      </c>
      <c r="I225" s="49">
        <v>26954.34</v>
      </c>
    </row>
    <row r="226">
      <c r="A226" s="6">
        <v>223.0</v>
      </c>
      <c r="B226" s="50" t="str">
        <f>IFERROR(VLOOKUP($A226,EVENTO!$A$2:$C$4999,2,FALSE),"")</f>
        <v>ADITIVO DE PRAZO</v>
      </c>
      <c r="C226" s="50" t="str">
        <f>IFERROR(VLOOKUP($A226,EVENTO!$A$2:$C$4999,3,FALSE),"")</f>
        <v>PREFEITURA MUNICIPAL DE ARACATI - ESPORTE E LAZER</v>
      </c>
      <c r="D226" s="51">
        <v>45839.0</v>
      </c>
      <c r="E226" s="6">
        <v>4.0</v>
      </c>
      <c r="F226" s="6">
        <v>60.0</v>
      </c>
      <c r="G226" s="53">
        <v>45961.0</v>
      </c>
      <c r="H226" s="52">
        <v>46490.0</v>
      </c>
      <c r="I226" s="49">
        <v>20460.11</v>
      </c>
    </row>
    <row r="227">
      <c r="A227" s="6">
        <v>231.0</v>
      </c>
      <c r="B227" s="50" t="str">
        <f>IFERROR(VLOOKUP($A227,EVENTO!$A$2:$C$4999,2,FALSE),"")</f>
        <v>ADITIVO DE PRAZO</v>
      </c>
      <c r="C227" s="50" t="str">
        <f>IFERROR(VLOOKUP($A227,EVENTO!$A$2:$C$4999,3,FALSE),"")</f>
        <v>PREFEITURA MUNICIPAL DE CANINDE - SECRETARIA DE ASSISTÊNCIA SOCIAL</v>
      </c>
      <c r="D227" s="51">
        <v>45566.0</v>
      </c>
      <c r="E227" s="6">
        <v>2.0</v>
      </c>
      <c r="F227" s="6">
        <v>60.0</v>
      </c>
      <c r="G227" s="52">
        <v>45992.0</v>
      </c>
      <c r="H227" s="52">
        <v>47026.0</v>
      </c>
      <c r="I227" s="49">
        <v>6909.48</v>
      </c>
    </row>
    <row r="228">
      <c r="A228" s="6">
        <v>224.0</v>
      </c>
      <c r="B228" s="50" t="str">
        <f>IFERROR(VLOOKUP($A228,EVENTO!$A$2:$C$4999,2,FALSE),"")</f>
        <v>ADITIVO DE PRAZO</v>
      </c>
      <c r="C228" s="50" t="str">
        <f>IFERROR(VLOOKUP($A228,EVENTO!$A$2:$C$4999,3,FALSE),"")</f>
        <v>PREFEITURA MUNICIPAL DE ARACATI - ESPORTE E LAZER</v>
      </c>
      <c r="D228" s="51">
        <v>45962.0</v>
      </c>
      <c r="E228" s="6">
        <v>3.0</v>
      </c>
      <c r="F228" s="6">
        <v>60.0</v>
      </c>
      <c r="G228" s="52">
        <v>46053.0</v>
      </c>
      <c r="H228" s="52">
        <v>46490.0</v>
      </c>
      <c r="I228" s="49">
        <v>13477.17</v>
      </c>
    </row>
    <row r="229">
      <c r="A229" s="6">
        <v>232.0</v>
      </c>
      <c r="B229" s="50" t="str">
        <f>IFERROR(VLOOKUP($A229,EVENTO!$A$2:$C$4999,2,FALSE),"")</f>
        <v>CADASTRO</v>
      </c>
      <c r="C229" s="50" t="str">
        <f>IFERROR(VLOOKUP($A229,EVENTO!$A$2:$C$4999,3,FALSE),"")</f>
        <v>PREFEITURA MUNICIPAL DE ARACATI - FINANÇAS</v>
      </c>
      <c r="D229" s="51">
        <v>44664.0</v>
      </c>
      <c r="E229" s="6">
        <v>12.0</v>
      </c>
      <c r="F229" s="6">
        <v>60.0</v>
      </c>
      <c r="G229" s="52">
        <v>45029.0</v>
      </c>
      <c r="H229" s="52">
        <v>46490.0</v>
      </c>
      <c r="I229" s="49">
        <v>244000.8</v>
      </c>
    </row>
    <row r="230">
      <c r="A230" s="6">
        <v>233.0</v>
      </c>
      <c r="B230" s="50" t="str">
        <f>IFERROR(VLOOKUP($A230,EVENTO!$A$2:$C$4999,2,FALSE),"")</f>
        <v>ADITIVO DE PRAZO</v>
      </c>
      <c r="C230" s="50" t="str">
        <f>IFERROR(VLOOKUP($A230,EVENTO!$A$2:$C$4999,3,FALSE),"")</f>
        <v>PREFEITURA MUNICIPAL DE ARACATI - FINANÇAS</v>
      </c>
      <c r="D230" s="51">
        <v>45029.0</v>
      </c>
      <c r="E230" s="6">
        <v>12.0</v>
      </c>
      <c r="F230" s="6">
        <v>60.0</v>
      </c>
      <c r="G230" s="52">
        <v>45395.0</v>
      </c>
      <c r="H230" s="52">
        <v>46490.0</v>
      </c>
      <c r="I230" s="49">
        <v>244000.8</v>
      </c>
    </row>
    <row r="231">
      <c r="A231" s="6">
        <v>234.0</v>
      </c>
      <c r="B231" s="50" t="str">
        <f>IFERROR(VLOOKUP($A231,EVENTO!$A$2:$C$4999,2,FALSE),"")</f>
        <v>ADITIVO DE PRAZO</v>
      </c>
      <c r="C231" s="50" t="str">
        <f>IFERROR(VLOOKUP($A231,EVENTO!$A$2:$C$4999,3,FALSE),"")</f>
        <v>PREFEITURA MUNICIPAL DE ARACATI - FINANÇAS</v>
      </c>
      <c r="D231" s="51">
        <v>45396.0</v>
      </c>
      <c r="E231" s="6">
        <v>9.0</v>
      </c>
      <c r="F231" s="6">
        <v>60.0</v>
      </c>
      <c r="G231" s="53">
        <v>45657.0</v>
      </c>
      <c r="H231" s="52">
        <v>46490.0</v>
      </c>
      <c r="I231" s="49">
        <v>203334.0</v>
      </c>
    </row>
    <row r="232">
      <c r="A232" s="6">
        <v>235.0</v>
      </c>
      <c r="B232" s="50" t="str">
        <f>IFERROR(VLOOKUP($A232,EVENTO!$A$2:$C$4999,2,FALSE),"")</f>
        <v>ADITIVO DE PRAZO</v>
      </c>
      <c r="C232" s="50" t="str">
        <f>IFERROR(VLOOKUP($A232,EVENTO!$A$2:$C$4999,3,FALSE),"")</f>
        <v>PREFEITURA MUNICIPAL DE ARACATI - FINANÇAS</v>
      </c>
      <c r="D232" s="51">
        <v>45658.0</v>
      </c>
      <c r="E232" s="6">
        <v>6.0</v>
      </c>
      <c r="F232" s="6">
        <v>60.0</v>
      </c>
      <c r="G232" s="52">
        <v>45838.0</v>
      </c>
      <c r="H232" s="52">
        <v>46490.0</v>
      </c>
      <c r="I232" s="49">
        <v>122000.4</v>
      </c>
      <c r="J232" s="57"/>
    </row>
    <row r="233">
      <c r="A233" s="6">
        <v>236.0</v>
      </c>
      <c r="B233" s="50" t="str">
        <f>IFERROR(VLOOKUP($A233,EVENTO!$A$2:$C$4999,2,FALSE),"")</f>
        <v>ADITIVO DE PRAZO</v>
      </c>
      <c r="C233" s="50" t="str">
        <f>IFERROR(VLOOKUP($A233,EVENTO!$A$2:$C$4999,3,FALSE),"")</f>
        <v>PREFEITURA MUNICIPAL DE ARACATI - FINANÇAS</v>
      </c>
      <c r="D233" s="51">
        <v>45839.0</v>
      </c>
      <c r="E233" s="6">
        <v>4.0</v>
      </c>
      <c r="F233" s="6">
        <v>60.0</v>
      </c>
      <c r="G233" s="53">
        <v>45961.0</v>
      </c>
      <c r="H233" s="52">
        <v>46490.0</v>
      </c>
      <c r="I233" s="49">
        <v>81333.6</v>
      </c>
      <c r="J233" s="57"/>
    </row>
    <row r="234">
      <c r="A234" s="6">
        <v>237.0</v>
      </c>
      <c r="B234" s="50" t="str">
        <f>IFERROR(VLOOKUP($A234,EVENTO!$A$2:$C$4999,2,FALSE),"")</f>
        <v>ADITIVO DE PRAZO</v>
      </c>
      <c r="C234" s="50" t="str">
        <f>IFERROR(VLOOKUP($A234,EVENTO!$A$2:$C$4999,3,FALSE),"")</f>
        <v>PREFEITURA MUNICIPAL DE ARACATI - FINANÇAS</v>
      </c>
      <c r="D234" s="51">
        <v>45962.0</v>
      </c>
      <c r="E234" s="6">
        <v>3.0</v>
      </c>
      <c r="F234" s="6">
        <v>60.0</v>
      </c>
      <c r="G234" s="52">
        <v>46053.0</v>
      </c>
      <c r="H234" s="52">
        <v>46490.0</v>
      </c>
      <c r="I234" s="49">
        <v>61000.2</v>
      </c>
      <c r="J234" s="57"/>
    </row>
    <row r="235">
      <c r="A235" s="6">
        <v>238.0</v>
      </c>
      <c r="B235" s="50" t="str">
        <f>IFERROR(VLOOKUP($A235,EVENTO!$A$2:$C$4999,2,FALSE),"")</f>
        <v>CADASTRO</v>
      </c>
      <c r="C235" s="50" t="str">
        <f>IFERROR(VLOOKUP($A235,EVENTO!$A$2:$C$4999,3,FALSE),"")</f>
        <v>PREFEITURA MUNICIPAL DE ARACATI - SEGURIDADE SOCIAL</v>
      </c>
      <c r="D235" s="51">
        <v>44664.0</v>
      </c>
      <c r="E235" s="6">
        <v>12.0</v>
      </c>
      <c r="F235" s="6">
        <v>60.0</v>
      </c>
      <c r="G235" s="52">
        <v>45029.0</v>
      </c>
      <c r="H235" s="51">
        <v>46490.0</v>
      </c>
      <c r="I235" s="49">
        <v>52270.56</v>
      </c>
      <c r="J235" s="57"/>
    </row>
    <row r="236">
      <c r="A236" s="6">
        <v>239.0</v>
      </c>
      <c r="B236" s="50" t="str">
        <f>IFERROR(VLOOKUP($A236,EVENTO!$A$2:$C$4999,2,FALSE),"")</f>
        <v>ADITIVO DE PRAZO</v>
      </c>
      <c r="C236" s="50" t="str">
        <f>IFERROR(VLOOKUP($A236,EVENTO!$A$2:$C$4999,3,FALSE),"")</f>
        <v>PREFEITURA MUNICIPAL DE ARACATI - SEGURIDADE SOCIAL</v>
      </c>
      <c r="D236" s="51">
        <v>45029.0</v>
      </c>
      <c r="E236" s="6">
        <v>12.0</v>
      </c>
      <c r="F236" s="6">
        <v>60.0</v>
      </c>
      <c r="G236" s="52">
        <v>45395.0</v>
      </c>
      <c r="H236" s="51">
        <v>46490.0</v>
      </c>
      <c r="I236" s="49">
        <v>52270.56</v>
      </c>
      <c r="J236" s="57"/>
    </row>
    <row r="237">
      <c r="A237" s="6">
        <v>240.0</v>
      </c>
      <c r="B237" s="50" t="str">
        <f>IFERROR(VLOOKUP($A237,EVENTO!$A$2:$C$4999,2,FALSE),"")</f>
        <v>ADITIVO DE PRAZO</v>
      </c>
      <c r="C237" s="50" t="str">
        <f>IFERROR(VLOOKUP($A237,EVENTO!$A$2:$C$4999,3,FALSE),"")</f>
        <v>PREFEITURA MUNICIPAL DE ARACATI - SEGURIDADE SOCIAL</v>
      </c>
      <c r="D237" s="51">
        <v>45396.0</v>
      </c>
      <c r="E237" s="6">
        <v>9.0</v>
      </c>
      <c r="F237" s="6">
        <v>60.0</v>
      </c>
      <c r="G237" s="53">
        <v>45657.0</v>
      </c>
      <c r="H237" s="52">
        <v>46490.0</v>
      </c>
      <c r="I237" s="49">
        <v>39202.92</v>
      </c>
      <c r="J237" s="57"/>
    </row>
    <row r="238">
      <c r="A238" s="6">
        <v>241.0</v>
      </c>
      <c r="B238" s="50" t="str">
        <f>IFERROR(VLOOKUP($A238,EVENTO!$A$2:$C$4999,2,FALSE),"")</f>
        <v>ADITIVO DE PRAZO</v>
      </c>
      <c r="C238" s="50" t="str">
        <f>IFERROR(VLOOKUP($A238,EVENTO!$A$2:$C$4999,3,FALSE),"")</f>
        <v>PREFEITURA MUNICIPAL DE ARACATI - SEGURIDADE SOCIAL</v>
      </c>
      <c r="D238" s="51">
        <v>45658.0</v>
      </c>
      <c r="E238" s="6">
        <v>6.0</v>
      </c>
      <c r="F238" s="6">
        <v>60.0</v>
      </c>
      <c r="G238" s="52">
        <v>45838.0</v>
      </c>
      <c r="H238" s="52">
        <v>46490.0</v>
      </c>
      <c r="I238" s="49">
        <v>26135.28</v>
      </c>
      <c r="J238" s="57"/>
    </row>
    <row r="239">
      <c r="A239" s="6">
        <v>242.0</v>
      </c>
      <c r="B239" s="50" t="str">
        <f>IFERROR(VLOOKUP($A239,EVENTO!$A$2:$C$4999,2,FALSE),"")</f>
        <v>ADITIVO DE PRAZO</v>
      </c>
      <c r="C239" s="50" t="str">
        <f>IFERROR(VLOOKUP($A239,EVENTO!$A$2:$C$4999,3,FALSE),"")</f>
        <v>PREFEITURA MUNICIPAL DE ARACATI - SEGURIDADE SOCIAL</v>
      </c>
      <c r="D239" s="51">
        <v>45839.0</v>
      </c>
      <c r="E239" s="6">
        <v>4.0</v>
      </c>
      <c r="F239" s="6">
        <v>60.0</v>
      </c>
      <c r="G239" s="53">
        <v>45961.0</v>
      </c>
      <c r="H239" s="52">
        <v>46490.0</v>
      </c>
      <c r="I239" s="49">
        <v>6531.4</v>
      </c>
      <c r="J239" s="57"/>
    </row>
    <row r="240">
      <c r="A240" s="6">
        <v>243.0</v>
      </c>
      <c r="B240" s="50" t="str">
        <f>IFERROR(VLOOKUP($A240,EVENTO!$A$2:$C$4999,2,FALSE),"")</f>
        <v>ADITIVO DE PRAZO</v>
      </c>
      <c r="C240" s="50" t="str">
        <f>IFERROR(VLOOKUP($A240,EVENTO!$A$2:$C$4999,3,FALSE),"")</f>
        <v>PREFEITURA MUNICIPAL DE ARACATI - SEGURIDADE SOCIAL</v>
      </c>
      <c r="D240" s="51">
        <v>45962.0</v>
      </c>
      <c r="E240" s="6">
        <v>3.0</v>
      </c>
      <c r="F240" s="6">
        <v>60.0</v>
      </c>
      <c r="G240" s="52">
        <v>46053.0</v>
      </c>
      <c r="H240" s="52">
        <v>46490.0</v>
      </c>
      <c r="I240" s="49">
        <v>4898.55</v>
      </c>
      <c r="J240" s="57"/>
    </row>
    <row r="241">
      <c r="A241" s="6">
        <v>244.0</v>
      </c>
      <c r="B241" s="50" t="str">
        <f>IFERROR(VLOOKUP($A241,EVENTO!$A$2:$C$4999,2,FALSE),"")</f>
        <v>CADASTRO</v>
      </c>
      <c r="C241" s="50" t="str">
        <f>IFERROR(VLOOKUP($A241,EVENTO!$A$2:$C$4999,3,FALSE),"")</f>
        <v>PREFEITURA MUNICIPAL DE ARACATI - GABINETE DO PREFEITO</v>
      </c>
      <c r="D241" s="51">
        <v>44664.0</v>
      </c>
      <c r="E241" s="6">
        <v>12.0</v>
      </c>
      <c r="F241" s="6">
        <v>60.0</v>
      </c>
      <c r="G241" s="52">
        <v>45029.0</v>
      </c>
      <c r="H241" s="52">
        <v>46490.0</v>
      </c>
      <c r="I241" s="49">
        <v>162981.48</v>
      </c>
      <c r="J241" s="57"/>
    </row>
    <row r="242">
      <c r="A242" s="6">
        <v>250.0</v>
      </c>
      <c r="B242" s="50" t="str">
        <f>IFERROR(VLOOKUP($A242,EVENTO!$A$2:$C$4999,2,FALSE),"")</f>
        <v>CADASTRO</v>
      </c>
      <c r="C242" s="50" t="str">
        <f>IFERROR(VLOOKUP($A242,EVENTO!$A$2:$C$4999,3,FALSE),"")</f>
        <v>SECRETARIA MUNICIPAL DE INFORMAÇÃO E TECNOLOGIA - SEMIT</v>
      </c>
      <c r="D242" s="51">
        <v>45323.0</v>
      </c>
      <c r="E242" s="6">
        <v>12.0</v>
      </c>
      <c r="F242" s="6">
        <v>60.0</v>
      </c>
      <c r="G242" s="52">
        <v>45689.0</v>
      </c>
      <c r="H242" s="52">
        <v>47150.0</v>
      </c>
      <c r="I242" s="49">
        <v>219060.0</v>
      </c>
      <c r="J242" s="57"/>
    </row>
    <row r="243">
      <c r="A243" s="6">
        <v>251.0</v>
      </c>
      <c r="B243" s="50" t="str">
        <f>IFERROR(VLOOKUP($A243,EVENTO!$A$2:$C$4999,2,FALSE),"")</f>
        <v>ADITIVO DE REAJUSTE E PRAZO</v>
      </c>
      <c r="C243" s="50" t="str">
        <f>IFERROR(VLOOKUP($A243,EVENTO!$A$2:$C$4999,3,FALSE),"")</f>
        <v>SECRETARIA MUNICIPAL DE INFORMAÇÃO E TECNOLOGIA - SEMIT</v>
      </c>
      <c r="D243" s="51">
        <v>45689.0</v>
      </c>
      <c r="E243" s="6">
        <v>12.0</v>
      </c>
      <c r="F243" s="6">
        <v>60.0</v>
      </c>
      <c r="G243" s="52">
        <v>46054.0</v>
      </c>
      <c r="H243" s="52">
        <v>47150.0</v>
      </c>
      <c r="I243" s="49">
        <v>233214.36</v>
      </c>
      <c r="J243" s="57"/>
    </row>
    <row r="244">
      <c r="A244" s="6">
        <v>245.0</v>
      </c>
      <c r="B244" s="50" t="str">
        <f>IFERROR(VLOOKUP($A244,EVENTO!$A$2:$C$4999,2,FALSE),"")</f>
        <v>ADITIVO DE PRAZO</v>
      </c>
      <c r="C244" s="50" t="str">
        <f>IFERROR(VLOOKUP($A244,EVENTO!$A$2:$C$4999,3,FALSE),"")</f>
        <v>PREFEITURA MUNICIPAL DE ARACATI - GABINETE DO PREFEITO</v>
      </c>
      <c r="D244" s="51">
        <v>45029.0</v>
      </c>
      <c r="E244" s="6">
        <v>12.0</v>
      </c>
      <c r="F244" s="6">
        <v>60.0</v>
      </c>
      <c r="G244" s="52">
        <v>45395.0</v>
      </c>
      <c r="H244" s="52">
        <v>46490.0</v>
      </c>
      <c r="I244" s="49">
        <v>162981.48</v>
      </c>
      <c r="J244" s="57"/>
    </row>
    <row r="245">
      <c r="A245" s="6">
        <v>246.0</v>
      </c>
      <c r="B245" s="50" t="str">
        <f>IFERROR(VLOOKUP($A245,EVENTO!$A$2:$C$4999,2,FALSE),"")</f>
        <v>ADITIVO DE PRAZO</v>
      </c>
      <c r="C245" s="50" t="str">
        <f>IFERROR(VLOOKUP($A245,EVENTO!$A$2:$C$4999,3,FALSE),"")</f>
        <v>PREFEITURA MUNICIPAL DE ARACATI - GABINETE DO PREFEITO</v>
      </c>
      <c r="D245" s="51">
        <v>45396.0</v>
      </c>
      <c r="E245" s="6">
        <v>9.0</v>
      </c>
      <c r="F245" s="6">
        <v>60.0</v>
      </c>
      <c r="G245" s="53">
        <v>45657.0</v>
      </c>
      <c r="H245" s="52">
        <v>46490.0</v>
      </c>
      <c r="I245" s="49">
        <v>122236.11</v>
      </c>
      <c r="J245" s="57"/>
    </row>
    <row r="246">
      <c r="A246" s="6">
        <v>252.0</v>
      </c>
      <c r="B246" s="50" t="str">
        <f>IFERROR(VLOOKUP($A246,EVENTO!$A$2:$C$4999,2,FALSE),"")</f>
        <v>CADASTRO</v>
      </c>
      <c r="C246" s="50" t="str">
        <f>IFERROR(VLOOKUP($A246,EVENTO!$A$2:$C$4999,3,FALSE),"")</f>
        <v>PREFEITURA MUNICIPAL DE CAMOCIM - CONSERVAÇÃO E SERVIÇOS PUBLICOS</v>
      </c>
      <c r="D246" s="51">
        <v>44713.0</v>
      </c>
      <c r="E246" s="6">
        <v>7.0</v>
      </c>
      <c r="F246" s="6">
        <v>60.0</v>
      </c>
      <c r="G246" s="53">
        <v>44926.0</v>
      </c>
      <c r="H246" s="53">
        <v>46387.0</v>
      </c>
      <c r="I246" s="49">
        <v>30716.91</v>
      </c>
      <c r="J246" s="57"/>
    </row>
    <row r="247">
      <c r="A247" s="6">
        <v>253.0</v>
      </c>
      <c r="B247" s="50" t="str">
        <f>IFERROR(VLOOKUP($A247,EVENTO!$A$2:$C$4999,2,FALSE),"")</f>
        <v>ADITIVO DE PRAZO</v>
      </c>
      <c r="C247" s="50" t="str">
        <f>IFERROR(VLOOKUP($A247,EVENTO!$A$2:$C$4999,3,FALSE),"")</f>
        <v>PREFEITURA MUNICIPAL DE CAMOCIM - CONSERVAÇÃO E SERVIÇOS PUBLICOS</v>
      </c>
      <c r="D247" s="51">
        <v>45444.0</v>
      </c>
      <c r="E247" s="6">
        <v>12.0</v>
      </c>
      <c r="F247" s="6">
        <v>60.0</v>
      </c>
      <c r="G247" s="53">
        <v>45657.0</v>
      </c>
      <c r="H247" s="53">
        <v>46387.0</v>
      </c>
      <c r="I247" s="49">
        <v>52657.56</v>
      </c>
      <c r="J247" s="57"/>
    </row>
    <row r="248">
      <c r="A248" s="6">
        <v>254.0</v>
      </c>
      <c r="B248" s="50" t="str">
        <f>IFERROR(VLOOKUP($A248,EVENTO!$A$2:$C$4999,2,FALSE),"")</f>
        <v>ADITIVO DE PRAZO</v>
      </c>
      <c r="C248" s="50" t="str">
        <f>IFERROR(VLOOKUP($A248,EVENTO!$A$2:$C$4999,3,FALSE),"")</f>
        <v>PREFEITURA MUNICIPAL DE CAMOCIM - CONSERVAÇÃO E SERVIÇOS PUBLICOS</v>
      </c>
      <c r="D248" s="51">
        <v>45809.0</v>
      </c>
      <c r="E248" s="6">
        <v>12.0</v>
      </c>
      <c r="F248" s="6">
        <v>60.0</v>
      </c>
      <c r="G248" s="53">
        <v>46022.0</v>
      </c>
      <c r="H248" s="53">
        <v>46387.0</v>
      </c>
      <c r="I248" s="49">
        <v>52657.56</v>
      </c>
      <c r="J248" s="57"/>
    </row>
    <row r="249">
      <c r="A249" s="6">
        <v>255.0</v>
      </c>
      <c r="B249" s="50" t="str">
        <f>IFERROR(VLOOKUP($A249,EVENTO!$A$2:$C$4999,2,FALSE),"")</f>
        <v>CADASTRO</v>
      </c>
      <c r="C249" s="50" t="str">
        <f>IFERROR(VLOOKUP($A249,EVENTO!$A$2:$C$4999,3,FALSE),"")</f>
        <v>PREFEITURA MUNICIPAL DE CAMOCIM - CULTURA</v>
      </c>
      <c r="D249" s="51">
        <v>44713.0</v>
      </c>
      <c r="E249" s="6">
        <v>7.0</v>
      </c>
      <c r="F249" s="6">
        <v>60.0</v>
      </c>
      <c r="G249" s="53">
        <v>44926.0</v>
      </c>
      <c r="H249" s="53">
        <v>46387.0</v>
      </c>
      <c r="I249" s="49">
        <v>21915.88</v>
      </c>
      <c r="J249" s="57"/>
    </row>
    <row r="250">
      <c r="A250" s="6">
        <v>256.0</v>
      </c>
      <c r="B250" s="50" t="str">
        <f>IFERROR(VLOOKUP($A250,EVENTO!$A$2:$C$4999,2,FALSE),"")</f>
        <v>ADITIVO DE PRAZO</v>
      </c>
      <c r="C250" s="50" t="str">
        <f>IFERROR(VLOOKUP($A250,EVENTO!$A$2:$C$4999,3,FALSE),"")</f>
        <v>PREFEITURA MUNICIPAL DE CAMOCIM - CULTURA</v>
      </c>
      <c r="D250" s="51">
        <v>45444.0</v>
      </c>
      <c r="E250" s="6">
        <v>12.0</v>
      </c>
      <c r="F250" s="6">
        <v>60.0</v>
      </c>
      <c r="G250" s="53">
        <v>45657.0</v>
      </c>
      <c r="H250" s="53">
        <v>46387.0</v>
      </c>
      <c r="I250" s="49">
        <v>37570.08</v>
      </c>
      <c r="J250" s="57"/>
    </row>
    <row r="251">
      <c r="A251" s="6">
        <v>257.0</v>
      </c>
      <c r="B251" s="50" t="str">
        <f>IFERROR(VLOOKUP($A251,EVENTO!$A$2:$C$4999,2,FALSE),"")</f>
        <v>ADITIVO DE PRAZO</v>
      </c>
      <c r="C251" s="50" t="str">
        <f>IFERROR(VLOOKUP($A251,EVENTO!$A$2:$C$4999,3,FALSE),"")</f>
        <v>PREFEITURA MUNICIPAL DE CAMOCIM - CULTURA</v>
      </c>
      <c r="D251" s="51">
        <v>45809.0</v>
      </c>
      <c r="E251" s="6">
        <v>12.0</v>
      </c>
      <c r="F251" s="6">
        <v>60.0</v>
      </c>
      <c r="G251" s="53">
        <v>46022.0</v>
      </c>
      <c r="H251" s="53">
        <v>46387.0</v>
      </c>
      <c r="I251" s="49">
        <v>37570.08</v>
      </c>
      <c r="J251" s="57"/>
    </row>
    <row r="252">
      <c r="A252" s="6">
        <v>258.0</v>
      </c>
      <c r="B252" s="50" t="str">
        <f>IFERROR(VLOOKUP($A252,EVENTO!$A$2:$C$4999,2,FALSE),"")</f>
        <v>CADASTRO</v>
      </c>
      <c r="C252" s="50" t="str">
        <f>IFERROR(VLOOKUP($A252,EVENTO!$A$2:$C$4999,3,FALSE),"")</f>
        <v>PREFEITURA MUNICIPAL DE CAMOCIM -  DESENVOLVIMENTO SOCIAL E CIDADANIA</v>
      </c>
      <c r="D252" s="51">
        <v>44713.0</v>
      </c>
      <c r="E252" s="6">
        <v>7.0</v>
      </c>
      <c r="F252" s="6">
        <v>60.0</v>
      </c>
      <c r="G252" s="53">
        <v>44926.0</v>
      </c>
      <c r="H252" s="53">
        <v>46387.0</v>
      </c>
      <c r="I252" s="49">
        <v>153340.81</v>
      </c>
    </row>
    <row r="253">
      <c r="A253" s="6">
        <v>259.0</v>
      </c>
      <c r="B253" s="50" t="str">
        <f>IFERROR(VLOOKUP($A253,EVENTO!$A$2:$C$4999,2,FALSE),"")</f>
        <v>ADITIVO DE PRAZO</v>
      </c>
      <c r="C253" s="50" t="str">
        <f>IFERROR(VLOOKUP($A253,EVENTO!$A$2:$C$4999,3,FALSE),"")</f>
        <v>PREFEITURA MUNICIPAL DE CAMOCIM -  DESENVOLVIMENTO SOCIAL E CIDADANIA</v>
      </c>
      <c r="D253" s="51">
        <v>45444.0</v>
      </c>
      <c r="E253" s="6">
        <v>12.0</v>
      </c>
      <c r="F253" s="6">
        <v>60.0</v>
      </c>
      <c r="G253" s="53">
        <v>45657.0</v>
      </c>
      <c r="H253" s="53">
        <v>46387.0</v>
      </c>
      <c r="I253" s="49">
        <v>262869.96</v>
      </c>
    </row>
    <row r="254">
      <c r="A254" s="6">
        <v>260.0</v>
      </c>
      <c r="B254" s="50" t="str">
        <f>IFERROR(VLOOKUP($A254,EVENTO!$A$2:$C$4999,2,FALSE),"")</f>
        <v>ADITIVO DE PRAZO</v>
      </c>
      <c r="C254" s="50" t="str">
        <f>IFERROR(VLOOKUP($A254,EVENTO!$A$2:$C$4999,3,FALSE),"")</f>
        <v>PREFEITURA MUNICIPAL DE CAMOCIM -  DESENVOLVIMENTO SOCIAL E CIDADANIA</v>
      </c>
      <c r="D254" s="51">
        <v>45809.0</v>
      </c>
      <c r="E254" s="6">
        <v>12.0</v>
      </c>
      <c r="F254" s="6">
        <v>60.0</v>
      </c>
      <c r="G254" s="53">
        <v>46022.0</v>
      </c>
      <c r="H254" s="53">
        <v>46387.0</v>
      </c>
      <c r="I254" s="49">
        <v>262869.96</v>
      </c>
    </row>
    <row r="255">
      <c r="A255" s="6">
        <v>261.0</v>
      </c>
      <c r="B255" s="50" t="str">
        <f>IFERROR(VLOOKUP($A255,EVENTO!$A$2:$C$4999,2,FALSE),"")</f>
        <v>CADASTRO</v>
      </c>
      <c r="C255" s="50" t="str">
        <f>IFERROR(VLOOKUP($A255,EVENTO!$A$2:$C$4999,3,FALSE),"")</f>
        <v>PREFEITURA MUNICIPAL DE CAMOCIM - EDUCAÇÃO </v>
      </c>
      <c r="D255" s="51">
        <v>44713.0</v>
      </c>
      <c r="E255" s="6">
        <v>7.0</v>
      </c>
      <c r="F255" s="6">
        <v>60.0</v>
      </c>
      <c r="G255" s="53">
        <v>44926.0</v>
      </c>
      <c r="H255" s="53">
        <v>46387.0</v>
      </c>
      <c r="I255" s="49">
        <v>195347.6</v>
      </c>
    </row>
    <row r="256">
      <c r="A256" s="6">
        <v>262.0</v>
      </c>
      <c r="B256" s="50" t="str">
        <f>IFERROR(VLOOKUP($A256,EVENTO!$A$2:$C$4999,2,FALSE),"")</f>
        <v>ADITIVO DE PRAZO</v>
      </c>
      <c r="C256" s="50" t="str">
        <f>IFERROR(VLOOKUP($A256,EVENTO!$A$2:$C$4999,3,FALSE),"")</f>
        <v>PREFEITURA MUNICIPAL DE CAMOCIM - EDUCAÇÃO </v>
      </c>
      <c r="D256" s="51">
        <v>45444.0</v>
      </c>
      <c r="E256" s="6">
        <v>12.0</v>
      </c>
      <c r="F256" s="6">
        <v>60.0</v>
      </c>
      <c r="G256" s="53">
        <v>45657.0</v>
      </c>
      <c r="H256" s="53">
        <v>46387.0</v>
      </c>
      <c r="I256" s="49">
        <v>334881.6</v>
      </c>
    </row>
    <row r="257">
      <c r="A257" s="6">
        <v>263.0</v>
      </c>
      <c r="B257" s="50" t="str">
        <f>IFERROR(VLOOKUP($A257,EVENTO!$A$2:$C$4999,2,FALSE),"")</f>
        <v>ADITIVO DE PRAZO</v>
      </c>
      <c r="C257" s="50" t="str">
        <f>IFERROR(VLOOKUP($A257,EVENTO!$A$2:$C$4999,3,FALSE),"")</f>
        <v>PREFEITURA MUNICIPAL DE CAMOCIM - EDUCAÇÃO </v>
      </c>
      <c r="D257" s="51">
        <v>45809.0</v>
      </c>
      <c r="E257" s="6">
        <v>12.0</v>
      </c>
      <c r="F257" s="6">
        <v>60.0</v>
      </c>
      <c r="G257" s="53">
        <v>46022.0</v>
      </c>
      <c r="H257" s="53">
        <v>46387.0</v>
      </c>
      <c r="I257" s="49">
        <v>334881.6</v>
      </c>
    </row>
    <row r="258">
      <c r="A258" s="6">
        <v>247.0</v>
      </c>
      <c r="B258" s="50" t="str">
        <f>IFERROR(VLOOKUP($A258,EVENTO!$A$2:$C$4999,2,FALSE),"")</f>
        <v>ADITIVO DE PRAZO</v>
      </c>
      <c r="C258" s="50" t="str">
        <f>IFERROR(VLOOKUP($A258,EVENTO!$A$2:$C$4999,3,FALSE),"")</f>
        <v>PREFEITURA MUNICIPAL DE ARACATI - GABINETE DO PREFEITO</v>
      </c>
      <c r="D258" s="51">
        <v>45839.0</v>
      </c>
      <c r="E258" s="6">
        <v>4.0</v>
      </c>
      <c r="F258" s="6">
        <v>60.0</v>
      </c>
      <c r="G258" s="53">
        <v>45961.0</v>
      </c>
      <c r="H258" s="52">
        <v>46490.0</v>
      </c>
      <c r="I258" s="49">
        <v>54327.16</v>
      </c>
    </row>
    <row r="259">
      <c r="A259" s="6">
        <v>264.0</v>
      </c>
      <c r="B259" s="50" t="str">
        <f>IFERROR(VLOOKUP($A259,EVENTO!$A$2:$C$4999,2,FALSE),"")</f>
        <v>CADASTRO</v>
      </c>
      <c r="C259" s="50" t="str">
        <f>IFERROR(VLOOKUP($A259,EVENTO!$A$2:$C$4999,3,FALSE),"")</f>
        <v>PREFEITURA MUNICIPAL DE CAMOCIM - ESPORTE E JUVENTUDE</v>
      </c>
      <c r="D259" s="51">
        <v>44713.0</v>
      </c>
      <c r="E259" s="6">
        <v>7.0</v>
      </c>
      <c r="F259" s="6">
        <v>60.0</v>
      </c>
      <c r="G259" s="53">
        <v>44926.0</v>
      </c>
      <c r="H259" s="53">
        <v>46387.0</v>
      </c>
      <c r="I259" s="49">
        <v>21822.85</v>
      </c>
    </row>
    <row r="260">
      <c r="A260" s="6">
        <v>265.0</v>
      </c>
      <c r="B260" s="50" t="str">
        <f>IFERROR(VLOOKUP($A260,EVENTO!$A$2:$C$4999,2,FALSE),"")</f>
        <v>ADITIVO DE PRAZO</v>
      </c>
      <c r="C260" s="50" t="str">
        <f>IFERROR(VLOOKUP($A260,EVENTO!$A$2:$C$4999,3,FALSE),"")</f>
        <v>PREFEITURA MUNICIPAL DE CAMOCIM - ESPORTE E JUVENTUDE</v>
      </c>
      <c r="D260" s="51">
        <v>45444.0</v>
      </c>
      <c r="E260" s="6">
        <v>12.0</v>
      </c>
      <c r="F260" s="6">
        <v>60.0</v>
      </c>
      <c r="G260" s="53">
        <v>45657.0</v>
      </c>
      <c r="H260" s="53">
        <v>46387.0</v>
      </c>
      <c r="I260" s="49">
        <v>37410.6</v>
      </c>
    </row>
    <row r="261">
      <c r="A261" s="6">
        <v>266.0</v>
      </c>
      <c r="B261" s="50" t="str">
        <f>IFERROR(VLOOKUP($A261,EVENTO!$A$2:$C$4999,2,FALSE),"")</f>
        <v>ADITIVO DE PRAZO</v>
      </c>
      <c r="C261" s="50" t="str">
        <f>IFERROR(VLOOKUP($A261,EVENTO!$A$2:$C$4999,3,FALSE),"")</f>
        <v>PREFEITURA MUNICIPAL DE CAMOCIM - ESPORTE E JUVENTUDE</v>
      </c>
      <c r="D261" s="51">
        <v>45809.0</v>
      </c>
      <c r="E261" s="6">
        <v>12.0</v>
      </c>
      <c r="F261" s="6">
        <v>60.0</v>
      </c>
      <c r="G261" s="53">
        <v>46022.0</v>
      </c>
      <c r="H261" s="53">
        <v>46387.0</v>
      </c>
      <c r="I261" s="49">
        <v>37410.6</v>
      </c>
    </row>
    <row r="262">
      <c r="A262" s="6">
        <v>267.0</v>
      </c>
      <c r="B262" s="50" t="str">
        <f>IFERROR(VLOOKUP($A262,EVENTO!$A$2:$C$4999,2,FALSE),"")</f>
        <v>CADASTRO</v>
      </c>
      <c r="C262" s="50" t="str">
        <f>IFERROR(VLOOKUP($A262,EVENTO!$A$2:$C$4999,3,FALSE),"")</f>
        <v>PREFEITURA MUNICIPAL DE CAMOCIM - GABINETE DA PREFEITA</v>
      </c>
      <c r="D262" s="51">
        <v>44713.0</v>
      </c>
      <c r="E262" s="6">
        <v>7.0</v>
      </c>
      <c r="F262" s="6">
        <v>60.0</v>
      </c>
      <c r="G262" s="53">
        <v>44926.0</v>
      </c>
      <c r="H262" s="53">
        <v>46387.0</v>
      </c>
      <c r="I262" s="49">
        <v>155820.35</v>
      </c>
    </row>
    <row r="263">
      <c r="A263" s="6">
        <v>268.0</v>
      </c>
      <c r="B263" s="50" t="str">
        <f>IFERROR(VLOOKUP($A263,EVENTO!$A$2:$C$4999,2,FALSE),"")</f>
        <v>ADITIVO DE PRAZO</v>
      </c>
      <c r="C263" s="50" t="str">
        <f>IFERROR(VLOOKUP($A263,EVENTO!$A$2:$C$4999,3,FALSE),"")</f>
        <v>PREFEITURA MUNICIPAL DE CAMOCIM - GABINETE DA PREFEITA</v>
      </c>
      <c r="D263" s="51">
        <v>45444.0</v>
      </c>
      <c r="E263" s="6">
        <v>12.0</v>
      </c>
      <c r="F263" s="6">
        <v>60.0</v>
      </c>
      <c r="G263" s="53">
        <v>45657.0</v>
      </c>
      <c r="H263" s="53">
        <v>46387.0</v>
      </c>
      <c r="I263" s="49">
        <v>267120.6</v>
      </c>
    </row>
    <row r="264">
      <c r="A264" s="6">
        <v>269.0</v>
      </c>
      <c r="B264" s="50" t="str">
        <f>IFERROR(VLOOKUP($A264,EVENTO!$A$2:$C$4999,2,FALSE),"")</f>
        <v>ADITIVO DE PRAZO</v>
      </c>
      <c r="C264" s="50" t="str">
        <f>IFERROR(VLOOKUP($A264,EVENTO!$A$2:$C$4999,3,FALSE),"")</f>
        <v>PREFEITURA MUNICIPAL DE CAMOCIM - GABINETE DA PREFEITA</v>
      </c>
      <c r="D264" s="51">
        <v>45809.0</v>
      </c>
      <c r="E264" s="6">
        <v>12.0</v>
      </c>
      <c r="F264" s="6">
        <v>60.0</v>
      </c>
      <c r="G264" s="53">
        <v>46022.0</v>
      </c>
      <c r="H264" s="53">
        <v>46387.0</v>
      </c>
      <c r="I264" s="49">
        <v>267120.6</v>
      </c>
    </row>
    <row r="265">
      <c r="A265" s="6">
        <v>270.0</v>
      </c>
      <c r="B265" s="50" t="str">
        <f>IFERROR(VLOOKUP($A265,EVENTO!$A$2:$C$4999,2,FALSE),"")</f>
        <v>CADASTRO</v>
      </c>
      <c r="C265" s="50" t="str">
        <f>IFERROR(VLOOKUP($A265,EVENTO!$A$2:$C$4999,3,FALSE),"")</f>
        <v>PREFEITURA MUNICIPAL DE CAMOCIM - GESTÃO ADMINISTRATIVA</v>
      </c>
      <c r="D265" s="51">
        <v>44713.0</v>
      </c>
      <c r="E265" s="6">
        <v>7.0</v>
      </c>
      <c r="F265" s="6">
        <v>60.0</v>
      </c>
      <c r="G265" s="53">
        <v>44926.0</v>
      </c>
      <c r="H265" s="53">
        <v>46387.0</v>
      </c>
      <c r="I265" s="49">
        <v>268148.72</v>
      </c>
    </row>
    <row r="266">
      <c r="A266" s="6">
        <v>271.0</v>
      </c>
      <c r="B266" s="50" t="str">
        <f>IFERROR(VLOOKUP($A266,EVENTO!$A$2:$C$4999,2,FALSE),"")</f>
        <v>ADITIVO DE PRAZO</v>
      </c>
      <c r="C266" s="50" t="str">
        <f>IFERROR(VLOOKUP($A266,EVENTO!$A$2:$C$4999,3,FALSE),"")</f>
        <v>PREFEITURA MUNICIPAL DE CAMOCIM - GESTÃO ADMINISTRATIVA</v>
      </c>
      <c r="D266" s="51">
        <v>45444.0</v>
      </c>
      <c r="E266" s="6">
        <v>12.0</v>
      </c>
      <c r="F266" s="6">
        <v>60.0</v>
      </c>
      <c r="G266" s="53">
        <v>45657.0</v>
      </c>
      <c r="H266" s="53">
        <v>46387.0</v>
      </c>
      <c r="I266" s="49">
        <v>459683.52</v>
      </c>
    </row>
    <row r="267">
      <c r="A267" s="6">
        <v>272.0</v>
      </c>
      <c r="B267" s="50" t="str">
        <f>IFERROR(VLOOKUP($A267,EVENTO!$A$2:$C$4999,2,FALSE),"")</f>
        <v>ADITIVO DE PRAZO</v>
      </c>
      <c r="C267" s="50" t="str">
        <f>IFERROR(VLOOKUP($A267,EVENTO!$A$2:$C$4999,3,FALSE),"")</f>
        <v>PREFEITURA MUNICIPAL DE CAMOCIM - GESTÃO ADMINISTRATIVA</v>
      </c>
      <c r="D267" s="51">
        <v>45809.0</v>
      </c>
      <c r="E267" s="6">
        <v>12.0</v>
      </c>
      <c r="F267" s="6">
        <v>60.0</v>
      </c>
      <c r="G267" s="53">
        <v>46022.0</v>
      </c>
      <c r="H267" s="53">
        <v>46387.0</v>
      </c>
      <c r="I267" s="49">
        <v>459683.52</v>
      </c>
    </row>
    <row r="268">
      <c r="A268" s="6">
        <v>273.0</v>
      </c>
      <c r="B268" s="50" t="str">
        <f>IFERROR(VLOOKUP($A268,EVENTO!$A$2:$C$4999,2,FALSE),"")</f>
        <v>CADASTRO</v>
      </c>
      <c r="C268" s="50" t="str">
        <f>IFERROR(VLOOKUP($A268,EVENTO!$A$2:$C$4999,3,FALSE),"")</f>
        <v>PREFEITURA MUNICIPAL DE CAMOCIM - INFRAESTRUTURA</v>
      </c>
      <c r="D268" s="51">
        <v>44713.0</v>
      </c>
      <c r="E268" s="6">
        <v>7.0</v>
      </c>
      <c r="F268" s="6">
        <v>60.0</v>
      </c>
      <c r="G268" s="53">
        <v>44926.0</v>
      </c>
      <c r="H268" s="53">
        <v>46387.0</v>
      </c>
      <c r="I268" s="49">
        <v>54158.86</v>
      </c>
    </row>
    <row r="269">
      <c r="A269" s="6">
        <v>274.0</v>
      </c>
      <c r="B269" s="50" t="str">
        <f>IFERROR(VLOOKUP($A269,EVENTO!$A$2:$C$4999,2,FALSE),"")</f>
        <v>ADITIVO DE PRAZO</v>
      </c>
      <c r="C269" s="50" t="str">
        <f>IFERROR(VLOOKUP($A269,EVENTO!$A$2:$C$4999,3,FALSE),"")</f>
        <v>PREFEITURA MUNICIPAL DE CAMOCIM - INFRAESTRUTURA</v>
      </c>
      <c r="D269" s="51">
        <v>45444.0</v>
      </c>
      <c r="E269" s="6">
        <v>12.0</v>
      </c>
      <c r="F269" s="6">
        <v>60.0</v>
      </c>
      <c r="G269" s="53">
        <v>45657.0</v>
      </c>
      <c r="H269" s="53">
        <v>46387.0</v>
      </c>
      <c r="I269" s="49">
        <v>92843.76</v>
      </c>
    </row>
    <row r="270">
      <c r="A270" s="6">
        <v>275.0</v>
      </c>
      <c r="B270" s="50" t="str">
        <f>IFERROR(VLOOKUP($A270,EVENTO!$A$2:$C$4999,2,FALSE),"")</f>
        <v>ADITIVO DE PRAZO</v>
      </c>
      <c r="C270" s="50" t="str">
        <f>IFERROR(VLOOKUP($A270,EVENTO!$A$2:$C$4999,3,FALSE),"")</f>
        <v>PREFEITURA MUNICIPAL DE CAMOCIM - INFRAESTRUTURA</v>
      </c>
      <c r="D270" s="51">
        <v>45809.0</v>
      </c>
      <c r="E270" s="6">
        <v>12.0</v>
      </c>
      <c r="F270" s="6">
        <v>60.0</v>
      </c>
      <c r="G270" s="53">
        <v>46022.0</v>
      </c>
      <c r="H270" s="53">
        <v>46387.0</v>
      </c>
      <c r="I270" s="49">
        <v>92843.76</v>
      </c>
    </row>
    <row r="271">
      <c r="A271" s="6">
        <v>276.0</v>
      </c>
      <c r="B271" s="50" t="str">
        <f>IFERROR(VLOOKUP($A271,EVENTO!$A$2:$C$4999,2,FALSE),"")</f>
        <v>CADASTRO</v>
      </c>
      <c r="C271" s="50" t="str">
        <f>IFERROR(VLOOKUP($A271,EVENTO!$A$2:$C$4999,3,FALSE),"")</f>
        <v>PREFEITURA MUNICIPAL DE CAMOCIM - PESCA, AGRICULTURA, RECURSOS HÍDRICOS E MEIO AMBIENTE</v>
      </c>
      <c r="D271" s="51">
        <v>44713.0</v>
      </c>
      <c r="E271" s="6">
        <v>7.0</v>
      </c>
      <c r="F271" s="6">
        <v>60.0</v>
      </c>
      <c r="G271" s="53">
        <v>44926.0</v>
      </c>
      <c r="H271" s="53">
        <v>46387.0</v>
      </c>
      <c r="I271" s="49">
        <v>28973.77</v>
      </c>
    </row>
    <row r="272">
      <c r="A272" s="6">
        <v>277.0</v>
      </c>
      <c r="B272" s="50" t="str">
        <f>IFERROR(VLOOKUP($A272,EVENTO!$A$2:$C$4999,2,FALSE),"")</f>
        <v>ADITIVO DE PRAZO</v>
      </c>
      <c r="C272" s="50" t="str">
        <f>IFERROR(VLOOKUP($A272,EVENTO!$A$2:$C$4999,3,FALSE),"")</f>
        <v>PREFEITURA MUNICIPAL DE CAMOCIM - PESCA, AGRICULTURA, RECURSOS HÍDRICOS E MEIO AMBIENTE</v>
      </c>
      <c r="D272" s="51">
        <v>45444.0</v>
      </c>
      <c r="E272" s="6">
        <v>12.0</v>
      </c>
      <c r="F272" s="6">
        <v>60.0</v>
      </c>
      <c r="G272" s="53">
        <v>45657.0</v>
      </c>
      <c r="H272" s="53">
        <v>46387.0</v>
      </c>
      <c r="I272" s="49">
        <v>49669.32</v>
      </c>
    </row>
    <row r="273">
      <c r="A273" s="6">
        <v>278.0</v>
      </c>
      <c r="B273" s="50" t="str">
        <f>IFERROR(VLOOKUP($A273,EVENTO!$A$2:$C$4999,2,FALSE),"")</f>
        <v>ADITIVO DE PRAZO</v>
      </c>
      <c r="C273" s="50" t="str">
        <f>IFERROR(VLOOKUP($A273,EVENTO!$A$2:$C$4999,3,FALSE),"")</f>
        <v>PREFEITURA MUNICIPAL DE CAMOCIM - PESCA, AGRICULTURA, RECURSOS HÍDRICOS E MEIO AMBIENTE</v>
      </c>
      <c r="D273" s="51">
        <v>45809.0</v>
      </c>
      <c r="E273" s="6">
        <v>12.0</v>
      </c>
      <c r="F273" s="6">
        <v>60.0</v>
      </c>
      <c r="G273" s="53">
        <v>46022.0</v>
      </c>
      <c r="H273" s="53">
        <v>46387.0</v>
      </c>
      <c r="I273" s="49">
        <v>49669.32</v>
      </c>
    </row>
    <row r="274">
      <c r="A274" s="6">
        <v>279.0</v>
      </c>
      <c r="B274" s="50" t="str">
        <f>IFERROR(VLOOKUP($A274,EVENTO!$A$2:$C$4999,2,FALSE),"")</f>
        <v>CADASTRO</v>
      </c>
      <c r="C274" s="50" t="str">
        <f>IFERROR(VLOOKUP($A274,EVENTO!$A$2:$C$4999,3,FALSE),"")</f>
        <v>PREFEITURA MUNICIPAL DE CAMOCIM - PROCURADORIA GERAL DO MUNICÍPIO</v>
      </c>
      <c r="D274" s="51">
        <v>44713.0</v>
      </c>
      <c r="E274" s="6">
        <v>7.0</v>
      </c>
      <c r="F274" s="6">
        <v>60.0</v>
      </c>
      <c r="G274" s="53">
        <v>44926.0</v>
      </c>
      <c r="H274" s="53">
        <v>46387.0</v>
      </c>
      <c r="I274" s="49">
        <v>35129.29</v>
      </c>
    </row>
    <row r="275">
      <c r="A275" s="6">
        <v>280.0</v>
      </c>
      <c r="B275" s="50" t="str">
        <f>IFERROR(VLOOKUP($A275,EVENTO!$A$2:$C$4999,2,FALSE),"")</f>
        <v>ADITIVO DE PRAZO</v>
      </c>
      <c r="C275" s="50" t="str">
        <f>IFERROR(VLOOKUP($A275,EVENTO!$A$2:$C$4999,3,FALSE),"")</f>
        <v>PREFEITURA MUNICIPAL DE CAMOCIM - PROCURADORIA GERAL DO MUNICÍPIO</v>
      </c>
      <c r="D275" s="51">
        <v>45444.0</v>
      </c>
      <c r="E275" s="6">
        <v>12.0</v>
      </c>
      <c r="F275" s="6">
        <v>60.0</v>
      </c>
      <c r="G275" s="53">
        <v>45657.0</v>
      </c>
      <c r="H275" s="53">
        <v>46387.0</v>
      </c>
      <c r="I275" s="49">
        <v>60221.64</v>
      </c>
    </row>
    <row r="276">
      <c r="A276" s="6">
        <v>281.0</v>
      </c>
      <c r="B276" s="50" t="str">
        <f>IFERROR(VLOOKUP($A276,EVENTO!$A$2:$C$4999,2,FALSE),"")</f>
        <v>ADITIVO DE PRAZO</v>
      </c>
      <c r="C276" s="50" t="str">
        <f>IFERROR(VLOOKUP($A276,EVENTO!$A$2:$C$4999,3,FALSE),"")</f>
        <v>PREFEITURA MUNICIPAL DE CAMOCIM - PROCURADORIA GERAL DO MUNICÍPIO</v>
      </c>
      <c r="D276" s="51">
        <v>45809.0</v>
      </c>
      <c r="E276" s="6">
        <v>12.0</v>
      </c>
      <c r="F276" s="6">
        <v>60.0</v>
      </c>
      <c r="G276" s="53">
        <v>46022.0</v>
      </c>
      <c r="H276" s="53">
        <v>46387.0</v>
      </c>
      <c r="I276" s="49">
        <v>60221.64</v>
      </c>
    </row>
    <row r="277">
      <c r="A277" s="6">
        <v>282.0</v>
      </c>
      <c r="B277" s="50" t="str">
        <f>IFERROR(VLOOKUP($A277,EVENTO!$A$2:$C$4999,2,FALSE),"")</f>
        <v>CADASTRO</v>
      </c>
      <c r="C277" s="50" t="str">
        <f>IFERROR(VLOOKUP($A277,EVENTO!$A$2:$C$4999,3,FALSE),"")</f>
        <v>PREFEITURA MUNICIPAL DE CAMOCIM - SAÚDE</v>
      </c>
      <c r="D277" s="51">
        <v>44713.0</v>
      </c>
      <c r="E277" s="6">
        <v>7.0</v>
      </c>
      <c r="F277" s="6">
        <v>60.0</v>
      </c>
      <c r="G277" s="53">
        <v>44926.0</v>
      </c>
      <c r="H277" s="53">
        <v>46387.0</v>
      </c>
      <c r="I277" s="49">
        <v>251490.26</v>
      </c>
    </row>
    <row r="278">
      <c r="A278" s="6">
        <v>283.0</v>
      </c>
      <c r="B278" s="50" t="str">
        <f>IFERROR(VLOOKUP($A278,EVENTO!$A$2:$C$4999,2,FALSE),"")</f>
        <v>ADITIVO DE PRAZO</v>
      </c>
      <c r="C278" s="50" t="str">
        <f>IFERROR(VLOOKUP($A278,EVENTO!$A$2:$C$4999,3,FALSE),"")</f>
        <v>PREFEITURA MUNICIPAL DE CAMOCIM - SAÚDE</v>
      </c>
      <c r="D278" s="51">
        <v>45444.0</v>
      </c>
      <c r="E278" s="6">
        <v>12.0</v>
      </c>
      <c r="F278" s="6">
        <v>60.0</v>
      </c>
      <c r="G278" s="53">
        <v>45657.0</v>
      </c>
      <c r="H278" s="53">
        <v>46387.0</v>
      </c>
      <c r="I278" s="49">
        <v>431126.16</v>
      </c>
    </row>
    <row r="279">
      <c r="A279" s="6">
        <v>284.0</v>
      </c>
      <c r="B279" s="50" t="str">
        <f>IFERROR(VLOOKUP($A279,EVENTO!$A$2:$C$4999,2,FALSE),"")</f>
        <v>ADITIVO DE PRAZO</v>
      </c>
      <c r="C279" s="50" t="str">
        <f>IFERROR(VLOOKUP($A279,EVENTO!$A$2:$C$4999,3,FALSE),"")</f>
        <v>PREFEITURA MUNICIPAL DE CAMOCIM - SAÚDE</v>
      </c>
      <c r="D279" s="51">
        <v>45809.0</v>
      </c>
      <c r="E279" s="6">
        <v>12.0</v>
      </c>
      <c r="F279" s="6">
        <v>60.0</v>
      </c>
      <c r="G279" s="53">
        <v>46022.0</v>
      </c>
      <c r="H279" s="53">
        <v>46387.0</v>
      </c>
      <c r="I279" s="49">
        <v>431126.16</v>
      </c>
    </row>
    <row r="280">
      <c r="A280" s="6">
        <v>285.0</v>
      </c>
      <c r="B280" s="50" t="str">
        <f>IFERROR(VLOOKUP($A280,EVENTO!$A$2:$C$4999,2,FALSE),"")</f>
        <v>CADASTRO</v>
      </c>
      <c r="C280" s="50" t="str">
        <f>IFERROR(VLOOKUP($A280,EVENTO!$A$2:$C$4999,3,FALSE),"")</f>
        <v>PREFEITURA  MUNICIPAL DE CAUCAIA - CONTROLADORIA</v>
      </c>
      <c r="D280" s="51">
        <v>44459.0</v>
      </c>
      <c r="E280" s="6">
        <v>12.0</v>
      </c>
      <c r="F280" s="6">
        <v>60.0</v>
      </c>
      <c r="G280" s="52">
        <v>44824.0</v>
      </c>
      <c r="H280" s="52">
        <v>46285.0</v>
      </c>
      <c r="I280" s="49">
        <v>253382.64</v>
      </c>
    </row>
    <row r="281">
      <c r="A281" s="6">
        <v>286.0</v>
      </c>
      <c r="B281" s="50" t="str">
        <f>IFERROR(VLOOKUP($A281,EVENTO!$A$2:$C$4999,2,FALSE),"")</f>
        <v>CADASTRO</v>
      </c>
      <c r="C281" s="50" t="str">
        <f>IFERROR(VLOOKUP($A281,EVENTO!$A$2:$C$4999,3,FALSE),"")</f>
        <v>PREFEITURA MUNICIPAL DE CAMOCIM - SEGURANÇA, TRÂNSITO E DEFESA CIVIL</v>
      </c>
      <c r="D281" s="51">
        <v>44713.0</v>
      </c>
      <c r="E281" s="6">
        <v>7.0</v>
      </c>
      <c r="F281" s="6">
        <v>60.0</v>
      </c>
      <c r="G281" s="53">
        <v>44926.0</v>
      </c>
      <c r="H281" s="53">
        <v>46387.0</v>
      </c>
      <c r="I281" s="49">
        <v>25536.63</v>
      </c>
    </row>
    <row r="282">
      <c r="A282" s="6">
        <v>287.0</v>
      </c>
      <c r="B282" s="50" t="str">
        <f>IFERROR(VLOOKUP($A282,EVENTO!$A$2:$C$4999,2,FALSE),"")</f>
        <v>ADITIVO DE PRAZO</v>
      </c>
      <c r="C282" s="50" t="str">
        <f>IFERROR(VLOOKUP($A282,EVENTO!$A$2:$C$4999,3,FALSE),"")</f>
        <v>PREFEITURA MUNICIPAL DE CAMOCIM - SEGURANÇA, TRÂNSITO E DEFESA CIVIL</v>
      </c>
      <c r="D282" s="51">
        <v>45444.0</v>
      </c>
      <c r="E282" s="6">
        <v>12.0</v>
      </c>
      <c r="F282" s="6">
        <v>60.0</v>
      </c>
      <c r="G282" s="53">
        <v>45657.0</v>
      </c>
      <c r="H282" s="53">
        <v>46387.0</v>
      </c>
      <c r="I282" s="49">
        <v>43777.08</v>
      </c>
    </row>
    <row r="283">
      <c r="A283" s="6">
        <v>288.0</v>
      </c>
      <c r="B283" s="50" t="str">
        <f>IFERROR(VLOOKUP($A283,EVENTO!$A$2:$C$4999,2,FALSE),"")</f>
        <v>ADITIVO DE PRAZO</v>
      </c>
      <c r="C283" s="50" t="str">
        <f>IFERROR(VLOOKUP($A283,EVENTO!$A$2:$C$4999,3,FALSE),"")</f>
        <v>PREFEITURA MUNICIPAL DE CAMOCIM - SEGURANÇA, TRÂNSITO E DEFESA CIVIL</v>
      </c>
      <c r="D283" s="51">
        <v>45809.0</v>
      </c>
      <c r="E283" s="6">
        <v>12.0</v>
      </c>
      <c r="F283" s="6">
        <v>60.0</v>
      </c>
      <c r="G283" s="53">
        <v>46022.0</v>
      </c>
      <c r="H283" s="53">
        <v>46387.0</v>
      </c>
      <c r="I283" s="49">
        <v>43777.08</v>
      </c>
    </row>
    <row r="284">
      <c r="A284" s="6">
        <v>289.0</v>
      </c>
      <c r="B284" s="50" t="str">
        <f>IFERROR(VLOOKUP($A284,EVENTO!$A$2:$C$4999,2,FALSE),"")</f>
        <v>ADITIVO DE PRAZO</v>
      </c>
      <c r="C284" s="50" t="str">
        <f>IFERROR(VLOOKUP($A284,EVENTO!$A$2:$C$4999,3,FALSE),"")</f>
        <v>PREFEITURA  MUNICIPAL DE CAUCAIA - CONTROLADORIA</v>
      </c>
      <c r="D284" s="51">
        <v>44823.0</v>
      </c>
      <c r="E284" s="6">
        <v>12.0</v>
      </c>
      <c r="F284" s="6">
        <v>60.0</v>
      </c>
      <c r="G284" s="52">
        <v>45188.0</v>
      </c>
      <c r="H284" s="52">
        <v>46284.0</v>
      </c>
      <c r="I284" s="49">
        <v>253382.64</v>
      </c>
    </row>
    <row r="285">
      <c r="A285" s="6">
        <v>290.0</v>
      </c>
      <c r="B285" s="50" t="str">
        <f>IFERROR(VLOOKUP($A285,EVENTO!$A$2:$C$4999,2,FALSE),"")</f>
        <v>ADITIVO DE PRAZO</v>
      </c>
      <c r="C285" s="50" t="str">
        <f>IFERROR(VLOOKUP($A285,EVENTO!$A$2:$C$4999,3,FALSE),"")</f>
        <v>PREFEITURA  MUNICIPAL DE CAUCAIA - CONTROLADORIA</v>
      </c>
      <c r="D285" s="51">
        <v>45189.0</v>
      </c>
      <c r="E285" s="6">
        <v>12.0</v>
      </c>
      <c r="F285" s="6">
        <v>60.0</v>
      </c>
      <c r="G285" s="52">
        <v>45555.0</v>
      </c>
      <c r="H285" s="52">
        <v>46285.0</v>
      </c>
      <c r="I285" s="49">
        <v>253382.64</v>
      </c>
    </row>
    <row r="286">
      <c r="A286" s="6">
        <v>291.0</v>
      </c>
      <c r="B286" s="50" t="str">
        <f>IFERROR(VLOOKUP($A286,EVENTO!$A$2:$C$4999,2,FALSE),"")</f>
        <v>ADITIVO DE PRAZO</v>
      </c>
      <c r="C286" s="50" t="str">
        <f>IFERROR(VLOOKUP($A286,EVENTO!$A$2:$C$4999,3,FALSE),"")</f>
        <v>PREFEITURA  MUNICIPAL DE CAUCAIA - CONTROLADORIA</v>
      </c>
      <c r="D286" s="51">
        <v>45556.0</v>
      </c>
      <c r="E286" s="6">
        <v>12.0</v>
      </c>
      <c r="F286" s="6">
        <v>60.0</v>
      </c>
      <c r="G286" s="52">
        <v>45921.0</v>
      </c>
      <c r="H286" s="52">
        <v>46286.0</v>
      </c>
      <c r="I286" s="49">
        <v>253382.64</v>
      </c>
    </row>
    <row r="287">
      <c r="A287" s="6">
        <v>292.0</v>
      </c>
      <c r="B287" s="50" t="str">
        <f>IFERROR(VLOOKUP($A287,EVENTO!$A$2:$C$4999,2,FALSE),"")</f>
        <v>ADITIVO DE PRAZO</v>
      </c>
      <c r="C287" s="50" t="str">
        <f>IFERROR(VLOOKUP($A287,EVENTO!$A$2:$C$4999,3,FALSE),"")</f>
        <v>PREFEITURA  MUNICIPAL DE CAUCAIA - CONTROLADORIA</v>
      </c>
      <c r="D287" s="51">
        <v>45922.0</v>
      </c>
      <c r="E287" s="6">
        <v>12.0</v>
      </c>
      <c r="F287" s="6">
        <v>60.0</v>
      </c>
      <c r="G287" s="52">
        <v>46287.0</v>
      </c>
      <c r="H287" s="52">
        <v>46287.0</v>
      </c>
      <c r="I287" s="49">
        <v>253382.64</v>
      </c>
    </row>
    <row r="288">
      <c r="A288" s="6">
        <v>293.0</v>
      </c>
      <c r="B288" s="50" t="str">
        <f>IFERROR(VLOOKUP($A288,EVENTO!$A$2:$C$4999,2,FALSE),"")</f>
        <v>CADASTRO</v>
      </c>
      <c r="C288" s="50" t="str">
        <f>IFERROR(VLOOKUP($A288,EVENTO!$A$2:$C$4999,3,FALSE),"")</f>
        <v>PREFEITURA  MUNICIPAL DE CAUCAIA - DESENVOLVMENTO RURAL</v>
      </c>
      <c r="D288" s="51">
        <v>44459.0</v>
      </c>
      <c r="E288" s="6">
        <v>12.0</v>
      </c>
      <c r="F288" s="6">
        <v>60.0</v>
      </c>
      <c r="G288" s="52">
        <v>44824.0</v>
      </c>
      <c r="H288" s="52">
        <v>46285.0</v>
      </c>
      <c r="I288" s="49">
        <v>138421.92</v>
      </c>
    </row>
    <row r="289">
      <c r="A289" s="6">
        <v>294.0</v>
      </c>
      <c r="B289" s="50" t="str">
        <f>IFERROR(VLOOKUP($A289,EVENTO!$A$2:$C$4999,2,FALSE),"")</f>
        <v>CADASTRO</v>
      </c>
      <c r="C289" s="50" t="str">
        <f>IFERROR(VLOOKUP($A289,EVENTO!$A$2:$C$4999,3,FALSE),"")</f>
        <v>PREFEITURA MUNICIPAL DE CAMOCIM - TURISMO E DESENVOLVIMENTO ECONÔMICO</v>
      </c>
      <c r="D289" s="51">
        <v>44713.0</v>
      </c>
      <c r="E289" s="6">
        <v>7.0</v>
      </c>
      <c r="F289" s="6">
        <v>60.0</v>
      </c>
      <c r="G289" s="53">
        <v>44926.0</v>
      </c>
      <c r="H289" s="53">
        <v>46387.0</v>
      </c>
      <c r="I289" s="49">
        <v>25321.24</v>
      </c>
    </row>
    <row r="290">
      <c r="A290" s="6">
        <v>295.0</v>
      </c>
      <c r="B290" s="50" t="str">
        <f>IFERROR(VLOOKUP($A290,EVENTO!$A$2:$C$4999,2,FALSE),"")</f>
        <v>ADITIVO DE PRAZO</v>
      </c>
      <c r="C290" s="50" t="str">
        <f>IFERROR(VLOOKUP($A290,EVENTO!$A$2:$C$4999,3,FALSE),"")</f>
        <v>PREFEITURA MUNICIPAL DE CAMOCIM - TURISMO E DESENVOLVIMENTO ECONÔMICO</v>
      </c>
      <c r="D290" s="51">
        <v>45444.0</v>
      </c>
      <c r="E290" s="6">
        <v>12.0</v>
      </c>
      <c r="F290" s="6">
        <v>60.0</v>
      </c>
      <c r="G290" s="53">
        <v>45657.0</v>
      </c>
      <c r="H290" s="53">
        <v>46387.0</v>
      </c>
      <c r="I290" s="49">
        <v>43407.84</v>
      </c>
    </row>
    <row r="291">
      <c r="A291" s="6">
        <v>296.0</v>
      </c>
      <c r="B291" s="50" t="str">
        <f>IFERROR(VLOOKUP($A291,EVENTO!$A$2:$C$4999,2,FALSE),"")</f>
        <v>ADITIVO DE PRAZO</v>
      </c>
      <c r="C291" s="50" t="str">
        <f>IFERROR(VLOOKUP($A291,EVENTO!$A$2:$C$4999,3,FALSE),"")</f>
        <v>PREFEITURA MUNICIPAL DE CAMOCIM - TURISMO E DESENVOLVIMENTO ECONÔMICO</v>
      </c>
      <c r="D291" s="51">
        <v>45809.0</v>
      </c>
      <c r="E291" s="6">
        <v>12.0</v>
      </c>
      <c r="F291" s="6">
        <v>60.0</v>
      </c>
      <c r="G291" s="53">
        <v>46022.0</v>
      </c>
      <c r="H291" s="53">
        <v>46387.0</v>
      </c>
      <c r="I291" s="49">
        <v>43407.84</v>
      </c>
    </row>
    <row r="292">
      <c r="A292" s="6">
        <v>297.0</v>
      </c>
      <c r="B292" s="50" t="str">
        <f>IFERROR(VLOOKUP($A292,EVENTO!$A$2:$C$4999,2,FALSE),"")</f>
        <v>ADITIVO DE PRAZO</v>
      </c>
      <c r="C292" s="50" t="str">
        <f>IFERROR(VLOOKUP($A292,EVENTO!$A$2:$C$4999,3,FALSE),"")</f>
        <v>PREFEITURA  MUNICIPAL DE CAUCAIA - DESENVOLVMENTO RURAL</v>
      </c>
      <c r="D292" s="51">
        <v>44823.0</v>
      </c>
      <c r="E292" s="6">
        <v>12.0</v>
      </c>
      <c r="F292" s="6">
        <v>60.0</v>
      </c>
      <c r="G292" s="52">
        <v>45188.0</v>
      </c>
      <c r="H292" s="52">
        <v>46284.0</v>
      </c>
      <c r="I292" s="49">
        <v>138421.92</v>
      </c>
    </row>
    <row r="293">
      <c r="A293" s="6">
        <v>298.0</v>
      </c>
      <c r="B293" s="50" t="str">
        <f>IFERROR(VLOOKUP($A293,EVENTO!$A$2:$C$4999,2,FALSE),"")</f>
        <v>ADITIVO DE PRAZO</v>
      </c>
      <c r="C293" s="50" t="str">
        <f>IFERROR(VLOOKUP($A293,EVENTO!$A$2:$C$4999,3,FALSE),"")</f>
        <v>PREFEITURA  MUNICIPAL DE CAUCAIA - DESENVOLVMENTO RURAL</v>
      </c>
      <c r="D293" s="51">
        <v>45189.0</v>
      </c>
      <c r="E293" s="6">
        <v>12.0</v>
      </c>
      <c r="F293" s="6">
        <v>60.0</v>
      </c>
      <c r="G293" s="52">
        <v>45555.0</v>
      </c>
      <c r="H293" s="52">
        <v>46285.0</v>
      </c>
      <c r="I293" s="49">
        <v>138421.92</v>
      </c>
    </row>
    <row r="294">
      <c r="A294" s="6">
        <v>299.0</v>
      </c>
      <c r="B294" s="50" t="str">
        <f>IFERROR(VLOOKUP($A294,EVENTO!$A$2:$C$4999,2,FALSE),"")</f>
        <v>ADITIVO DE PRAZO</v>
      </c>
      <c r="C294" s="50" t="str">
        <f>IFERROR(VLOOKUP($A294,EVENTO!$A$2:$C$4999,3,FALSE),"")</f>
        <v>PREFEITURA  MUNICIPAL DE CAUCAIA - DESENVOLVMENTO RURAL</v>
      </c>
      <c r="D294" s="51">
        <v>45556.0</v>
      </c>
      <c r="E294" s="6">
        <v>12.0</v>
      </c>
      <c r="F294" s="6">
        <v>60.0</v>
      </c>
      <c r="G294" s="52">
        <v>45921.0</v>
      </c>
      <c r="H294" s="52">
        <v>46286.0</v>
      </c>
      <c r="I294" s="49">
        <v>138421.92</v>
      </c>
    </row>
    <row r="295">
      <c r="A295" s="6">
        <v>300.0</v>
      </c>
      <c r="B295" s="50" t="str">
        <f>IFERROR(VLOOKUP($A295,EVENTO!$A$2:$C$4999,2,FALSE),"")</f>
        <v>ADITIVO DE PRAZO</v>
      </c>
      <c r="C295" s="50" t="str">
        <f>IFERROR(VLOOKUP($A295,EVENTO!$A$2:$C$4999,3,FALSE),"")</f>
        <v>PREFEITURA  MUNICIPAL DE CAUCAIA - DESENVOLVMENTO RURAL</v>
      </c>
      <c r="D295" s="51">
        <v>45921.0</v>
      </c>
      <c r="E295" s="6">
        <v>12.0</v>
      </c>
      <c r="F295" s="6">
        <v>60.0</v>
      </c>
      <c r="G295" s="52">
        <v>46286.0</v>
      </c>
      <c r="H295" s="52">
        <v>46286.0</v>
      </c>
      <c r="I295" s="49">
        <v>138421.92</v>
      </c>
    </row>
    <row r="296">
      <c r="A296" s="6">
        <v>301.0</v>
      </c>
      <c r="B296" s="50" t="str">
        <f>IFERROR(VLOOKUP($A296,EVENTO!$A$2:$C$4999,2,FALSE),"")</f>
        <v>CADASTRO</v>
      </c>
      <c r="C296" s="50" t="str">
        <f>IFERROR(VLOOKUP($A296,EVENTO!$A$2:$C$4999,3,FALSE),"")</f>
        <v>PREFEITURA  MUNICIPAL DE CAUCAIA - DESENVOLVMENTO SOCIAL</v>
      </c>
      <c r="D296" s="51">
        <v>44459.0</v>
      </c>
      <c r="E296" s="6">
        <v>12.0</v>
      </c>
      <c r="F296" s="6">
        <v>60.0</v>
      </c>
      <c r="G296" s="52">
        <v>44824.0</v>
      </c>
      <c r="H296" s="52">
        <v>46285.0</v>
      </c>
      <c r="I296" s="49">
        <v>1046579.16</v>
      </c>
    </row>
    <row r="297">
      <c r="A297" s="6">
        <v>302.0</v>
      </c>
      <c r="B297" s="50" t="str">
        <f>IFERROR(VLOOKUP($A297,EVENTO!$A$2:$C$4999,2,FALSE),"")</f>
        <v>ADITIVO DE PRAZO</v>
      </c>
      <c r="C297" s="50" t="str">
        <f>IFERROR(VLOOKUP($A297,EVENTO!$A$2:$C$4999,3,FALSE),"")</f>
        <v>PREFEITURA  MUNICIPAL DE CAUCAIA - DESENVOLVMENTO SOCIAL</v>
      </c>
      <c r="D297" s="51">
        <v>44823.0</v>
      </c>
      <c r="E297" s="6">
        <v>12.0</v>
      </c>
      <c r="F297" s="6">
        <v>60.0</v>
      </c>
      <c r="G297" s="52">
        <v>45188.0</v>
      </c>
      <c r="H297" s="52">
        <v>46284.0</v>
      </c>
      <c r="I297" s="49">
        <v>1046579.16</v>
      </c>
    </row>
    <row r="298">
      <c r="A298" s="6">
        <v>303.0</v>
      </c>
      <c r="B298" s="50" t="str">
        <f>IFERROR(VLOOKUP($A298,EVENTO!$A$2:$C$4999,2,FALSE),"")</f>
        <v>ADITIVO DE QUANTIDADE</v>
      </c>
      <c r="C298" s="50" t="str">
        <f>IFERROR(VLOOKUP($A298,EVENTO!$A$2:$C$4999,3,FALSE),"")</f>
        <v>PREFEITURA  MUNICIPAL DE CAUCAIA - DESENVOLVMENTO SOCIAL</v>
      </c>
      <c r="D298" s="51">
        <v>45131.0</v>
      </c>
      <c r="E298" s="6">
        <v>2.0</v>
      </c>
      <c r="F298" s="6">
        <v>60.0</v>
      </c>
      <c r="G298" s="52">
        <v>45188.0</v>
      </c>
      <c r="H298" s="52">
        <v>46284.0</v>
      </c>
      <c r="I298" s="49">
        <v>1104719.14</v>
      </c>
    </row>
    <row r="299">
      <c r="A299" s="6">
        <v>304.0</v>
      </c>
      <c r="B299" s="50" t="str">
        <f>IFERROR(VLOOKUP($A299,EVENTO!$A$2:$C$4999,2,FALSE),"")</f>
        <v>ADITIVO DE PRAZO</v>
      </c>
      <c r="C299" s="50" t="str">
        <f>IFERROR(VLOOKUP($A299,EVENTO!$A$2:$C$4999,3,FALSE),"")</f>
        <v>PREFEITURA  MUNICIPAL DE CAUCAIA - DESENVOLVMENTO SOCIAL</v>
      </c>
      <c r="D299" s="51">
        <v>45189.0</v>
      </c>
      <c r="E299" s="6">
        <v>12.0</v>
      </c>
      <c r="F299" s="6">
        <v>60.0</v>
      </c>
      <c r="G299" s="52">
        <v>45555.0</v>
      </c>
      <c r="H299" s="52">
        <v>46285.0</v>
      </c>
      <c r="I299" s="49">
        <v>1104719.14</v>
      </c>
    </row>
    <row r="300">
      <c r="A300" s="6">
        <v>305.0</v>
      </c>
      <c r="B300" s="50" t="str">
        <f>IFERROR(VLOOKUP($A300,EVENTO!$A$2:$C$4999,2,FALSE),"")</f>
        <v>ADITIVO DE PRAZO</v>
      </c>
      <c r="C300" s="50" t="str">
        <f>IFERROR(VLOOKUP($A300,EVENTO!$A$2:$C$4999,3,FALSE),"")</f>
        <v>PREFEITURA  MUNICIPAL DE CAUCAIA - DESENVOLVMENTO SOCIAL</v>
      </c>
      <c r="D300" s="51">
        <v>45556.0</v>
      </c>
      <c r="E300" s="6">
        <v>12.0</v>
      </c>
      <c r="F300" s="6">
        <v>60.0</v>
      </c>
      <c r="G300" s="52">
        <v>45921.0</v>
      </c>
      <c r="H300" s="52">
        <v>46286.0</v>
      </c>
      <c r="I300" s="49">
        <v>1104719.14</v>
      </c>
    </row>
    <row r="301">
      <c r="A301" s="6">
        <v>306.0</v>
      </c>
      <c r="B301" s="50" t="str">
        <f>IFERROR(VLOOKUP($A301,EVENTO!$A$2:$C$4999,2,FALSE),"")</f>
        <v>ADITIVO DE PRAZO</v>
      </c>
      <c r="C301" s="50" t="str">
        <f>IFERROR(VLOOKUP($A301,EVENTO!$A$2:$C$4999,3,FALSE),"")</f>
        <v>PREFEITURA  MUNICIPAL DE CAUCAIA - DESENVOLVMENTO SOCIAL</v>
      </c>
      <c r="D301" s="51">
        <v>45919.0</v>
      </c>
      <c r="E301" s="6">
        <v>12.0</v>
      </c>
      <c r="F301" s="6">
        <v>60.0</v>
      </c>
      <c r="G301" s="52">
        <v>46286.0</v>
      </c>
      <c r="H301" s="52">
        <v>46286.0</v>
      </c>
      <c r="I301" s="49">
        <v>1104719.14</v>
      </c>
    </row>
    <row r="302">
      <c r="A302" s="6">
        <v>248.0</v>
      </c>
      <c r="B302" s="50" t="str">
        <f>IFERROR(VLOOKUP($A302,EVENTO!$A$2:$C$4999,2,FALSE),"")</f>
        <v>ADITIVO DE PRAZO</v>
      </c>
      <c r="C302" s="50" t="str">
        <f>IFERROR(VLOOKUP($A302,EVENTO!$A$2:$C$4999,3,FALSE),"")</f>
        <v>PREFEITURA MUNICIPAL DE ARACATI - GABINETE DO PREFEITO</v>
      </c>
      <c r="D302" s="51">
        <v>45839.0</v>
      </c>
      <c r="E302" s="6">
        <v>4.0</v>
      </c>
      <c r="F302" s="6">
        <v>60.0</v>
      </c>
      <c r="G302" s="53">
        <v>45961.0</v>
      </c>
      <c r="H302" s="52">
        <v>46490.0</v>
      </c>
      <c r="I302" s="49">
        <v>54327.16</v>
      </c>
    </row>
    <row r="303">
      <c r="A303" s="6">
        <v>249.0</v>
      </c>
      <c r="B303" s="50" t="str">
        <f>IFERROR(VLOOKUP($A303,EVENTO!$A$2:$C$4999,2,FALSE),"")</f>
        <v>ADITIVO DE PRAZO</v>
      </c>
      <c r="C303" s="50" t="str">
        <f>IFERROR(VLOOKUP($A303,EVENTO!$A$2:$C$4999,3,FALSE),"")</f>
        <v>PREFEITURA MUNICIPAL DE ARACATI - GABINETE DO PREFEITO</v>
      </c>
      <c r="D303" s="51">
        <v>45962.0</v>
      </c>
      <c r="E303" s="6">
        <v>3.0</v>
      </c>
      <c r="F303" s="6">
        <v>60.0</v>
      </c>
      <c r="G303" s="52">
        <v>46053.0</v>
      </c>
      <c r="H303" s="52">
        <v>46490.0</v>
      </c>
      <c r="I303" s="49">
        <v>40745.37</v>
      </c>
    </row>
    <row r="304">
      <c r="A304" s="6">
        <v>307.0</v>
      </c>
      <c r="B304" s="50" t="str">
        <f>IFERROR(VLOOKUP($A304,EVENTO!$A$2:$C$4999,2,FALSE),"")</f>
        <v>CADASTRO</v>
      </c>
      <c r="C304" s="50" t="str">
        <f>IFERROR(VLOOKUP($A304,EVENTO!$A$2:$C$4999,3,FALSE),"")</f>
        <v>PREFEITURA MUNICIPAL DE ARACATI - IQUAMA</v>
      </c>
      <c r="D304" s="51">
        <v>44664.0</v>
      </c>
      <c r="E304" s="6">
        <v>12.0</v>
      </c>
      <c r="F304" s="6">
        <v>60.0</v>
      </c>
      <c r="G304" s="52">
        <v>45029.0</v>
      </c>
      <c r="H304" s="52">
        <v>46490.0</v>
      </c>
      <c r="I304" s="49">
        <v>76816.92</v>
      </c>
    </row>
    <row r="305">
      <c r="A305" s="6">
        <v>308.0</v>
      </c>
      <c r="B305" s="50" t="str">
        <f>IFERROR(VLOOKUP($A305,EVENTO!$A$2:$C$4999,2,FALSE),"")</f>
        <v>ADITIVO DE PRAZO</v>
      </c>
      <c r="C305" s="50" t="str">
        <f>IFERROR(VLOOKUP($A305,EVENTO!$A$2:$C$4999,3,FALSE),"")</f>
        <v>PREFEITURA MUNICIPAL DE ARACATI - IQUAMA</v>
      </c>
      <c r="D305" s="51">
        <v>45029.0</v>
      </c>
      <c r="E305" s="6">
        <v>12.0</v>
      </c>
      <c r="F305" s="6">
        <v>60.0</v>
      </c>
      <c r="G305" s="52">
        <v>45395.0</v>
      </c>
      <c r="H305" s="52">
        <v>46490.0</v>
      </c>
      <c r="I305" s="49">
        <v>76816.92</v>
      </c>
    </row>
    <row r="306">
      <c r="A306" s="6">
        <v>309.0</v>
      </c>
      <c r="B306" s="50" t="str">
        <f>IFERROR(VLOOKUP($A306,EVENTO!$A$2:$C$4999,2,FALSE),"")</f>
        <v>ADITIVO DE PRAZO</v>
      </c>
      <c r="C306" s="50" t="str">
        <f>IFERROR(VLOOKUP($A306,EVENTO!$A$2:$C$4999,3,FALSE),"")</f>
        <v>PREFEITURA MUNICIPAL DE ARACATI - IQUAMA</v>
      </c>
      <c r="D306" s="51">
        <v>45396.0</v>
      </c>
      <c r="E306" s="6">
        <v>9.0</v>
      </c>
      <c r="F306" s="6">
        <v>60.0</v>
      </c>
      <c r="G306" s="53">
        <v>45657.0</v>
      </c>
      <c r="H306" s="52">
        <v>46490.0</v>
      </c>
      <c r="I306" s="49">
        <v>64585.17</v>
      </c>
    </row>
    <row r="307">
      <c r="A307" s="6">
        <v>310.0</v>
      </c>
      <c r="B307" s="50" t="str">
        <f>IFERROR(VLOOKUP($A307,EVENTO!$A$2:$C$4999,2,FALSE),"")</f>
        <v>ADITIVO DE PRAZO</v>
      </c>
      <c r="C307" s="50" t="str">
        <f>IFERROR(VLOOKUP($A307,EVENTO!$A$2:$C$4999,3,FALSE),"")</f>
        <v>PREFEITURA MUNICIPAL DE ARACATI - IQUAMA</v>
      </c>
      <c r="D307" s="51">
        <v>45658.0</v>
      </c>
      <c r="E307" s="6">
        <v>6.0</v>
      </c>
      <c r="F307" s="6">
        <v>60.0</v>
      </c>
      <c r="G307" s="52">
        <v>45838.0</v>
      </c>
      <c r="H307" s="52">
        <v>46490.0</v>
      </c>
      <c r="I307" s="49">
        <v>43056.78</v>
      </c>
    </row>
    <row r="308">
      <c r="A308" s="6">
        <v>311.0</v>
      </c>
      <c r="B308" s="50" t="str">
        <f>IFERROR(VLOOKUP($A308,EVENTO!$A$2:$C$4999,2,FALSE),"")</f>
        <v>ADITIVO DE PRAZO</v>
      </c>
      <c r="C308" s="50" t="str">
        <f>IFERROR(VLOOKUP($A308,EVENTO!$A$2:$C$4999,3,FALSE),"")</f>
        <v>PREFEITURA MUNICIPAL DE ARACATI - IQUAMA</v>
      </c>
      <c r="D308" s="51">
        <v>45839.0</v>
      </c>
      <c r="E308" s="6">
        <v>4.0</v>
      </c>
      <c r="F308" s="6">
        <v>60.0</v>
      </c>
      <c r="G308" s="53">
        <v>45961.0</v>
      </c>
      <c r="H308" s="52">
        <v>46490.0</v>
      </c>
      <c r="I308" s="49">
        <v>28704.52</v>
      </c>
    </row>
    <row r="309">
      <c r="A309" s="6">
        <v>312.0</v>
      </c>
      <c r="B309" s="50" t="str">
        <f>IFERROR(VLOOKUP($A309,EVENTO!$A$2:$C$4999,2,FALSE),"")</f>
        <v>ADITIVO DE PRAZO</v>
      </c>
      <c r="C309" s="50" t="str">
        <f>IFERROR(VLOOKUP($A309,EVENTO!$A$2:$C$4999,3,FALSE),"")</f>
        <v>PREFEITURA MUNICIPAL DE ARACATI - IQUAMA</v>
      </c>
      <c r="D309" s="51">
        <v>45962.0</v>
      </c>
      <c r="E309" s="6">
        <v>3.0</v>
      </c>
      <c r="F309" s="6">
        <v>60.0</v>
      </c>
      <c r="G309" s="52">
        <v>46053.0</v>
      </c>
      <c r="H309" s="52">
        <v>46490.0</v>
      </c>
      <c r="I309" s="49">
        <v>21528.39</v>
      </c>
    </row>
    <row r="310">
      <c r="A310" s="6">
        <v>313.0</v>
      </c>
      <c r="B310" s="50" t="str">
        <f>IFERROR(VLOOKUP($A310,EVENTO!$A$2:$C$4999,2,FALSE),"")</f>
        <v>CADASTRO</v>
      </c>
      <c r="C310" s="50" t="str">
        <f>IFERROR(VLOOKUP($A310,EVENTO!$A$2:$C$4999,3,FALSE),"")</f>
        <v>PREFEITURA MUNICIPAL DE ARACATI - MEIO AMBIENTE</v>
      </c>
      <c r="D310" s="51">
        <v>44664.0</v>
      </c>
      <c r="E310" s="6">
        <v>12.0</v>
      </c>
      <c r="F310" s="6">
        <v>60.0</v>
      </c>
      <c r="G310" s="52">
        <v>45029.0</v>
      </c>
      <c r="H310" s="52">
        <v>46490.0</v>
      </c>
      <c r="I310" s="49">
        <v>93797.52</v>
      </c>
    </row>
    <row r="311">
      <c r="A311" s="6">
        <v>314.0</v>
      </c>
      <c r="B311" s="50" t="str">
        <f>IFERROR(VLOOKUP($A311,EVENTO!$A$2:$C$4999,2,FALSE),"")</f>
        <v>ADITIVO DE PRAZO</v>
      </c>
      <c r="C311" s="50" t="str">
        <f>IFERROR(VLOOKUP($A311,EVENTO!$A$2:$C$4999,3,FALSE),"")</f>
        <v>PREFEITURA MUNICIPAL DE ARACATI - MEIO AMBIENTE</v>
      </c>
      <c r="D311" s="51">
        <v>45029.0</v>
      </c>
      <c r="E311" s="6">
        <v>12.0</v>
      </c>
      <c r="F311" s="6">
        <v>60.0</v>
      </c>
      <c r="G311" s="52">
        <v>45395.0</v>
      </c>
      <c r="H311" s="52">
        <v>46490.0</v>
      </c>
      <c r="I311" s="49">
        <v>93797.52</v>
      </c>
    </row>
    <row r="312">
      <c r="A312" s="6">
        <v>315.0</v>
      </c>
      <c r="B312" s="50" t="str">
        <f>IFERROR(VLOOKUP($A312,EVENTO!$A$2:$C$4999,2,FALSE),"")</f>
        <v>ADITIVO DE PRAZO</v>
      </c>
      <c r="C312" s="50" t="str">
        <f>IFERROR(VLOOKUP($A312,EVENTO!$A$2:$C$4999,3,FALSE),"")</f>
        <v>PREFEITURA MUNICIPAL DE ARACATI - MEIO AMBIENTE</v>
      </c>
      <c r="D312" s="51">
        <v>45396.0</v>
      </c>
      <c r="E312" s="6">
        <v>9.0</v>
      </c>
      <c r="F312" s="6">
        <v>60.0</v>
      </c>
      <c r="G312" s="53">
        <v>45657.0</v>
      </c>
      <c r="H312" s="52">
        <v>46490.0</v>
      </c>
      <c r="I312" s="49">
        <v>70348.14</v>
      </c>
    </row>
    <row r="313">
      <c r="A313" s="6">
        <v>316.0</v>
      </c>
      <c r="B313" s="50" t="str">
        <f>IFERROR(VLOOKUP($A313,EVENTO!$A$2:$C$4999,2,FALSE),"")</f>
        <v>ADITIVO DE PRAZO</v>
      </c>
      <c r="C313" s="50" t="str">
        <f>IFERROR(VLOOKUP($A313,EVENTO!$A$2:$C$4999,3,FALSE),"")</f>
        <v>PREFEITURA MUNICIPAL DE ARACATI - MEIO AMBIENTE</v>
      </c>
      <c r="D313" s="51">
        <v>45658.0</v>
      </c>
      <c r="E313" s="6">
        <v>6.0</v>
      </c>
      <c r="F313" s="6">
        <v>60.0</v>
      </c>
      <c r="G313" s="52">
        <v>45838.0</v>
      </c>
      <c r="H313" s="52">
        <v>46490.0</v>
      </c>
      <c r="I313" s="49">
        <v>46898.56</v>
      </c>
    </row>
    <row r="314">
      <c r="A314" s="6">
        <v>317.0</v>
      </c>
      <c r="B314" s="50" t="str">
        <f>IFERROR(VLOOKUP($A314,EVENTO!$A$2:$C$4999,2,FALSE),"")</f>
        <v>ADITIVO DE PRAZO</v>
      </c>
      <c r="C314" s="50" t="str">
        <f>IFERROR(VLOOKUP($A314,EVENTO!$A$2:$C$4999,3,FALSE),"")</f>
        <v>PREFEITURA MUNICIPAL DE ARACATI - MEIO AMBIENTE</v>
      </c>
      <c r="D314" s="51">
        <v>45839.0</v>
      </c>
      <c r="E314" s="6">
        <v>4.0</v>
      </c>
      <c r="F314" s="6">
        <v>60.0</v>
      </c>
      <c r="G314" s="53">
        <v>45961.0</v>
      </c>
      <c r="H314" s="52">
        <v>46490.0</v>
      </c>
      <c r="I314" s="49">
        <v>31252.42</v>
      </c>
    </row>
    <row r="315">
      <c r="A315" s="6">
        <v>318.0</v>
      </c>
      <c r="B315" s="50" t="str">
        <f>IFERROR(VLOOKUP($A315,EVENTO!$A$2:$C$4999,2,FALSE),"")</f>
        <v>ADITIVO DE PRAZO</v>
      </c>
      <c r="C315" s="50" t="str">
        <f>IFERROR(VLOOKUP($A315,EVENTO!$A$2:$C$4999,3,FALSE),"")</f>
        <v>PREFEITURA MUNICIPAL DE ARACATI - MEIO AMBIENTE</v>
      </c>
      <c r="D315" s="51">
        <v>45962.0</v>
      </c>
      <c r="E315" s="6">
        <v>3.0</v>
      </c>
      <c r="F315" s="6">
        <v>60.0</v>
      </c>
      <c r="G315" s="52">
        <v>46053.0</v>
      </c>
      <c r="H315" s="52">
        <v>46490.0</v>
      </c>
      <c r="I315" s="49">
        <v>23449.38</v>
      </c>
    </row>
    <row r="316">
      <c r="A316" s="6">
        <v>319.0</v>
      </c>
      <c r="B316" s="50" t="str">
        <f>IFERROR(VLOOKUP($A316,EVENTO!$A$2:$C$4999,2,FALSE),"")</f>
        <v>CADASTRO</v>
      </c>
      <c r="C316" s="50" t="str">
        <f>IFERROR(VLOOKUP($A316,EVENTO!$A$2:$C$4999,3,FALSE),"")</f>
        <v>PREFEITURA MUNICIPAL DE ARACATI - PLANEJAMENTO E ADMINISTRAÇÃO</v>
      </c>
      <c r="D316" s="51">
        <v>44664.0</v>
      </c>
      <c r="E316" s="6">
        <v>12.0</v>
      </c>
      <c r="F316" s="6">
        <v>60.0</v>
      </c>
      <c r="G316" s="52">
        <v>45029.0</v>
      </c>
      <c r="H316" s="52">
        <v>46490.0</v>
      </c>
      <c r="I316" s="49">
        <v>74524.68</v>
      </c>
    </row>
    <row r="317">
      <c r="A317" s="6">
        <v>320.0</v>
      </c>
      <c r="B317" s="50" t="str">
        <f>IFERROR(VLOOKUP($A317,EVENTO!$A$2:$C$4999,2,FALSE),"")</f>
        <v>ADITIVO DE PRAZO</v>
      </c>
      <c r="C317" s="50" t="str">
        <f>IFERROR(VLOOKUP($A317,EVENTO!$A$2:$C$4999,3,FALSE),"")</f>
        <v>PREFEITURA MUNICIPAL DE ARACATI - PLANEJAMENTO E ADMINISTRAÇÃO</v>
      </c>
      <c r="D317" s="51">
        <v>45029.0</v>
      </c>
      <c r="E317" s="6">
        <v>12.0</v>
      </c>
      <c r="F317" s="6">
        <v>60.0</v>
      </c>
      <c r="G317" s="52">
        <v>45395.0</v>
      </c>
      <c r="H317" s="52">
        <v>46490.0</v>
      </c>
      <c r="I317" s="49">
        <v>74524.68</v>
      </c>
    </row>
    <row r="318">
      <c r="A318" s="6">
        <v>321.0</v>
      </c>
      <c r="B318" s="50" t="str">
        <f>IFERROR(VLOOKUP($A318,EVENTO!$A$2:$C$4999,2,FALSE),"")</f>
        <v>ADITIVO DE PRAZO</v>
      </c>
      <c r="C318" s="50" t="str">
        <f>IFERROR(VLOOKUP($A318,EVENTO!$A$2:$C$4999,3,FALSE),"")</f>
        <v>PREFEITURA MUNICIPAL DE ARACATI - PLANEJAMENTO E ADMINISTRAÇÃO</v>
      </c>
      <c r="D318" s="51">
        <v>45396.0</v>
      </c>
      <c r="E318" s="6">
        <v>9.0</v>
      </c>
      <c r="F318" s="6">
        <v>60.0</v>
      </c>
      <c r="G318" s="53">
        <v>45657.0</v>
      </c>
      <c r="H318" s="52">
        <v>46490.0</v>
      </c>
      <c r="I318" s="49">
        <v>55893.51</v>
      </c>
    </row>
    <row r="319">
      <c r="A319" s="6">
        <v>322.0</v>
      </c>
      <c r="B319" s="50" t="str">
        <f>IFERROR(VLOOKUP($A319,EVENTO!$A$2:$C$4999,2,FALSE),"")</f>
        <v>ADITIVO DE PRAZO</v>
      </c>
      <c r="C319" s="50" t="str">
        <f>IFERROR(VLOOKUP($A319,EVENTO!$A$2:$C$4999,3,FALSE),"")</f>
        <v>PREFEITURA MUNICIPAL DE ARACATI - PLANEJAMENTO E ADMINISTRAÇÃO</v>
      </c>
      <c r="D319" s="51">
        <v>45658.0</v>
      </c>
      <c r="E319" s="6">
        <v>6.0</v>
      </c>
      <c r="F319" s="6">
        <v>60.0</v>
      </c>
      <c r="G319" s="52">
        <v>45838.0</v>
      </c>
      <c r="H319" s="52">
        <v>46490.0</v>
      </c>
      <c r="I319" s="49">
        <v>37262.34</v>
      </c>
    </row>
    <row r="320">
      <c r="A320" s="6">
        <v>324.0</v>
      </c>
      <c r="B320" s="50" t="str">
        <f>IFERROR(VLOOKUP($A320,EVENTO!$A$2:$C$4999,2,FALSE),"")</f>
        <v>ADITIVO DE PRAZO</v>
      </c>
      <c r="C320" s="50" t="str">
        <f>IFERROR(VLOOKUP($A320,EVENTO!$A$2:$C$4999,3,FALSE),"")</f>
        <v>PREFEITURA MUNICIPAL DE ARACATI - PLANEJAMENTO E ADMINISTRAÇÃO</v>
      </c>
      <c r="D320" s="51">
        <v>45962.0</v>
      </c>
      <c r="E320" s="6">
        <v>3.0</v>
      </c>
      <c r="F320" s="6">
        <v>60.0</v>
      </c>
      <c r="G320" s="52">
        <v>46053.0</v>
      </c>
      <c r="H320" s="52">
        <v>46490.0</v>
      </c>
      <c r="I320" s="49">
        <v>18631.17</v>
      </c>
    </row>
    <row r="321">
      <c r="A321" s="6">
        <v>325.0</v>
      </c>
      <c r="B321" s="50" t="str">
        <f>IFERROR(VLOOKUP($A321,EVENTO!$A$2:$C$4999,2,FALSE),"")</f>
        <v>CADASTRO</v>
      </c>
      <c r="C321" s="50" t="str">
        <f>IFERROR(VLOOKUP($A321,EVENTO!$A$2:$C$4999,3,FALSE),"")</f>
        <v>PREFEITURA MUNICIPAL DE ACOPIARA - PROCURADORIA</v>
      </c>
      <c r="D321" s="51">
        <v>44664.0</v>
      </c>
      <c r="E321" s="6">
        <v>12.0</v>
      </c>
      <c r="F321" s="6">
        <v>60.0</v>
      </c>
      <c r="G321" s="52">
        <v>45029.0</v>
      </c>
      <c r="H321" s="52">
        <v>46490.0</v>
      </c>
      <c r="I321" s="49">
        <v>158146.44</v>
      </c>
    </row>
    <row r="322">
      <c r="A322" s="6">
        <v>331.0</v>
      </c>
      <c r="B322" s="50" t="str">
        <f>IFERROR(VLOOKUP($A322,EVENTO!$A$2:$C$4999,2,FALSE),"")</f>
        <v>ADITIVO DE PRAZO</v>
      </c>
      <c r="C322" s="50" t="str">
        <f>IFERROR(VLOOKUP($A322,EVENTO!$A$2:$C$4999,3,FALSE),"")</f>
        <v>PREF. MUNICIPAL DE CANINDE - AGRICULTURA</v>
      </c>
      <c r="D322" s="51">
        <v>45993.0</v>
      </c>
      <c r="E322" s="6">
        <v>2.0</v>
      </c>
      <c r="F322" s="6">
        <v>60.0</v>
      </c>
      <c r="G322" s="52">
        <v>46055.0</v>
      </c>
      <c r="H322" s="52">
        <v>47025.0</v>
      </c>
      <c r="I322" s="49">
        <v>8428.44</v>
      </c>
    </row>
    <row r="323">
      <c r="A323" s="6">
        <v>333.0</v>
      </c>
      <c r="B323" s="50" t="str">
        <f>IFERROR(VLOOKUP($A323,EVENTO!$A$2:$C$4999,2,FALSE),"")</f>
        <v>CADASTRO</v>
      </c>
      <c r="C323" s="50" t="str">
        <f>IFERROR(VLOOKUP($A323,EVENTO!$A$2:$C$4999,3,FALSE),"")</f>
        <v>PREFEITURA MUNICIPAL DE CANINDE - SECRETARIA CHEFIA DE GABINETE</v>
      </c>
      <c r="D323" s="51">
        <v>45198.0</v>
      </c>
      <c r="E323" s="6">
        <v>12.0</v>
      </c>
      <c r="F323" s="6">
        <v>60.0</v>
      </c>
      <c r="G323" s="52">
        <v>45564.0</v>
      </c>
      <c r="H323" s="52">
        <v>47025.0</v>
      </c>
      <c r="I323" s="49">
        <v>20456.88</v>
      </c>
    </row>
    <row r="324">
      <c r="A324" s="6">
        <v>334.0</v>
      </c>
      <c r="B324" s="50" t="str">
        <f>IFERROR(VLOOKUP($A324,EVENTO!$A$2:$C$4999,2,FALSE),"")</f>
        <v>ADITIVO DE PRAZO</v>
      </c>
      <c r="C324" s="50" t="str">
        <f>IFERROR(VLOOKUP($A324,EVENTO!$A$2:$C$4999,3,FALSE),"")</f>
        <v>PREFEITURA MUNICIPAL DE CANINDE - SECRETARIA CHEFIA DE GABINETE</v>
      </c>
      <c r="D324" s="51">
        <v>45565.0</v>
      </c>
      <c r="E324" s="6">
        <v>12.0</v>
      </c>
      <c r="F324" s="6">
        <v>60.0</v>
      </c>
      <c r="G324" s="52">
        <v>45930.0</v>
      </c>
      <c r="H324" s="52">
        <v>47025.0</v>
      </c>
      <c r="I324" s="49">
        <v>20456.88</v>
      </c>
    </row>
    <row r="325">
      <c r="A325" s="6">
        <v>335.0</v>
      </c>
      <c r="B325" s="50" t="str">
        <f>IFERROR(VLOOKUP($A325,EVENTO!$A$2:$C$4999,2,FALSE),"")</f>
        <v>ADITIVO DE QUANTIDADE</v>
      </c>
      <c r="C325" s="50" t="str">
        <f>IFERROR(VLOOKUP($A325,EVENTO!$A$2:$C$4999,3,FALSE),"")</f>
        <v>PREFEITURA MUNICIPAL DE CANINDE - SECRETARIA CHEFIA DE GABINETE</v>
      </c>
      <c r="D325" s="51">
        <v>45573.0</v>
      </c>
      <c r="E325" s="6">
        <v>11.0</v>
      </c>
      <c r="F325" s="6">
        <v>60.0</v>
      </c>
      <c r="G325" s="52">
        <v>45992.0</v>
      </c>
      <c r="H325" s="52">
        <v>47025.0</v>
      </c>
      <c r="I325" s="49">
        <f>4200</f>
        <v>4200</v>
      </c>
    </row>
    <row r="326">
      <c r="A326" s="6">
        <v>336.0</v>
      </c>
      <c r="B326" s="50" t="str">
        <f>IFERROR(VLOOKUP($A326,EVENTO!$A$2:$C$4999,2,FALSE),"")</f>
        <v>ADITIVO DE PRAZO</v>
      </c>
      <c r="C326" s="50" t="str">
        <f>IFERROR(VLOOKUP($A326,EVENTO!$A$2:$C$4999,3,FALSE),"")</f>
        <v>PREFEITURA MUNICIPAL DE CANINDE - SECRETARIA CHEFIA DE GABINETE</v>
      </c>
      <c r="D326" s="51">
        <v>45901.0</v>
      </c>
      <c r="E326" s="6">
        <v>2.0</v>
      </c>
      <c r="F326" s="6">
        <v>60.0</v>
      </c>
      <c r="G326" s="52">
        <v>45992.0</v>
      </c>
      <c r="H326" s="52">
        <v>47025.0</v>
      </c>
      <c r="I326" s="49">
        <v>3791.3</v>
      </c>
    </row>
    <row r="327">
      <c r="A327" s="6">
        <v>337.0</v>
      </c>
      <c r="B327" s="50" t="str">
        <f>IFERROR(VLOOKUP($A327,EVENTO!$A$2:$C$4999,2,FALSE),"")</f>
        <v>ADITIVO DE PRAZO</v>
      </c>
      <c r="C327" s="50" t="str">
        <f>IFERROR(VLOOKUP($A327,EVENTO!$A$2:$C$4999,3,FALSE),"")</f>
        <v>PREFEITURA MUNICIPAL DE CANINDE - SECRETARIA CHEFIA DE GABINETE</v>
      </c>
      <c r="D327" s="51">
        <v>45993.0</v>
      </c>
      <c r="E327" s="6">
        <v>2.0</v>
      </c>
      <c r="F327" s="6">
        <v>60.0</v>
      </c>
      <c r="G327" s="52">
        <v>46055.0</v>
      </c>
      <c r="H327" s="52">
        <v>47025.0</v>
      </c>
      <c r="I327" s="49">
        <v>3791.3</v>
      </c>
    </row>
    <row r="328">
      <c r="A328" s="6">
        <v>338.0</v>
      </c>
      <c r="B328" s="50" t="str">
        <f>IFERROR(VLOOKUP($A328,EVENTO!$A$2:$C$4999,2,FALSE),"")</f>
        <v>CADASTRO</v>
      </c>
      <c r="C328" s="50" t="str">
        <f>IFERROR(VLOOKUP($A328,EVENTO!$A$2:$C$4999,3,FALSE),"")</f>
        <v>PREFEITURA MUNICIPAL DE CANINDE - CONTROLADORIA GERAL DO MUNICÍPIO</v>
      </c>
      <c r="D328" s="51">
        <v>45198.0</v>
      </c>
      <c r="E328" s="6">
        <v>12.0</v>
      </c>
      <c r="F328" s="6">
        <v>60.0</v>
      </c>
      <c r="G328" s="52">
        <v>45564.0</v>
      </c>
      <c r="H328" s="52">
        <v>47025.0</v>
      </c>
      <c r="I328" s="49">
        <v>6600.0</v>
      </c>
    </row>
    <row r="329">
      <c r="A329" s="6">
        <v>339.0</v>
      </c>
      <c r="B329" s="50" t="str">
        <f>IFERROR(VLOOKUP($A329,EVENTO!$A$2:$C$4999,2,FALSE),"")</f>
        <v>ADITIVO DE PRAZO</v>
      </c>
      <c r="C329" s="50" t="str">
        <f>IFERROR(VLOOKUP($A329,EVENTO!$A$2:$C$4999,3,FALSE),"")</f>
        <v>PREFEITURA MUNICIPAL DE CANINDE - CONTROLADORIA GERAL DO MUNICÍPIO</v>
      </c>
      <c r="D329" s="51">
        <v>45565.0</v>
      </c>
      <c r="E329" s="6">
        <v>12.0</v>
      </c>
      <c r="F329" s="6">
        <v>60.0</v>
      </c>
      <c r="G329" s="52">
        <v>45930.0</v>
      </c>
      <c r="H329" s="52">
        <v>47025.0</v>
      </c>
      <c r="I329" s="49">
        <v>6600.0</v>
      </c>
    </row>
    <row r="330">
      <c r="A330" s="6">
        <v>340.0</v>
      </c>
      <c r="B330" s="50" t="str">
        <f>IFERROR(VLOOKUP($A330,EVENTO!$A$2:$C$4999,2,FALSE),"")</f>
        <v>ADITIVO DE PRAZO</v>
      </c>
      <c r="C330" s="50" t="str">
        <f>IFERROR(VLOOKUP($A330,EVENTO!$A$2:$C$4999,3,FALSE),"")</f>
        <v>PREFEITURA MUNICIPAL DE CANINDE - CONTROLADORIA GERAL DO MUNICÍPIO</v>
      </c>
      <c r="D330" s="51">
        <v>45901.0</v>
      </c>
      <c r="E330" s="6">
        <v>2.0</v>
      </c>
      <c r="F330" s="6">
        <v>60.0</v>
      </c>
      <c r="G330" s="52">
        <v>45992.0</v>
      </c>
      <c r="H330" s="52">
        <v>47025.0</v>
      </c>
      <c r="I330" s="49">
        <v>1100.0</v>
      </c>
    </row>
    <row r="331">
      <c r="A331" s="6">
        <v>341.0</v>
      </c>
      <c r="B331" s="50" t="str">
        <f>IFERROR(VLOOKUP($A331,EVENTO!$A$2:$C$4999,2,FALSE),"")</f>
        <v>ADITIVO DE PRAZO</v>
      </c>
      <c r="C331" s="50" t="str">
        <f>IFERROR(VLOOKUP($A331,EVENTO!$A$2:$C$4999,3,FALSE),"")</f>
        <v>PREFEITURA MUNICIPAL DE CANINDE - CONTROLADORIA GERAL DO MUNICÍPIO</v>
      </c>
      <c r="D331" s="51">
        <v>45993.0</v>
      </c>
      <c r="E331" s="6">
        <v>2.0</v>
      </c>
      <c r="F331" s="6">
        <v>60.0</v>
      </c>
      <c r="G331" s="52">
        <v>46055.0</v>
      </c>
      <c r="H331" s="52">
        <v>47025.0</v>
      </c>
      <c r="I331" s="49">
        <v>1100.0</v>
      </c>
    </row>
    <row r="332">
      <c r="A332" s="6">
        <v>342.0</v>
      </c>
      <c r="B332" s="50" t="str">
        <f>IFERROR(VLOOKUP($A332,EVENTO!$A$2:$C$4999,2,FALSE),"")</f>
        <v>CADASTRO</v>
      </c>
      <c r="C332" s="50" t="str">
        <f>IFERROR(VLOOKUP($A332,EVENTO!$A$2:$C$4999,3,FALSE),"")</f>
        <v>PREFEITURA MUNICIPAL DE CANINDE - SECRETARIA DE DESENVOLVIMENTO ECONÔMICO E 
TURISMO</v>
      </c>
      <c r="D332" s="51">
        <v>45198.0</v>
      </c>
      <c r="E332" s="6">
        <v>12.0</v>
      </c>
      <c r="F332" s="6">
        <v>60.0</v>
      </c>
      <c r="G332" s="52">
        <v>45564.0</v>
      </c>
      <c r="H332" s="52">
        <v>47025.0</v>
      </c>
      <c r="I332" s="49">
        <v>4200.0</v>
      </c>
    </row>
    <row r="333">
      <c r="A333" s="6">
        <v>343.0</v>
      </c>
      <c r="B333" s="50" t="str">
        <f>IFERROR(VLOOKUP($A333,EVENTO!$A$2:$C$4999,2,FALSE),"")</f>
        <v>ADITIVO DE PRAZO</v>
      </c>
      <c r="C333" s="50" t="str">
        <f>IFERROR(VLOOKUP($A333,EVENTO!$A$2:$C$4999,3,FALSE),"")</f>
        <v>PREFEITURA MUNICIPAL DE CANINDE - SECRETARIA DE DESENVOLVIMENTO ECONÔMICO E 
TURISMO</v>
      </c>
      <c r="D333" s="51">
        <v>45565.0</v>
      </c>
      <c r="E333" s="6">
        <v>12.0</v>
      </c>
      <c r="F333" s="6">
        <v>60.0</v>
      </c>
      <c r="G333" s="52">
        <v>45930.0</v>
      </c>
      <c r="H333" s="52">
        <v>47025.0</v>
      </c>
      <c r="I333" s="49">
        <v>4200.0</v>
      </c>
    </row>
    <row r="334">
      <c r="A334" s="6">
        <v>344.0</v>
      </c>
      <c r="B334" s="50" t="str">
        <f>IFERROR(VLOOKUP($A334,EVENTO!$A$2:$C$4999,2,FALSE),"")</f>
        <v>ADITIVO DE PRAZO</v>
      </c>
      <c r="C334" s="50" t="str">
        <f>IFERROR(VLOOKUP($A334,EVENTO!$A$2:$C$4999,3,FALSE),"")</f>
        <v>PREFEITURA MUNICIPAL DE CANINDE - SECRETARIA DE DESENVOLVIMENTO ECONÔMICO E 
TURISMO</v>
      </c>
      <c r="D334" s="51">
        <v>45901.0</v>
      </c>
      <c r="E334" s="6">
        <v>2.0</v>
      </c>
      <c r="F334" s="6">
        <v>60.0</v>
      </c>
      <c r="G334" s="52">
        <v>45992.0</v>
      </c>
      <c r="H334" s="52">
        <v>47025.0</v>
      </c>
      <c r="I334" s="49">
        <v>700.0</v>
      </c>
    </row>
    <row r="335">
      <c r="A335" s="6">
        <v>345.0</v>
      </c>
      <c r="B335" s="50" t="str">
        <f>IFERROR(VLOOKUP($A335,EVENTO!$A$2:$C$4999,2,FALSE),"")</f>
        <v>ADITIVO DE PRAZO</v>
      </c>
      <c r="C335" s="50" t="str">
        <f>IFERROR(VLOOKUP($A335,EVENTO!$A$2:$C$4999,3,FALSE),"")</f>
        <v>PREFEITURA MUNICIPAL DE CANINDE - SECRETARIA DE DESENVOLVIMENTO ECONÔMICO E 
TURISMO</v>
      </c>
      <c r="D335" s="51">
        <v>45993.0</v>
      </c>
      <c r="E335" s="6">
        <v>2.0</v>
      </c>
      <c r="F335" s="6">
        <v>60.0</v>
      </c>
      <c r="G335" s="52">
        <v>46055.0</v>
      </c>
      <c r="H335" s="52">
        <v>47025.0</v>
      </c>
      <c r="I335" s="49">
        <v>700.0</v>
      </c>
    </row>
    <row r="336">
      <c r="A336" s="6">
        <v>346.0</v>
      </c>
      <c r="B336" s="50" t="str">
        <f>IFERROR(VLOOKUP($A336,EVENTO!$A$2:$C$4999,2,FALSE),"")</f>
        <v>CADASTRO</v>
      </c>
      <c r="C336" s="50" t="str">
        <f>IFERROR(VLOOKUP($A336,EVENTO!$A$2:$C$4999,3,FALSE),"")</f>
        <v>PREFEITURA MUNICIPAL DE CANINDE - SECRETARIA MUNICIPAL DE DESENVOLVIMENTO URBANO, INFRAESTRUTURA E SERVIÇOS PÚBLICOS</v>
      </c>
      <c r="D336" s="51">
        <v>45198.0</v>
      </c>
      <c r="E336" s="6">
        <v>12.0</v>
      </c>
      <c r="F336" s="6">
        <v>60.0</v>
      </c>
      <c r="G336" s="52">
        <v>45564.0</v>
      </c>
      <c r="H336" s="52">
        <v>47025.0</v>
      </c>
      <c r="I336" s="49">
        <v>2400.0</v>
      </c>
    </row>
    <row r="337">
      <c r="A337" s="6">
        <v>347.0</v>
      </c>
      <c r="B337" s="50" t="str">
        <f>IFERROR(VLOOKUP($A337,EVENTO!$A$2:$C$4999,2,FALSE),"")</f>
        <v>ADITIVO DE PRAZO</v>
      </c>
      <c r="C337" s="50" t="str">
        <f>IFERROR(VLOOKUP($A337,EVENTO!$A$2:$C$4999,3,FALSE),"")</f>
        <v>PREFEITURA MUNICIPAL DE CANINDE - SECRETARIA MUNICIPAL DE DESENVOLVIMENTO URBANO, INFRAESTRUTURA E SERVIÇOS PÚBLICOS</v>
      </c>
      <c r="D337" s="51">
        <v>45565.0</v>
      </c>
      <c r="E337" s="6">
        <v>12.0</v>
      </c>
      <c r="F337" s="6">
        <v>60.0</v>
      </c>
      <c r="G337" s="52">
        <v>45930.0</v>
      </c>
      <c r="H337" s="52">
        <v>47025.0</v>
      </c>
      <c r="I337" s="49">
        <v>2400.0</v>
      </c>
    </row>
    <row r="338">
      <c r="A338" s="6">
        <v>348.0</v>
      </c>
      <c r="B338" s="50" t="str">
        <f>IFERROR(VLOOKUP($A338,EVENTO!$A$2:$C$4999,2,FALSE),"")</f>
        <v>ADITIVO DE PRAZO</v>
      </c>
      <c r="C338" s="50" t="str">
        <f>IFERROR(VLOOKUP($A338,EVENTO!$A$2:$C$4999,3,FALSE),"")</f>
        <v>PREFEITURA MUNICIPAL DE CANINDE - SECRETARIA MUNICIPAL DE DESENVOLVIMENTO URBANO, INFRAESTRUTURA E SERVIÇOS PÚBLICOS</v>
      </c>
      <c r="D338" s="51">
        <v>45901.0</v>
      </c>
      <c r="E338" s="6">
        <v>2.0</v>
      </c>
      <c r="F338" s="6">
        <v>60.0</v>
      </c>
      <c r="G338" s="52">
        <v>45992.0</v>
      </c>
      <c r="H338" s="52">
        <v>47025.0</v>
      </c>
      <c r="I338" s="49">
        <v>400.0</v>
      </c>
    </row>
    <row r="339">
      <c r="A339" s="6">
        <v>349.0</v>
      </c>
      <c r="B339" s="50" t="str">
        <f>IFERROR(VLOOKUP($A339,EVENTO!$A$2:$C$4999,2,FALSE),"")</f>
        <v>ADITIVO DE PRAZO</v>
      </c>
      <c r="C339" s="50" t="str">
        <f>IFERROR(VLOOKUP($A339,EVENTO!$A$2:$C$4999,3,FALSE),"")</f>
        <v>PREFEITURA MUNICIPAL DE CANINDE - SECRETARIA MUNICIPAL DE DESENVOLVIMENTO URBANO, INFRAESTRUTURA E SERVIÇOS PÚBLICOS</v>
      </c>
      <c r="D339" s="51">
        <v>45993.0</v>
      </c>
      <c r="E339" s="6">
        <v>2.0</v>
      </c>
      <c r="F339" s="6">
        <v>60.0</v>
      </c>
      <c r="G339" s="52">
        <v>46055.0</v>
      </c>
      <c r="H339" s="52">
        <v>47025.0</v>
      </c>
      <c r="I339" s="49">
        <v>400.0</v>
      </c>
    </row>
    <row r="340">
      <c r="A340" s="6">
        <v>350.0</v>
      </c>
      <c r="B340" s="50" t="str">
        <f>IFERROR(VLOOKUP($A340,EVENTO!$A$2:$C$4999,2,FALSE),"")</f>
        <v>CADASTRO</v>
      </c>
      <c r="C340" s="50" t="str">
        <f>IFERROR(VLOOKUP($A340,EVENTO!$A$2:$C$4999,3,FALSE),"")</f>
        <v>PREFEITURA MUNICIPAL DE CANINDE - FUNDAÇÃO DE ESPORTE, CULTURA E PATRIMÔNIO</v>
      </c>
      <c r="D340" s="51">
        <v>45198.0</v>
      </c>
      <c r="E340" s="6">
        <v>12.0</v>
      </c>
      <c r="F340" s="6">
        <v>60.0</v>
      </c>
      <c r="G340" s="52">
        <v>45564.0</v>
      </c>
      <c r="H340" s="52">
        <v>47025.0</v>
      </c>
      <c r="I340" s="49">
        <v>4200.0</v>
      </c>
    </row>
    <row r="341">
      <c r="A341" s="6">
        <v>351.0</v>
      </c>
      <c r="B341" s="50" t="str">
        <f>IFERROR(VLOOKUP($A341,EVENTO!$A$2:$C$4999,2,FALSE),"")</f>
        <v>ADITIVO DE PRAZO</v>
      </c>
      <c r="C341" s="50" t="str">
        <f>IFERROR(VLOOKUP($A341,EVENTO!$A$2:$C$4999,3,FALSE),"")</f>
        <v>PREFEITURA MUNICIPAL DE CANINDE - FUNDAÇÃO DE ESPORTE, CULTURA E PATRIMÔNIO</v>
      </c>
      <c r="D341" s="51">
        <v>45565.0</v>
      </c>
      <c r="E341" s="6">
        <v>12.0</v>
      </c>
      <c r="F341" s="6">
        <v>60.0</v>
      </c>
      <c r="G341" s="52">
        <v>45930.0</v>
      </c>
      <c r="H341" s="52">
        <v>47025.0</v>
      </c>
      <c r="I341" s="49">
        <v>4200.0</v>
      </c>
    </row>
    <row r="342">
      <c r="A342" s="6">
        <v>352.0</v>
      </c>
      <c r="B342" s="50" t="str">
        <f>IFERROR(VLOOKUP($A342,EVENTO!$A$2:$C$4999,2,FALSE),"")</f>
        <v>ADITIVO DE PRAZO</v>
      </c>
      <c r="C342" s="50" t="str">
        <f>IFERROR(VLOOKUP($A342,EVENTO!$A$2:$C$4999,3,FALSE),"")</f>
        <v>PREFEITURA MUNICIPAL DE CANINDE - FUNDAÇÃO DE ESPORTE, CULTURA E PATRIMÔNIO</v>
      </c>
      <c r="D342" s="51">
        <v>45901.0</v>
      </c>
      <c r="E342" s="6">
        <v>2.0</v>
      </c>
      <c r="F342" s="6">
        <v>60.0</v>
      </c>
      <c r="G342" s="52">
        <v>45992.0</v>
      </c>
      <c r="H342" s="52">
        <v>47025.0</v>
      </c>
      <c r="I342" s="49">
        <v>700.0</v>
      </c>
    </row>
    <row r="343">
      <c r="A343" s="6">
        <v>353.0</v>
      </c>
      <c r="B343" s="50" t="str">
        <f>IFERROR(VLOOKUP($A343,EVENTO!$A$2:$C$4999,2,FALSE),"")</f>
        <v>ADITIVO DE PRAZO</v>
      </c>
      <c r="C343" s="50" t="str">
        <f>IFERROR(VLOOKUP($A343,EVENTO!$A$2:$C$4999,3,FALSE),"")</f>
        <v>PREFEITURA MUNICIPAL DE CANINDE - FUNDAÇÃO DE ESPORTE, CULTURA E PATRIMÔNIO</v>
      </c>
      <c r="D343" s="51">
        <v>45993.0</v>
      </c>
      <c r="E343" s="6">
        <v>2.0</v>
      </c>
      <c r="F343" s="6">
        <v>60.0</v>
      </c>
      <c r="G343" s="52">
        <v>46055.0</v>
      </c>
      <c r="H343" s="52">
        <v>47025.0</v>
      </c>
      <c r="I343" s="49">
        <v>700.0</v>
      </c>
    </row>
    <row r="344">
      <c r="A344" s="6">
        <v>354.0</v>
      </c>
      <c r="B344" s="50" t="str">
        <f>IFERROR(VLOOKUP($A344,EVENTO!$A$2:$C$4999,2,FALSE),"")</f>
        <v>CADASTRO</v>
      </c>
      <c r="C344" s="50" t="str">
        <f>IFERROR(VLOOKUP($A344,EVENTO!$A$2:$C$4999,3,FALSE),"")</f>
        <v>PREFEITURA MUNICIPAL DE CANINDE - SECRETARIA DE PLANEJAMENTO, ADMINISTRAÇÃO E FINANÇAS</v>
      </c>
      <c r="D344" s="51">
        <v>45198.0</v>
      </c>
      <c r="E344" s="6">
        <v>12.0</v>
      </c>
      <c r="F344" s="6">
        <v>60.0</v>
      </c>
      <c r="G344" s="52">
        <v>45564.0</v>
      </c>
      <c r="H344" s="52">
        <v>47025.0</v>
      </c>
      <c r="I344" s="49">
        <v>96455.04</v>
      </c>
    </row>
    <row r="345">
      <c r="A345" s="6">
        <v>355.0</v>
      </c>
      <c r="B345" s="50" t="str">
        <f>IFERROR(VLOOKUP($A345,EVENTO!$A$2:$C$4999,2,FALSE),"")</f>
        <v>ADITIVO DE PRAZO</v>
      </c>
      <c r="C345" s="50" t="str">
        <f>IFERROR(VLOOKUP($A345,EVENTO!$A$2:$C$4999,3,FALSE),"")</f>
        <v>PREFEITURA MUNICIPAL DE CANINDE - SECRETARIA DE PLANEJAMENTO, ADMINISTRAÇÃO E FINANÇAS</v>
      </c>
      <c r="D345" s="51">
        <v>45565.0</v>
      </c>
      <c r="E345" s="6">
        <v>12.0</v>
      </c>
      <c r="F345" s="6">
        <v>60.0</v>
      </c>
      <c r="G345" s="52">
        <v>45930.0</v>
      </c>
      <c r="H345" s="52">
        <v>47025.0</v>
      </c>
      <c r="I345" s="49">
        <v>96455.04</v>
      </c>
    </row>
    <row r="346">
      <c r="A346" s="6">
        <v>356.0</v>
      </c>
      <c r="B346" s="50" t="str">
        <f>IFERROR(VLOOKUP($A346,EVENTO!$A$2:$C$4999,2,FALSE),"")</f>
        <v>ADITIVO DE PRAZO</v>
      </c>
      <c r="C346" s="50" t="str">
        <f>IFERROR(VLOOKUP($A346,EVENTO!$A$2:$C$4999,3,FALSE),"")</f>
        <v>PREFEITURA MUNICIPAL DE CANINDE - SECRETARIA DE PLANEJAMENTO, ADMINISTRAÇÃO E FINANÇAS</v>
      </c>
      <c r="D346" s="51">
        <v>45901.0</v>
      </c>
      <c r="E346" s="6">
        <v>2.0</v>
      </c>
      <c r="F346" s="6">
        <v>60.0</v>
      </c>
      <c r="G346" s="52">
        <v>45992.0</v>
      </c>
      <c r="H346" s="52">
        <v>47025.0</v>
      </c>
      <c r="I346" s="49">
        <v>16075.84</v>
      </c>
    </row>
    <row r="347">
      <c r="A347" s="6">
        <v>357.0</v>
      </c>
      <c r="B347" s="50" t="str">
        <f>IFERROR(VLOOKUP($A347,EVENTO!$A$2:$C$4999,2,FALSE),"")</f>
        <v>ADITIVO DE PRAZO</v>
      </c>
      <c r="C347" s="50" t="str">
        <f>IFERROR(VLOOKUP($A347,EVENTO!$A$2:$C$4999,3,FALSE),"")</f>
        <v>PREFEITURA MUNICIPAL DE CANINDE - SECRETARIA DE PLANEJAMENTO, ADMINISTRAÇÃO E FINANÇAS</v>
      </c>
      <c r="D347" s="51">
        <v>45993.0</v>
      </c>
      <c r="E347" s="6">
        <v>2.0</v>
      </c>
      <c r="F347" s="6">
        <v>60.0</v>
      </c>
      <c r="G347" s="52">
        <v>46055.0</v>
      </c>
      <c r="H347" s="52">
        <v>47025.0</v>
      </c>
      <c r="I347" s="49">
        <v>16075.84</v>
      </c>
    </row>
    <row r="348">
      <c r="A348" s="6">
        <v>358.0</v>
      </c>
      <c r="B348" s="50" t="str">
        <f>IFERROR(VLOOKUP($A348,EVENTO!$A$2:$C$4999,2,FALSE),"")</f>
        <v>CADASTRO</v>
      </c>
      <c r="C348" s="50" t="str">
        <f>IFERROR(VLOOKUP($A348,EVENTO!$A$2:$C$4999,3,FALSE),"")</f>
        <v>PREFEITURA MUNICIPAL DE CANINDE - PROCURADORIA GERAL DO MUNICÍPIO</v>
      </c>
      <c r="D348" s="51">
        <v>45198.0</v>
      </c>
      <c r="E348" s="6">
        <v>12.0</v>
      </c>
      <c r="F348" s="6">
        <v>60.0</v>
      </c>
      <c r="G348" s="52">
        <v>45564.0</v>
      </c>
      <c r="H348" s="52">
        <v>47025.0</v>
      </c>
      <c r="I348" s="49">
        <v>6028.44</v>
      </c>
    </row>
    <row r="349">
      <c r="A349" s="6">
        <v>359.0</v>
      </c>
      <c r="B349" s="50" t="str">
        <f>IFERROR(VLOOKUP($A349,EVENTO!$A$2:$C$4999,2,FALSE),"")</f>
        <v>ADITIVO DE PRAZO</v>
      </c>
      <c r="C349" s="50" t="str">
        <f>IFERROR(VLOOKUP($A349,EVENTO!$A$2:$C$4999,3,FALSE),"")</f>
        <v>PREFEITURA MUNICIPAL DE CANINDE - PROCURADORIA GERAL DO MUNICÍPIO</v>
      </c>
      <c r="D349" s="51">
        <v>45565.0</v>
      </c>
      <c r="E349" s="6">
        <v>12.0</v>
      </c>
      <c r="F349" s="6">
        <v>60.0</v>
      </c>
      <c r="G349" s="52">
        <v>45930.0</v>
      </c>
      <c r="H349" s="52">
        <v>47025.0</v>
      </c>
      <c r="I349" s="49">
        <v>6028.44</v>
      </c>
    </row>
    <row r="350">
      <c r="A350" s="6">
        <v>360.0</v>
      </c>
      <c r="B350" s="50" t="str">
        <f>IFERROR(VLOOKUP($A350,EVENTO!$A$2:$C$4999,2,FALSE),"")</f>
        <v>ADITIVO DE PRAZO</v>
      </c>
      <c r="C350" s="50" t="str">
        <f>IFERROR(VLOOKUP($A350,EVENTO!$A$2:$C$4999,3,FALSE),"")</f>
        <v>PREFEITURA MUNICIPAL DE CANINDE - PROCURADORIA GERAL DO MUNICÍPIO</v>
      </c>
      <c r="D350" s="51">
        <v>45901.0</v>
      </c>
      <c r="E350" s="6">
        <v>2.0</v>
      </c>
      <c r="F350" s="6">
        <v>60.0</v>
      </c>
      <c r="G350" s="52">
        <v>45992.0</v>
      </c>
      <c r="H350" s="52">
        <v>47025.0</v>
      </c>
      <c r="I350" s="49">
        <v>1004.74</v>
      </c>
    </row>
    <row r="351">
      <c r="A351" s="6">
        <v>361.0</v>
      </c>
      <c r="B351" s="50" t="str">
        <f>IFERROR(VLOOKUP($A351,EVENTO!$A$2:$C$4999,2,FALSE),"")</f>
        <v>ADITIVO DE PRAZO</v>
      </c>
      <c r="C351" s="50" t="str">
        <f>IFERROR(VLOOKUP($A351,EVENTO!$A$2:$C$4999,3,FALSE),"")</f>
        <v>PREFEITURA MUNICIPAL DE CANINDE - PROCURADORIA GERAL DO MUNICÍPIO</v>
      </c>
      <c r="D351" s="51">
        <v>45993.0</v>
      </c>
      <c r="E351" s="6">
        <v>2.0</v>
      </c>
      <c r="F351" s="6">
        <v>60.0</v>
      </c>
      <c r="G351" s="52">
        <v>46055.0</v>
      </c>
      <c r="H351" s="52">
        <v>47025.0</v>
      </c>
      <c r="I351" s="49">
        <v>1004.74</v>
      </c>
    </row>
    <row r="352">
      <c r="A352" s="6">
        <v>362.0</v>
      </c>
      <c r="B352" s="50" t="str">
        <f>IFERROR(VLOOKUP($A352,EVENTO!$A$2:$C$4999,2,FALSE),"")</f>
        <v>CADASTRO</v>
      </c>
      <c r="C352" s="50" t="str">
        <f>IFERROR(VLOOKUP($A352,EVENTO!$A$2:$C$4999,3,FALSE),"")</f>
        <v>PREFEITURA MUNICIPAL DE CANINDE - SECRETARIA DE SAÚDE</v>
      </c>
      <c r="D352" s="51">
        <v>45198.0</v>
      </c>
      <c r="E352" s="6">
        <v>12.0</v>
      </c>
      <c r="F352" s="6">
        <v>60.0</v>
      </c>
      <c r="G352" s="52">
        <v>45564.0</v>
      </c>
      <c r="H352" s="52">
        <v>47025.0</v>
      </c>
      <c r="I352" s="49">
        <v>22828.44</v>
      </c>
    </row>
    <row r="353">
      <c r="A353" s="6">
        <v>363.0</v>
      </c>
      <c r="B353" s="50" t="str">
        <f>IFERROR(VLOOKUP($A353,EVENTO!$A$2:$C$4999,2,FALSE),"")</f>
        <v>ADITIVO DE QUANTIDADE</v>
      </c>
      <c r="C353" s="50" t="str">
        <f>IFERROR(VLOOKUP($A353,EVENTO!$A$2:$C$4999,3,FALSE),"")</f>
        <v>PREFEITURA MUNICIPAL DE CANINDE - SECRETARIA DE SAÚDE</v>
      </c>
      <c r="D353" s="51">
        <v>45400.0</v>
      </c>
      <c r="E353" s="6">
        <v>5.0</v>
      </c>
      <c r="F353" s="6">
        <v>60.0</v>
      </c>
      <c r="G353" s="52">
        <v>45564.0</v>
      </c>
      <c r="H353" s="52">
        <v>47025.0</v>
      </c>
      <c r="I353" s="49">
        <v>4200.0</v>
      </c>
    </row>
    <row r="354">
      <c r="A354" s="6">
        <v>364.0</v>
      </c>
      <c r="B354" s="50" t="str">
        <f>IFERROR(VLOOKUP($A354,EVENTO!$A$2:$C$4999,2,FALSE),"")</f>
        <v>ADITIVO DE PRAZO</v>
      </c>
      <c r="C354" s="50" t="str">
        <f>IFERROR(VLOOKUP($A354,EVENTO!$A$2:$C$4999,3,FALSE),"")</f>
        <v>PREFEITURA MUNICIPAL DE CANINDE - SECRETARIA DE SAÚDE</v>
      </c>
      <c r="D354" s="51">
        <v>45565.0</v>
      </c>
      <c r="E354" s="6">
        <v>12.0</v>
      </c>
      <c r="F354" s="6">
        <v>60.0</v>
      </c>
      <c r="G354" s="52">
        <v>45930.0</v>
      </c>
      <c r="H354" s="52">
        <v>47025.0</v>
      </c>
      <c r="I354" s="49">
        <v>27028.44</v>
      </c>
    </row>
    <row r="355">
      <c r="A355" s="6">
        <v>365.0</v>
      </c>
      <c r="B355" s="50" t="str">
        <f>IFERROR(VLOOKUP($A355,EVENTO!$A$2:$C$4999,2,FALSE),"")</f>
        <v>ADITIVO DE PRAZO</v>
      </c>
      <c r="C355" s="50" t="str">
        <f>IFERROR(VLOOKUP($A355,EVENTO!$A$2:$C$4999,3,FALSE),"")</f>
        <v>PREFEITURA MUNICIPAL DE CANINDE - SECRETARIA DE SAÚDE</v>
      </c>
      <c r="D355" s="51">
        <v>45901.0</v>
      </c>
      <c r="E355" s="6">
        <v>2.0</v>
      </c>
      <c r="F355" s="6">
        <v>60.0</v>
      </c>
      <c r="G355" s="52">
        <v>45992.0</v>
      </c>
      <c r="H355" s="52">
        <v>47025.0</v>
      </c>
      <c r="I355" s="49">
        <v>4504.74</v>
      </c>
    </row>
    <row r="356">
      <c r="A356" s="6">
        <v>366.0</v>
      </c>
      <c r="B356" s="50" t="str">
        <f>IFERROR(VLOOKUP($A356,EVENTO!$A$2:$C$4999,2,FALSE),"")</f>
        <v>ADITIVO DE PRAZO</v>
      </c>
      <c r="C356" s="50" t="str">
        <f>IFERROR(VLOOKUP($A356,EVENTO!$A$2:$C$4999,3,FALSE),"")</f>
        <v>PREFEITURA MUNICIPAL DE CANINDE - SECRETARIA DE SAÚDE</v>
      </c>
      <c r="D356" s="51">
        <v>45993.0</v>
      </c>
      <c r="E356" s="6">
        <v>2.0</v>
      </c>
      <c r="F356" s="6">
        <v>60.0</v>
      </c>
      <c r="G356" s="52">
        <v>46055.0</v>
      </c>
      <c r="H356" s="52">
        <v>47025.0</v>
      </c>
      <c r="I356" s="49">
        <v>4504.74</v>
      </c>
    </row>
    <row r="357">
      <c r="A357" s="6">
        <v>367.0</v>
      </c>
      <c r="B357" s="50" t="str">
        <f>IFERROR(VLOOKUP($A357,EVENTO!$A$2:$C$4999,2,FALSE),"")</f>
        <v>CADASTRO</v>
      </c>
      <c r="C357" s="50" t="str">
        <f>IFERROR(VLOOKUP($A357,EVENTO!$A$2:$C$4999,3,FALSE),"")</f>
        <v>PREFEITURA MUNICIPAL DE CANINDE - SECRETARIA DE SEGURANÇA PÚBLICA E TRÂNSITO</v>
      </c>
      <c r="D357" s="51">
        <v>45198.0</v>
      </c>
      <c r="E357" s="6">
        <v>12.0</v>
      </c>
      <c r="F357" s="6">
        <v>60.0</v>
      </c>
      <c r="G357" s="52">
        <v>45564.0</v>
      </c>
      <c r="H357" s="52">
        <v>47025.0</v>
      </c>
      <c r="I357" s="49">
        <v>8400.0</v>
      </c>
    </row>
    <row r="358">
      <c r="A358" s="6">
        <v>368.0</v>
      </c>
      <c r="B358" s="50" t="str">
        <f>IFERROR(VLOOKUP($A358,EVENTO!$A$2:$C$4999,2,FALSE),"")</f>
        <v>ADITIVO DE PRAZO</v>
      </c>
      <c r="C358" s="50" t="str">
        <f>IFERROR(VLOOKUP($A358,EVENTO!$A$2:$C$4999,3,FALSE),"")</f>
        <v>PREFEITURA MUNICIPAL DE CANINDE - SECRETARIA DE SEGURANÇA PÚBLICA E TRÂNSITO</v>
      </c>
      <c r="D358" s="51">
        <v>45565.0</v>
      </c>
      <c r="E358" s="6">
        <v>12.0</v>
      </c>
      <c r="F358" s="6">
        <v>60.0</v>
      </c>
      <c r="G358" s="52">
        <v>45930.0</v>
      </c>
      <c r="H358" s="52">
        <v>47025.0</v>
      </c>
      <c r="I358" s="49">
        <v>8400.0</v>
      </c>
    </row>
    <row r="359">
      <c r="A359" s="6">
        <v>369.0</v>
      </c>
      <c r="B359" s="50" t="str">
        <f>IFERROR(VLOOKUP($A359,EVENTO!$A$2:$C$4999,2,FALSE),"")</f>
        <v>ADITIVO DE PRAZO</v>
      </c>
      <c r="C359" s="50" t="str">
        <f>IFERROR(VLOOKUP($A359,EVENTO!$A$2:$C$4999,3,FALSE),"")</f>
        <v>PREFEITURA MUNICIPAL DE CANINDE - SECRETARIA DE SEGURANÇA PÚBLICA E TRÂNSITO</v>
      </c>
      <c r="D359" s="51">
        <v>45901.0</v>
      </c>
      <c r="E359" s="6">
        <v>2.0</v>
      </c>
      <c r="F359" s="6">
        <v>60.0</v>
      </c>
      <c r="G359" s="52">
        <v>45992.0</v>
      </c>
      <c r="H359" s="52">
        <v>47025.0</v>
      </c>
      <c r="I359" s="49">
        <v>1400.0</v>
      </c>
    </row>
    <row r="360">
      <c r="A360" s="6">
        <v>370.0</v>
      </c>
      <c r="B360" s="50" t="str">
        <f>IFERROR(VLOOKUP($A360,EVENTO!$A$2:$C$4999,2,FALSE),"")</f>
        <v>ADITIVO DE PRAZO</v>
      </c>
      <c r="C360" s="50" t="str">
        <f>IFERROR(VLOOKUP($A360,EVENTO!$A$2:$C$4999,3,FALSE),"")</f>
        <v>PREFEITURA MUNICIPAL DE CANINDE - SECRETARIA DE SEGURANÇA PÚBLICA E TRÂNSITO</v>
      </c>
      <c r="D360" s="51">
        <v>45993.0</v>
      </c>
      <c r="E360" s="6">
        <v>2.0</v>
      </c>
      <c r="F360" s="6">
        <v>60.0</v>
      </c>
      <c r="G360" s="52">
        <v>46055.0</v>
      </c>
      <c r="H360" s="52">
        <v>47025.0</v>
      </c>
      <c r="I360" s="49">
        <v>1400.0</v>
      </c>
    </row>
    <row r="361">
      <c r="A361" s="6">
        <v>371.0</v>
      </c>
      <c r="B361" s="50" t="str">
        <f>IFERROR(VLOOKUP($A361,EVENTO!$A$2:$C$4999,2,FALSE),"")</f>
        <v>CADASTRO</v>
      </c>
      <c r="C361" s="50" t="str">
        <f>IFERROR(VLOOKUP($A361,EVENTO!$A$2:$C$4999,3,FALSE),"")</f>
        <v>PREFEITURA MUNICIPAL DE ARACATI - PROCURADORIA</v>
      </c>
      <c r="D361" s="51">
        <v>44664.0</v>
      </c>
      <c r="E361" s="6">
        <v>12.0</v>
      </c>
      <c r="F361" s="6">
        <v>60.0</v>
      </c>
      <c r="G361" s="52">
        <v>45029.0</v>
      </c>
      <c r="H361" s="52">
        <v>46490.0</v>
      </c>
      <c r="I361" s="49">
        <v>158146.44</v>
      </c>
    </row>
    <row r="362">
      <c r="A362" s="6">
        <v>372.0</v>
      </c>
      <c r="B362" s="50" t="str">
        <f>IFERROR(VLOOKUP($A362,EVENTO!$A$2:$C$4999,2,FALSE),"")</f>
        <v>ADITIVO DE PRAZO</v>
      </c>
      <c r="C362" s="50" t="str">
        <f>IFERROR(VLOOKUP($A362,EVENTO!$A$2:$C$4999,3,FALSE),"")</f>
        <v>PREFEITURA MUNICIPAL DE ARACATI - PROCURADORIA</v>
      </c>
      <c r="D362" s="51">
        <v>45029.0</v>
      </c>
      <c r="E362" s="6">
        <v>12.0</v>
      </c>
      <c r="F362" s="6">
        <v>60.0</v>
      </c>
      <c r="G362" s="52">
        <v>45395.0</v>
      </c>
      <c r="H362" s="52">
        <v>46490.0</v>
      </c>
      <c r="I362" s="49">
        <v>158146.44</v>
      </c>
    </row>
    <row r="363">
      <c r="A363" s="6">
        <v>373.0</v>
      </c>
      <c r="B363" s="50" t="str">
        <f>IFERROR(VLOOKUP($A363,EVENTO!$A$2:$C$4999,2,FALSE),"")</f>
        <v>ADITIVO DE PRAZO</v>
      </c>
      <c r="C363" s="50" t="str">
        <f>IFERROR(VLOOKUP($A363,EVENTO!$A$2:$C$4999,3,FALSE),"")</f>
        <v>PREFEITURA MUNICIPAL DE ARACATI - PROCURADORIA</v>
      </c>
      <c r="D363" s="51">
        <v>45658.0</v>
      </c>
      <c r="E363" s="6">
        <v>6.0</v>
      </c>
      <c r="F363" s="6">
        <v>60.0</v>
      </c>
      <c r="G363" s="52">
        <v>45838.0</v>
      </c>
      <c r="H363" s="52">
        <v>46490.0</v>
      </c>
      <c r="I363" s="49">
        <v>79073.22</v>
      </c>
    </row>
    <row r="364">
      <c r="A364" s="6">
        <v>374.0</v>
      </c>
      <c r="B364" s="50" t="str">
        <f>IFERROR(VLOOKUP($A364,EVENTO!$A$2:$C$4999,2,FALSE),"")</f>
        <v>ADITIVO DE PRAZO</v>
      </c>
      <c r="C364" s="50" t="str">
        <f>IFERROR(VLOOKUP($A364,EVENTO!$A$2:$C$4999,3,FALSE),"")</f>
        <v>PREFEITURA MUNICIPAL DE ARACATI - PROCURADORIA</v>
      </c>
      <c r="D364" s="51">
        <v>45839.0</v>
      </c>
      <c r="E364" s="6">
        <v>4.0</v>
      </c>
      <c r="F364" s="6">
        <v>60.0</v>
      </c>
      <c r="G364" s="53">
        <v>45961.0</v>
      </c>
      <c r="H364" s="52">
        <v>46490.0</v>
      </c>
      <c r="I364" s="49">
        <v>52715.48</v>
      </c>
    </row>
    <row r="365">
      <c r="A365" s="6">
        <v>375.0</v>
      </c>
      <c r="B365" s="50" t="str">
        <f>IFERROR(VLOOKUP($A365,EVENTO!$A$2:$C$4999,2,FALSE),"")</f>
        <v>ADITIVO DE PRAZO</v>
      </c>
      <c r="C365" s="50" t="str">
        <f>IFERROR(VLOOKUP($A365,EVENTO!$A$2:$C$4999,3,FALSE),"")</f>
        <v>PREFEITURA MUNICIPAL DE ARACATI - PROCURADORIA</v>
      </c>
      <c r="D365" s="51">
        <v>45962.0</v>
      </c>
      <c r="E365" s="6">
        <v>3.0</v>
      </c>
      <c r="F365" s="6">
        <v>60.0</v>
      </c>
      <c r="G365" s="52">
        <v>46053.0</v>
      </c>
      <c r="H365" s="52">
        <v>46490.0</v>
      </c>
      <c r="I365" s="49">
        <v>39536.61</v>
      </c>
    </row>
    <row r="366">
      <c r="A366" s="6">
        <v>377.0</v>
      </c>
      <c r="B366" s="50" t="str">
        <f>IFERROR(VLOOKUP($A366,EVENTO!$A$2:$C$4999,2,FALSE),"")</f>
        <v>CADASTRO</v>
      </c>
      <c r="C366" s="50" t="str">
        <f>IFERROR(VLOOKUP($A366,EVENTO!$A$2:$C$4999,3,FALSE),"")</f>
        <v>PREFEITURA MUNICIPAL DE ARACATI - SAÚDE</v>
      </c>
      <c r="D366" s="51">
        <v>44664.0</v>
      </c>
      <c r="E366" s="6">
        <v>12.0</v>
      </c>
      <c r="F366" s="6">
        <v>60.0</v>
      </c>
      <c r="G366" s="52">
        <v>45029.0</v>
      </c>
      <c r="H366" s="52">
        <v>46490.0</v>
      </c>
      <c r="I366" s="49">
        <v>1397905.32</v>
      </c>
    </row>
    <row r="367">
      <c r="A367" s="6">
        <v>378.0</v>
      </c>
      <c r="B367" s="50" t="str">
        <f>IFERROR(VLOOKUP($A367,EVENTO!$A$2:$C$4999,2,FALSE),"")</f>
        <v>ADITIVO DE PRAZO</v>
      </c>
      <c r="C367" s="50" t="str">
        <f>IFERROR(VLOOKUP($A367,EVENTO!$A$2:$C$4999,3,FALSE),"")</f>
        <v>PREFEITURA MUNICIPAL DE ARACATI - SAÚDE</v>
      </c>
      <c r="D367" s="51">
        <v>45029.0</v>
      </c>
      <c r="E367" s="6">
        <v>12.0</v>
      </c>
      <c r="F367" s="6">
        <v>60.0</v>
      </c>
      <c r="G367" s="52">
        <v>45395.0</v>
      </c>
      <c r="H367" s="52">
        <v>46490.0</v>
      </c>
      <c r="I367" s="49">
        <v>1397905.32</v>
      </c>
    </row>
    <row r="368">
      <c r="A368" s="6">
        <v>379.0</v>
      </c>
      <c r="B368" s="50" t="str">
        <f>IFERROR(VLOOKUP($A368,EVENTO!$A$2:$C$4999,2,FALSE),"")</f>
        <v>ADITIVO DE PRAZO</v>
      </c>
      <c r="C368" s="50" t="str">
        <f>IFERROR(VLOOKUP($A368,EVENTO!$A$2:$C$4999,3,FALSE),"")</f>
        <v>PREFEITURA MUNICIPAL DE ARACATI - SAÚDE</v>
      </c>
      <c r="D368" s="51">
        <v>45396.0</v>
      </c>
      <c r="E368" s="6">
        <v>9.0</v>
      </c>
      <c r="F368" s="6">
        <v>60.0</v>
      </c>
      <c r="G368" s="53">
        <v>45657.0</v>
      </c>
      <c r="H368" s="52">
        <v>46490.0</v>
      </c>
      <c r="I368" s="49">
        <v>1048428.99</v>
      </c>
    </row>
    <row r="369">
      <c r="A369" s="6">
        <v>380.0</v>
      </c>
      <c r="B369" s="50" t="str">
        <f>IFERROR(VLOOKUP($A369,EVENTO!$A$2:$C$4999,2,FALSE),"")</f>
        <v>ADITIVO DE PRAZO</v>
      </c>
      <c r="C369" s="50" t="str">
        <f>IFERROR(VLOOKUP($A369,EVENTO!$A$2:$C$4999,3,FALSE),"")</f>
        <v>PREFEITURA MUNICIPAL DE ARACATI - SAÚDE</v>
      </c>
      <c r="D369" s="51">
        <v>45658.0</v>
      </c>
      <c r="E369" s="6">
        <v>6.0</v>
      </c>
      <c r="F369" s="6">
        <v>60.0</v>
      </c>
      <c r="G369" s="52">
        <v>45838.0</v>
      </c>
      <c r="H369" s="52">
        <v>46490.0</v>
      </c>
      <c r="I369" s="49">
        <v>698954.46</v>
      </c>
    </row>
    <row r="370">
      <c r="A370" s="6">
        <v>381.0</v>
      </c>
      <c r="B370" s="50" t="str">
        <f>IFERROR(VLOOKUP($A370,EVENTO!$A$2:$C$4999,2,FALSE),"")</f>
        <v>ADITIVO DE PRAZO</v>
      </c>
      <c r="C370" s="50" t="str">
        <f>IFERROR(VLOOKUP($A370,EVENTO!$A$2:$C$4999,3,FALSE),"")</f>
        <v>PREFEITURA MUNICIPAL DE ARACATI - SAÚDE</v>
      </c>
      <c r="D370" s="51">
        <v>45839.0</v>
      </c>
      <c r="E370" s="6">
        <v>4.0</v>
      </c>
      <c r="F370" s="6">
        <v>60.0</v>
      </c>
      <c r="G370" s="53">
        <v>45961.0</v>
      </c>
      <c r="H370" s="52">
        <v>46490.0</v>
      </c>
      <c r="I370" s="49">
        <v>460667.0</v>
      </c>
    </row>
    <row r="371">
      <c r="A371" s="6">
        <v>382.0</v>
      </c>
      <c r="B371" s="50" t="str">
        <f>IFERROR(VLOOKUP($A371,EVENTO!$A$2:$C$4999,2,FALSE),"")</f>
        <v>ADITIVO DE PRAZO</v>
      </c>
      <c r="C371" s="50" t="str">
        <f>IFERROR(VLOOKUP($A371,EVENTO!$A$2:$C$4999,3,FALSE),"")</f>
        <v>PREFEITURA MUNICIPAL DE ARACATI - SAÚDE</v>
      </c>
      <c r="D371" s="51">
        <v>45962.0</v>
      </c>
      <c r="E371" s="6">
        <v>3.0</v>
      </c>
      <c r="F371" s="6">
        <v>60.0</v>
      </c>
      <c r="G371" s="52">
        <v>46053.0</v>
      </c>
      <c r="H371" s="52">
        <v>46490.0</v>
      </c>
      <c r="I371" s="49">
        <v>345500.25</v>
      </c>
    </row>
    <row r="372">
      <c r="A372" s="6">
        <v>383.0</v>
      </c>
      <c r="B372" s="50" t="str">
        <f>IFERROR(VLOOKUP($A372,EVENTO!$A$2:$C$4999,2,FALSE),"")</f>
        <v>CADASTRO</v>
      </c>
      <c r="C372" s="50" t="str">
        <f>IFERROR(VLOOKUP($A372,EVENTO!$A$2:$C$4999,3,FALSE),"")</f>
        <v>PREFEITURA MUNICIPAL DE ARACATI - SEINFRA</v>
      </c>
      <c r="D372" s="51">
        <v>44664.0</v>
      </c>
      <c r="E372" s="6">
        <v>12.0</v>
      </c>
      <c r="F372" s="6">
        <v>60.0</v>
      </c>
      <c r="G372" s="52">
        <v>45029.0</v>
      </c>
      <c r="H372" s="52">
        <v>46490.0</v>
      </c>
      <c r="I372" s="49">
        <v>130661.4</v>
      </c>
    </row>
    <row r="373">
      <c r="A373" s="6">
        <v>384.0</v>
      </c>
      <c r="B373" s="50" t="str">
        <f>IFERROR(VLOOKUP($A373,EVENTO!$A$2:$C$4999,2,FALSE),"")</f>
        <v>ADITIVO DE PRAZO</v>
      </c>
      <c r="C373" s="50" t="str">
        <f>IFERROR(VLOOKUP($A373,EVENTO!$A$2:$C$4999,3,FALSE),"")</f>
        <v>PREFEITURA MUNICIPAL DE ARACATI - SEINFRA</v>
      </c>
      <c r="D373" s="51">
        <v>45029.0</v>
      </c>
      <c r="E373" s="6">
        <v>12.0</v>
      </c>
      <c r="F373" s="6">
        <v>60.0</v>
      </c>
      <c r="G373" s="52">
        <v>45395.0</v>
      </c>
      <c r="H373" s="52">
        <v>46490.0</v>
      </c>
      <c r="I373" s="49">
        <v>130661.4</v>
      </c>
    </row>
    <row r="374">
      <c r="A374" s="6">
        <v>385.0</v>
      </c>
      <c r="B374" s="50" t="str">
        <f>IFERROR(VLOOKUP($A374,EVENTO!$A$2:$C$4999,2,FALSE),"")</f>
        <v>ADITIVO DE PRAZO</v>
      </c>
      <c r="C374" s="50" t="str">
        <f>IFERROR(VLOOKUP($A374,EVENTO!$A$2:$C$4999,3,FALSE),"")</f>
        <v>PREFEITURA MUNICIPAL DE ARACATI - SEINFRA</v>
      </c>
      <c r="D374" s="51">
        <v>45761.0</v>
      </c>
      <c r="E374" s="6">
        <v>12.0</v>
      </c>
      <c r="F374" s="6">
        <v>60.0</v>
      </c>
      <c r="G374" s="53">
        <v>45657.0</v>
      </c>
      <c r="H374" s="52">
        <v>46490.0</v>
      </c>
      <c r="I374" s="49">
        <v>97996.05</v>
      </c>
    </row>
    <row r="375">
      <c r="A375" s="6">
        <v>386.0</v>
      </c>
      <c r="B375" s="50" t="str">
        <f>IFERROR(VLOOKUP($A375,EVENTO!$A$2:$C$4999,2,FALSE),"")</f>
        <v>ADITIVO DE PRAZO</v>
      </c>
      <c r="C375" s="50" t="str">
        <f>IFERROR(VLOOKUP($A375,EVENTO!$A$2:$C$4999,3,FALSE),"")</f>
        <v>PREFEITURA MUNICIPAL DE ARACATI - SEINFRA</v>
      </c>
      <c r="D375" s="51">
        <v>45658.0</v>
      </c>
      <c r="E375" s="6">
        <v>6.0</v>
      </c>
      <c r="F375" s="6">
        <v>60.0</v>
      </c>
      <c r="G375" s="52">
        <v>45838.0</v>
      </c>
      <c r="H375" s="52">
        <v>46490.0</v>
      </c>
      <c r="I375" s="49">
        <v>65330.7</v>
      </c>
    </row>
    <row r="376">
      <c r="A376" s="6">
        <v>387.0</v>
      </c>
      <c r="B376" s="50" t="str">
        <f>IFERROR(VLOOKUP($A376,EVENTO!$A$2:$C$4999,2,FALSE),"")</f>
        <v>ADITIVO DE PRAZO</v>
      </c>
      <c r="C376" s="50" t="str">
        <f>IFERROR(VLOOKUP($A376,EVENTO!$A$2:$C$4999,3,FALSE),"")</f>
        <v>PREFEITURA MUNICIPAL DE ARACATI - SEINFRA</v>
      </c>
      <c r="D376" s="51">
        <v>45839.0</v>
      </c>
      <c r="E376" s="6">
        <v>4.0</v>
      </c>
      <c r="F376" s="6">
        <v>60.0</v>
      </c>
      <c r="G376" s="53">
        <v>45961.0</v>
      </c>
      <c r="H376" s="52">
        <v>46490.0</v>
      </c>
      <c r="I376" s="49">
        <v>43553.8</v>
      </c>
    </row>
    <row r="377">
      <c r="A377" s="6">
        <v>388.0</v>
      </c>
      <c r="B377" s="50" t="str">
        <f>IFERROR(VLOOKUP($A377,EVENTO!$A$2:$C$4999,2,FALSE),"")</f>
        <v>ADITIVO DE PRAZO</v>
      </c>
      <c r="C377" s="50" t="str">
        <f>IFERROR(VLOOKUP($A377,EVENTO!$A$2:$C$4999,3,FALSE),"")</f>
        <v>PREFEITURA MUNICIPAL DE ARACATI - SEINFRA</v>
      </c>
      <c r="D377" s="51">
        <v>45962.0</v>
      </c>
      <c r="E377" s="6">
        <v>3.0</v>
      </c>
      <c r="F377" s="6">
        <v>60.0</v>
      </c>
      <c r="G377" s="52">
        <v>46053.0</v>
      </c>
      <c r="H377" s="52">
        <v>46490.0</v>
      </c>
      <c r="I377" s="49">
        <v>32665.35</v>
      </c>
    </row>
    <row r="378">
      <c r="A378" s="6">
        <v>389.0</v>
      </c>
      <c r="B378" s="50" t="str">
        <f>IFERROR(VLOOKUP($A378,EVENTO!$A$2:$C$4999,2,FALSE),"")</f>
        <v>CADASTRO</v>
      </c>
      <c r="C378" s="50" t="str">
        <f>IFERROR(VLOOKUP($A378,EVENTO!$A$2:$C$4999,3,FALSE),"")</f>
        <v>PREFEITURA MUNICIPAL DE ARACATI - TURISMO E CULTURA</v>
      </c>
      <c r="D378" s="51">
        <v>44664.0</v>
      </c>
      <c r="E378" s="6">
        <v>12.0</v>
      </c>
      <c r="F378" s="6">
        <v>60.0</v>
      </c>
      <c r="G378" s="52">
        <v>45029.0</v>
      </c>
      <c r="H378" s="52">
        <v>46490.0</v>
      </c>
      <c r="I378" s="49">
        <v>104194.68</v>
      </c>
    </row>
    <row r="379">
      <c r="A379" s="6">
        <v>390.0</v>
      </c>
      <c r="B379" s="50" t="str">
        <f>IFERROR(VLOOKUP($A379,EVENTO!$A$2:$C$4999,2,FALSE),"")</f>
        <v>ADITIVO DE PRAZO</v>
      </c>
      <c r="C379" s="50" t="str">
        <f>IFERROR(VLOOKUP($A379,EVENTO!$A$2:$C$4999,3,FALSE),"")</f>
        <v>PREFEITURA MUNICIPAL DE ARACATI - TURISMO E CULTURA</v>
      </c>
      <c r="D379" s="51">
        <v>45029.0</v>
      </c>
      <c r="E379" s="6">
        <v>12.0</v>
      </c>
      <c r="F379" s="6">
        <v>60.0</v>
      </c>
      <c r="G379" s="52">
        <v>45395.0</v>
      </c>
      <c r="H379" s="52">
        <v>46490.0</v>
      </c>
      <c r="I379" s="49">
        <v>104194.68</v>
      </c>
    </row>
    <row r="380">
      <c r="A380" s="6">
        <v>391.0</v>
      </c>
      <c r="B380" s="50" t="str">
        <f>IFERROR(VLOOKUP($A380,EVENTO!$A$2:$C$4999,2,FALSE),"")</f>
        <v>ADITIVO DE PRAZO</v>
      </c>
      <c r="C380" s="50" t="str">
        <f>IFERROR(VLOOKUP($A380,EVENTO!$A$2:$C$4999,3,FALSE),"")</f>
        <v>PREFEITURA MUNICIPAL DE ARACATI - TURISMO E CULTURA</v>
      </c>
      <c r="D380" s="51">
        <v>45396.0</v>
      </c>
      <c r="E380" s="6">
        <v>9.0</v>
      </c>
      <c r="F380" s="6">
        <v>60.0</v>
      </c>
      <c r="G380" s="53">
        <v>45657.0</v>
      </c>
      <c r="H380" s="52">
        <v>46490.0</v>
      </c>
      <c r="I380" s="49">
        <v>78146.01</v>
      </c>
    </row>
    <row r="381">
      <c r="A381" s="6">
        <v>392.0</v>
      </c>
      <c r="B381" s="50" t="str">
        <f>IFERROR(VLOOKUP($A381,EVENTO!$A$2:$C$4999,2,FALSE),"")</f>
        <v>ADITIVO DE PRAZO</v>
      </c>
      <c r="C381" s="50" t="str">
        <f>IFERROR(VLOOKUP($A381,EVENTO!$A$2:$C$4999,3,FALSE),"")</f>
        <v>PREFEITURA MUNICIPAL DE ARACATI - TURISMO E CULTURA</v>
      </c>
      <c r="D381" s="51">
        <v>45658.0</v>
      </c>
      <c r="E381" s="6">
        <v>6.0</v>
      </c>
      <c r="F381" s="6">
        <v>60.0</v>
      </c>
      <c r="G381" s="52">
        <v>45838.0</v>
      </c>
      <c r="H381" s="52">
        <v>46490.0</v>
      </c>
      <c r="I381" s="49">
        <v>52097.34</v>
      </c>
    </row>
    <row r="382">
      <c r="A382" s="6">
        <v>393.0</v>
      </c>
      <c r="B382" s="50" t="str">
        <f>IFERROR(VLOOKUP($A382,EVENTO!$A$2:$C$4999,2,FALSE),"")</f>
        <v>ADITIVO DE PRAZO</v>
      </c>
      <c r="C382" s="50" t="str">
        <f>IFERROR(VLOOKUP($A382,EVENTO!$A$2:$C$4999,3,FALSE),"")</f>
        <v>PREFEITURA MUNICIPAL DE ARACATI - TURISMO E CULTURA</v>
      </c>
      <c r="D382" s="51">
        <v>45839.0</v>
      </c>
      <c r="E382" s="6">
        <v>4.0</v>
      </c>
      <c r="F382" s="6">
        <v>60.0</v>
      </c>
      <c r="G382" s="53">
        <v>45961.0</v>
      </c>
      <c r="H382" s="52">
        <v>46490.0</v>
      </c>
      <c r="I382" s="49">
        <v>34731.56</v>
      </c>
    </row>
    <row r="383">
      <c r="A383" s="6">
        <v>394.0</v>
      </c>
      <c r="B383" s="50" t="str">
        <f>IFERROR(VLOOKUP($A383,EVENTO!$A$2:$C$4999,2,FALSE),"")</f>
        <v>ADITIVO DE PRAZO</v>
      </c>
      <c r="C383" s="50" t="str">
        <f>IFERROR(VLOOKUP($A383,EVENTO!$A$2:$C$4999,3,FALSE),"")</f>
        <v>PREFEITURA MUNICIPAL DE ARACATI - TURISMO E CULTURA</v>
      </c>
      <c r="D383" s="51">
        <v>45962.0</v>
      </c>
      <c r="E383" s="6">
        <v>3.0</v>
      </c>
      <c r="F383" s="6">
        <v>60.0</v>
      </c>
      <c r="G383" s="52">
        <v>46053.0</v>
      </c>
      <c r="H383" s="52">
        <v>46490.0</v>
      </c>
      <c r="I383" s="49">
        <v>26048.67</v>
      </c>
    </row>
    <row r="384">
      <c r="A384" s="6">
        <v>395.0</v>
      </c>
      <c r="B384" s="50" t="str">
        <f>IFERROR(VLOOKUP($A384,EVENTO!$A$2:$C$4999,2,FALSE),"")</f>
        <v>CADASTRO</v>
      </c>
      <c r="C384" s="50" t="str">
        <f>IFERROR(VLOOKUP($A384,EVENTO!$A$2:$C$4999,3,FALSE),"")</f>
        <v>PREF. MUNICIPAL DE ARACATI - DESENVOLVIMENTO SOCIAL - 020-2022</v>
      </c>
      <c r="D384" s="51">
        <v>44664.0</v>
      </c>
      <c r="E384" s="6">
        <v>12.0</v>
      </c>
      <c r="F384" s="6">
        <v>60.0</v>
      </c>
      <c r="G384" s="52">
        <v>45029.0</v>
      </c>
      <c r="H384" s="52">
        <v>46490.0</v>
      </c>
      <c r="I384" s="49">
        <v>56642.88</v>
      </c>
    </row>
    <row r="385">
      <c r="A385" s="6">
        <v>396.0</v>
      </c>
      <c r="B385" s="50" t="str">
        <f>IFERROR(VLOOKUP($A385,EVENTO!$A$2:$C$4999,2,FALSE),"")</f>
        <v>ADITIVO DE PRAZO</v>
      </c>
      <c r="C385" s="50" t="str">
        <f>IFERROR(VLOOKUP($A385,EVENTO!$A$2:$C$4999,3,FALSE),"")</f>
        <v>PREF. MUNICIPAL DE ARACATI - DESENVOLVIMENTO SOCIAL - 020-2022</v>
      </c>
      <c r="D385" s="51">
        <v>45029.0</v>
      </c>
      <c r="E385" s="6">
        <v>12.0</v>
      </c>
      <c r="F385" s="6">
        <v>60.0</v>
      </c>
      <c r="G385" s="52">
        <v>45395.0</v>
      </c>
      <c r="H385" s="52">
        <v>46490.0</v>
      </c>
      <c r="I385" s="49">
        <v>56642.88</v>
      </c>
    </row>
    <row r="386">
      <c r="A386" s="6">
        <v>397.0</v>
      </c>
      <c r="B386" s="50" t="str">
        <f>IFERROR(VLOOKUP($A386,EVENTO!$A$2:$C$4999,2,FALSE),"")</f>
        <v>ADITIVO DE PRAZO</v>
      </c>
      <c r="C386" s="50" t="str">
        <f>IFERROR(VLOOKUP($A386,EVENTO!$A$2:$C$4999,3,FALSE),"")</f>
        <v>PREF. MUNICIPAL DE ARACATI - DESENVOLVIMENTO SOCIAL - 020-2022</v>
      </c>
      <c r="D386" s="51">
        <v>45396.0</v>
      </c>
      <c r="E386" s="6">
        <v>9.0</v>
      </c>
      <c r="F386" s="6">
        <v>60.0</v>
      </c>
      <c r="G386" s="53">
        <v>45657.0</v>
      </c>
      <c r="H386" s="52">
        <v>46490.0</v>
      </c>
      <c r="I386" s="49">
        <v>41330.34</v>
      </c>
    </row>
    <row r="387">
      <c r="A387" s="6">
        <v>398.0</v>
      </c>
      <c r="B387" s="50" t="str">
        <f>IFERROR(VLOOKUP($A387,EVENTO!$A$2:$C$4999,2,FALSE),"")</f>
        <v>ADITIVO DE PRAZO</v>
      </c>
      <c r="C387" s="50" t="str">
        <f>IFERROR(VLOOKUP($A387,EVENTO!$A$2:$C$4999,3,FALSE),"")</f>
        <v>PREF. MUNICIPAL DE ARACATI - DESENVOLVIMENTO SOCIAL - 020-2022</v>
      </c>
      <c r="D387" s="51">
        <v>45658.0</v>
      </c>
      <c r="E387" s="6">
        <v>6.0</v>
      </c>
      <c r="F387" s="6">
        <v>60.0</v>
      </c>
      <c r="G387" s="52">
        <v>45838.0</v>
      </c>
      <c r="H387" s="52">
        <v>46490.0</v>
      </c>
      <c r="I387" s="49">
        <v>27553.56</v>
      </c>
    </row>
    <row r="388">
      <c r="A388" s="6">
        <v>399.0</v>
      </c>
      <c r="B388" s="50" t="str">
        <f>IFERROR(VLOOKUP($A388,EVENTO!$A$2:$C$4999,2,FALSE),"")</f>
        <v>ADITIVO DE PRAZO</v>
      </c>
      <c r="C388" s="50" t="str">
        <f>IFERROR(VLOOKUP($A388,EVENTO!$A$2:$C$4999,3,FALSE),"")</f>
        <v>PREF. MUNICIPAL DE ARACATI - DESENVOLVIMENTO SOCIAL - 020-2022</v>
      </c>
      <c r="D388" s="51">
        <v>45962.0</v>
      </c>
      <c r="E388" s="6">
        <v>3.0</v>
      </c>
      <c r="F388" s="6">
        <v>60.0</v>
      </c>
      <c r="G388" s="53">
        <v>46053.0</v>
      </c>
      <c r="H388" s="52">
        <v>46490.0</v>
      </c>
      <c r="I388" s="49">
        <v>13776.78</v>
      </c>
    </row>
    <row r="389">
      <c r="A389" s="6">
        <v>401.0</v>
      </c>
      <c r="B389" s="50" t="str">
        <f>IFERROR(VLOOKUP($A389,EVENTO!$A$2:$C$4999,2,FALSE),"")</f>
        <v>CADASTRO</v>
      </c>
      <c r="C389" s="50" t="str">
        <f>IFERROR(VLOOKUP($A389,EVENTO!$A$2:$C$4999,3,FALSE),"")</f>
        <v>ISG - CCC &amp; HUC - 106951-21</v>
      </c>
      <c r="D389" s="51">
        <v>44371.0</v>
      </c>
      <c r="E389" s="6">
        <v>6.0</v>
      </c>
      <c r="F389" s="6">
        <v>60.0</v>
      </c>
      <c r="G389" s="53">
        <v>44553.0</v>
      </c>
      <c r="H389" s="52">
        <v>46197.0</v>
      </c>
      <c r="I389" s="49">
        <v>1422.0</v>
      </c>
    </row>
    <row r="390">
      <c r="A390" s="6">
        <v>402.0</v>
      </c>
      <c r="B390" s="50" t="str">
        <f>IFERROR(VLOOKUP($A390,EVENTO!$A$2:$C$4999,2,FALSE),"")</f>
        <v>ADITIVO DE PRAZO</v>
      </c>
      <c r="C390" s="50" t="str">
        <f>IFERROR(VLOOKUP($A390,EVENTO!$A$2:$C$4999,3,FALSE),"")</f>
        <v>ISG - CCC &amp; HUC - 106951-21</v>
      </c>
      <c r="D390" s="54">
        <v>44554.0</v>
      </c>
      <c r="E390" s="6">
        <v>12.0</v>
      </c>
      <c r="F390" s="6">
        <v>60.0</v>
      </c>
      <c r="G390" s="53">
        <v>44919.0</v>
      </c>
      <c r="H390" s="52">
        <v>46197.0</v>
      </c>
      <c r="I390" s="49">
        <v>2844.0</v>
      </c>
    </row>
    <row r="391">
      <c r="A391" s="6">
        <v>403.0</v>
      </c>
      <c r="B391" s="50" t="str">
        <f>IFERROR(VLOOKUP($A391,EVENTO!$A$2:$C$4999,2,FALSE),"")</f>
        <v>ADITIVO DE PRAZO</v>
      </c>
      <c r="C391" s="50" t="str">
        <f>IFERROR(VLOOKUP($A391,EVENTO!$A$2:$C$4999,3,FALSE),"")</f>
        <v>ISG - CCC &amp; HUC - 106951-21</v>
      </c>
      <c r="D391" s="54">
        <v>44920.0</v>
      </c>
      <c r="E391" s="6">
        <v>12.0</v>
      </c>
      <c r="F391" s="6">
        <v>60.0</v>
      </c>
      <c r="G391" s="53">
        <v>45284.0</v>
      </c>
      <c r="H391" s="52">
        <v>46197.0</v>
      </c>
      <c r="I391" s="49">
        <v>2844.0</v>
      </c>
    </row>
    <row r="392">
      <c r="A392" s="6">
        <v>404.0</v>
      </c>
      <c r="B392" s="50" t="str">
        <f>IFERROR(VLOOKUP($A392,EVENTO!$A$2:$C$4999,2,FALSE),"")</f>
        <v>ADITIVO DE PRAZO</v>
      </c>
      <c r="C392" s="50" t="str">
        <f>IFERROR(VLOOKUP($A392,EVENTO!$A$2:$C$4999,3,FALSE),"")</f>
        <v>ISG - CCC &amp; HUC - 106951-21</v>
      </c>
      <c r="D392" s="54">
        <v>45285.0</v>
      </c>
      <c r="E392" s="6">
        <v>12.0</v>
      </c>
      <c r="F392" s="6">
        <v>60.0</v>
      </c>
      <c r="G392" s="53">
        <v>45650.0</v>
      </c>
      <c r="H392" s="52">
        <v>46197.0</v>
      </c>
      <c r="I392" s="49">
        <v>2844.0</v>
      </c>
    </row>
    <row r="393">
      <c r="A393" s="6">
        <v>405.0</v>
      </c>
      <c r="B393" s="50" t="str">
        <f>IFERROR(VLOOKUP($A393,EVENTO!$A$2:$C$4999,2,FALSE),"")</f>
        <v>ADITIVO DE PRAZO</v>
      </c>
      <c r="C393" s="50" t="str">
        <f>IFERROR(VLOOKUP($A393,EVENTO!$A$2:$C$4999,3,FALSE),"")</f>
        <v>ISG - CCC &amp; HUC - 106951-21</v>
      </c>
      <c r="D393" s="54">
        <v>45651.0</v>
      </c>
      <c r="E393" s="6">
        <v>12.0</v>
      </c>
      <c r="F393" s="6">
        <v>60.0</v>
      </c>
      <c r="G393" s="53">
        <v>46015.0</v>
      </c>
      <c r="H393" s="52">
        <v>46197.0</v>
      </c>
      <c r="I393" s="49">
        <v>2844.0</v>
      </c>
    </row>
    <row r="394">
      <c r="A394" s="6">
        <v>406.0</v>
      </c>
      <c r="B394" s="50" t="str">
        <f>IFERROR(VLOOKUP($A394,EVENTO!$A$2:$C$4999,2,FALSE),"")</f>
        <v>ADITIVO DE QUANTIDADE</v>
      </c>
      <c r="C394" s="50" t="str">
        <f>IFERROR(VLOOKUP($A394,EVENTO!$A$2:$C$4999,3,FALSE),"")</f>
        <v>ISG - CCC &amp; HUC - 106951-21</v>
      </c>
      <c r="D394" s="51">
        <v>45703.0</v>
      </c>
      <c r="E394" s="6">
        <v>12.0</v>
      </c>
      <c r="F394" s="6">
        <v>60.0</v>
      </c>
      <c r="G394" s="53">
        <v>46015.0</v>
      </c>
      <c r="H394" s="52">
        <v>46197.0</v>
      </c>
      <c r="I394" s="49">
        <v>16116.0</v>
      </c>
    </row>
    <row r="395">
      <c r="A395" s="6">
        <v>408.0</v>
      </c>
      <c r="B395" s="50" t="str">
        <f>IFERROR(VLOOKUP($A395,EVENTO!$A$2:$C$4999,2,FALSE),"")</f>
        <v>CADASTRO</v>
      </c>
      <c r="C395" s="50" t="str">
        <f>IFERROR(VLOOKUP($A395,EVENTO!$A$2:$C$4999,3,FALSE),"")</f>
        <v>PREFEITURA MUNICIPAL DE CAUCAIA -  SECRETARIA DE GESTÃO E GOVERNO</v>
      </c>
      <c r="D395" s="51">
        <v>44599.0</v>
      </c>
      <c r="E395" s="6">
        <v>12.0</v>
      </c>
      <c r="F395" s="6">
        <v>60.0</v>
      </c>
      <c r="G395" s="52">
        <v>44963.0</v>
      </c>
      <c r="H395" s="52">
        <v>46424.0</v>
      </c>
      <c r="I395" s="49">
        <v>78734.16</v>
      </c>
    </row>
    <row r="396">
      <c r="A396" s="6">
        <v>407.0</v>
      </c>
      <c r="B396" s="50" t="str">
        <f>IFERROR(VLOOKUP($A396,EVENTO!$A$2:$C$4999,2,FALSE),"")</f>
        <v>ADITIVO DE QUANTIDADE</v>
      </c>
      <c r="C396" s="50" t="str">
        <f>IFERROR(VLOOKUP($A396,EVENTO!$A$2:$C$4999,3,FALSE),"")</f>
        <v>ISG - CCC &amp; HUC - 106951-21</v>
      </c>
      <c r="D396" s="54">
        <v>45954.0</v>
      </c>
      <c r="E396" s="6">
        <v>12.0</v>
      </c>
      <c r="F396" s="6">
        <v>60.0</v>
      </c>
      <c r="G396" s="53">
        <v>46015.0</v>
      </c>
      <c r="H396" s="52">
        <v>46197.0</v>
      </c>
      <c r="I396" s="49">
        <v>43608.0</v>
      </c>
      <c r="J396" s="28"/>
    </row>
    <row r="397">
      <c r="A397" s="11"/>
      <c r="B397" s="50" t="str">
        <f>IFERROR(VLOOKUP($A397,EVENTO!$A$2:$C$4999,2,FALSE),"")</f>
        <v/>
      </c>
      <c r="C397" s="50" t="str">
        <f>IFERROR(VLOOKUP($A397,EVENTO!$A$2:$C$4999,3,FALSE),"")</f>
        <v/>
      </c>
      <c r="D397" s="51">
        <v>44599.0</v>
      </c>
      <c r="E397" s="6">
        <v>12.0</v>
      </c>
      <c r="F397" s="6">
        <v>60.0</v>
      </c>
      <c r="G397" s="52">
        <v>44964.0</v>
      </c>
      <c r="H397" s="52">
        <v>46425.0</v>
      </c>
      <c r="I397" s="49">
        <v>78734.16</v>
      </c>
    </row>
    <row r="398">
      <c r="A398" s="6">
        <v>409.0</v>
      </c>
      <c r="B398" s="50" t="str">
        <f>IFERROR(VLOOKUP($A398,EVENTO!$A$2:$C$4999,2,FALSE),"")</f>
        <v>ADITIVO DE PRAZO</v>
      </c>
      <c r="C398" s="50" t="str">
        <f>IFERROR(VLOOKUP($A398,EVENTO!$A$2:$C$4999,3,FALSE),"")</f>
        <v>ISG - CCC &amp; HUC - 106951-21</v>
      </c>
      <c r="D398" s="54">
        <v>46016.0</v>
      </c>
      <c r="E398" s="6">
        <v>12.0</v>
      </c>
      <c r="F398" s="6">
        <v>60.0</v>
      </c>
      <c r="G398" s="53">
        <v>46380.0</v>
      </c>
      <c r="H398" s="52">
        <v>46197.0</v>
      </c>
      <c r="I398" s="49">
        <v>43608.0</v>
      </c>
    </row>
    <row r="399">
      <c r="A399" s="6">
        <v>410.0</v>
      </c>
      <c r="B399" s="50" t="str">
        <f>IFERROR(VLOOKUP($A399,EVENTO!$A$2:$C$4999,2,FALSE),"")</f>
        <v>CADASTRO</v>
      </c>
      <c r="C399" s="50" t="str">
        <f>IFERROR(VLOOKUP($A399,EVENTO!$A$2:$C$4999,3,FALSE),"")</f>
        <v>ISG - CCC - 106967-21</v>
      </c>
      <c r="D399" s="51">
        <v>44371.0</v>
      </c>
      <c r="E399" s="6">
        <v>6.0</v>
      </c>
      <c r="F399" s="6">
        <v>60.0</v>
      </c>
      <c r="G399" s="53">
        <v>44553.0</v>
      </c>
      <c r="H399" s="52">
        <v>46197.0</v>
      </c>
      <c r="I399" s="49">
        <v>10008.0</v>
      </c>
    </row>
    <row r="400">
      <c r="A400" s="6">
        <v>411.0</v>
      </c>
      <c r="B400" s="50" t="str">
        <f>IFERROR(VLOOKUP($A400,EVENTO!$A$2:$C$4999,2,FALSE),"")</f>
        <v>ADITIVO DE PRAZO</v>
      </c>
      <c r="C400" s="50" t="str">
        <f>IFERROR(VLOOKUP($A400,EVENTO!$A$2:$C$4999,3,FALSE),"")</f>
        <v>ISG - CCC - 106967-21</v>
      </c>
      <c r="D400" s="54">
        <v>44554.0</v>
      </c>
      <c r="E400" s="6">
        <v>12.0</v>
      </c>
      <c r="F400" s="6">
        <v>60.0</v>
      </c>
      <c r="G400" s="53">
        <v>44919.0</v>
      </c>
      <c r="H400" s="52">
        <v>46197.0</v>
      </c>
      <c r="I400" s="49">
        <v>20016.0</v>
      </c>
    </row>
    <row r="401">
      <c r="A401" s="6">
        <v>412.0</v>
      </c>
      <c r="B401" s="50" t="str">
        <f>IFERROR(VLOOKUP($A401,EVENTO!$A$2:$C$4999,2,FALSE),"")</f>
        <v>ADITIVO DE QUANTIDADE</v>
      </c>
      <c r="C401" s="50" t="str">
        <f>IFERROR(VLOOKUP($A401,EVENTO!$A$2:$C$4999,3,FALSE),"")</f>
        <v>ISG - CCC - 106967-21</v>
      </c>
      <c r="D401" s="51">
        <v>44459.0</v>
      </c>
      <c r="E401" s="6">
        <v>12.0</v>
      </c>
      <c r="F401" s="6">
        <v>60.0</v>
      </c>
      <c r="G401" s="53">
        <v>44919.0</v>
      </c>
      <c r="H401" s="52">
        <v>46197.0</v>
      </c>
      <c r="I401" s="49">
        <v>25020.0</v>
      </c>
    </row>
    <row r="402">
      <c r="A402" s="6">
        <v>413.0</v>
      </c>
      <c r="B402" s="50" t="str">
        <f>IFERROR(VLOOKUP($A402,EVENTO!$A$2:$C$4999,2,FALSE),"")</f>
        <v>ADITIVO DE PRAZO</v>
      </c>
      <c r="C402" s="50" t="str">
        <f>IFERROR(VLOOKUP($A402,EVENTO!$A$2:$C$4999,3,FALSE),"")</f>
        <v>ISG - CCC - 106967-21</v>
      </c>
      <c r="D402" s="54">
        <v>44920.0</v>
      </c>
      <c r="E402" s="6">
        <v>12.0</v>
      </c>
      <c r="F402" s="6">
        <v>60.0</v>
      </c>
      <c r="G402" s="53">
        <v>45284.0</v>
      </c>
      <c r="H402" s="52">
        <v>46197.0</v>
      </c>
      <c r="I402" s="49">
        <v>25020.0</v>
      </c>
    </row>
    <row r="403">
      <c r="A403" s="6">
        <v>414.0</v>
      </c>
      <c r="B403" s="50" t="str">
        <f>IFERROR(VLOOKUP($A403,EVENTO!$A$2:$C$4999,2,FALSE),"")</f>
        <v>ADITIVO DE PRAZO</v>
      </c>
      <c r="C403" s="50" t="str">
        <f>IFERROR(VLOOKUP($A403,EVENTO!$A$2:$C$4999,3,FALSE),"")</f>
        <v>ISG - CCC - 106967-21</v>
      </c>
      <c r="D403" s="54">
        <v>45285.0</v>
      </c>
      <c r="E403" s="6">
        <v>12.0</v>
      </c>
      <c r="F403" s="6">
        <v>60.0</v>
      </c>
      <c r="G403" s="53">
        <v>45650.0</v>
      </c>
      <c r="H403" s="52">
        <v>46197.0</v>
      </c>
      <c r="I403" s="49">
        <v>25020.0</v>
      </c>
    </row>
    <row r="404">
      <c r="A404" s="6">
        <v>415.0</v>
      </c>
      <c r="B404" s="50" t="str">
        <f>IFERROR(VLOOKUP($A404,EVENTO!$A$2:$C$4999,2,FALSE),"")</f>
        <v>ADITIVO DE PRAZO</v>
      </c>
      <c r="C404" s="50" t="str">
        <f>IFERROR(VLOOKUP($A404,EVENTO!$A$2:$C$4999,3,FALSE),"")</f>
        <v>ISG - CCC - 106967-21</v>
      </c>
      <c r="D404" s="54">
        <v>45651.0</v>
      </c>
      <c r="E404" s="6">
        <v>12.0</v>
      </c>
      <c r="F404" s="6">
        <v>60.0</v>
      </c>
      <c r="G404" s="53">
        <v>46015.0</v>
      </c>
      <c r="H404" s="52">
        <v>46197.0</v>
      </c>
      <c r="I404" s="49">
        <v>25020.0</v>
      </c>
    </row>
    <row r="405">
      <c r="A405" s="6">
        <v>417.0</v>
      </c>
      <c r="B405" s="50" t="str">
        <f>IFERROR(VLOOKUP($A405,EVENTO!$A$2:$C$4999,2,FALSE),"")</f>
        <v>ADITIVO DE PRAZO</v>
      </c>
      <c r="C405" s="50" t="str">
        <f>IFERROR(VLOOKUP($A405,EVENTO!$A$2:$C$4999,3,FALSE),"")</f>
        <v>PREFEITURA MUNICIPAL DE CAUCAIA -  SECRETARIA DE GESTÃO E GOVERNO</v>
      </c>
      <c r="D405" s="51">
        <v>44599.0</v>
      </c>
      <c r="E405" s="6">
        <v>12.0</v>
      </c>
      <c r="F405" s="6">
        <v>60.0</v>
      </c>
      <c r="G405" s="52">
        <v>45329.0</v>
      </c>
      <c r="H405" s="52">
        <v>46425.0</v>
      </c>
      <c r="I405" s="49">
        <v>78734.16</v>
      </c>
    </row>
    <row r="406">
      <c r="A406" s="6">
        <v>418.0</v>
      </c>
      <c r="B406" s="50" t="str">
        <f>IFERROR(VLOOKUP($A406,EVENTO!$A$2:$C$4999,2,FALSE),"")</f>
        <v>ADITIVO DE PRAZO</v>
      </c>
      <c r="C406" s="50" t="str">
        <f>IFERROR(VLOOKUP($A406,EVENTO!$A$2:$C$4999,3,FALSE),"")</f>
        <v>PREFEITURA MUNICIPAL DE CAUCAIA -  SECRETARIA DE GESTÃO E GOVERNO</v>
      </c>
      <c r="D406" s="51">
        <v>45330.0</v>
      </c>
      <c r="E406" s="6">
        <v>12.0</v>
      </c>
      <c r="F406" s="6">
        <v>60.0</v>
      </c>
      <c r="G406" s="52">
        <v>45696.0</v>
      </c>
      <c r="H406" s="52">
        <v>46425.0</v>
      </c>
      <c r="I406" s="49">
        <v>78734.16</v>
      </c>
    </row>
    <row r="407">
      <c r="A407" s="6">
        <v>419.0</v>
      </c>
      <c r="B407" s="50" t="str">
        <f>IFERROR(VLOOKUP($A407,EVENTO!$A$2:$C$4999,2,FALSE),"")</f>
        <v>ADITIVO DE PRAZO</v>
      </c>
      <c r="C407" s="50" t="str">
        <f>IFERROR(VLOOKUP($A407,EVENTO!$A$2:$C$4999,3,FALSE),"")</f>
        <v>PREFEITURA MUNICIPAL DE CAUCAIA -  SECRETARIA DE GESTÃO E GOVERNO</v>
      </c>
      <c r="D407" s="51">
        <v>45697.0</v>
      </c>
      <c r="E407" s="6">
        <v>12.0</v>
      </c>
      <c r="F407" s="6">
        <v>60.0</v>
      </c>
      <c r="G407" s="52">
        <v>46062.0</v>
      </c>
      <c r="H407" s="52">
        <v>46425.0</v>
      </c>
      <c r="I407" s="49">
        <v>78734.16</v>
      </c>
    </row>
    <row r="408">
      <c r="A408" s="6">
        <v>416.0</v>
      </c>
      <c r="B408" s="50" t="str">
        <f>IFERROR(VLOOKUP($A408,EVENTO!$A$2:$C$4999,2,FALSE),"")</f>
        <v>ADITIVO DE PRAZO</v>
      </c>
      <c r="C408" s="50" t="str">
        <f>IFERROR(VLOOKUP($A408,EVENTO!$A$2:$C$4999,3,FALSE),"")</f>
        <v>ISG - CCC - 106967-21</v>
      </c>
      <c r="D408" s="54">
        <v>46016.0</v>
      </c>
      <c r="E408" s="6">
        <v>12.0</v>
      </c>
      <c r="F408" s="6">
        <v>60.0</v>
      </c>
      <c r="G408" s="53">
        <v>46380.0</v>
      </c>
      <c r="H408" s="52">
        <v>46197.0</v>
      </c>
      <c r="I408" s="49">
        <v>25020.0</v>
      </c>
    </row>
    <row r="409">
      <c r="A409" s="6">
        <v>420.0</v>
      </c>
      <c r="B409" s="50" t="str">
        <f>IFERROR(VLOOKUP($A409,EVENTO!$A$2:$C$4999,2,FALSE),"")</f>
        <v>CADASTRO</v>
      </c>
      <c r="C409" s="50" t="str">
        <f>IFERROR(VLOOKUP($A409,EVENTO!$A$2:$C$4999,3,FALSE),"")</f>
        <v>ISG - PRIMILAB</v>
      </c>
      <c r="D409" s="51">
        <v>44249.0</v>
      </c>
      <c r="E409" s="6">
        <v>12.0</v>
      </c>
      <c r="F409" s="6">
        <v>60.0</v>
      </c>
      <c r="G409" s="52">
        <v>44613.0</v>
      </c>
      <c r="H409" s="52">
        <v>46075.0</v>
      </c>
      <c r="I409" s="49">
        <v>2844.0</v>
      </c>
    </row>
    <row r="410">
      <c r="A410" s="6">
        <v>421.0</v>
      </c>
      <c r="B410" s="50" t="str">
        <f>IFERROR(VLOOKUP($A410,EVENTO!$A$2:$C$4999,2,FALSE),"")</f>
        <v>ADITIVO DE PRAZO</v>
      </c>
      <c r="C410" s="50" t="str">
        <f>IFERROR(VLOOKUP($A410,EVENTO!$A$2:$C$4999,3,FALSE),"")</f>
        <v>ISG - PRIMILAB</v>
      </c>
      <c r="D410" s="51">
        <v>44614.0</v>
      </c>
      <c r="E410" s="6">
        <v>12.0</v>
      </c>
      <c r="F410" s="6">
        <v>60.0</v>
      </c>
      <c r="G410" s="52">
        <v>44978.0</v>
      </c>
      <c r="H410" s="52">
        <v>46075.0</v>
      </c>
      <c r="I410" s="49">
        <v>2844.0</v>
      </c>
    </row>
    <row r="411">
      <c r="A411" s="6">
        <v>422.0</v>
      </c>
      <c r="B411" s="50" t="str">
        <f>IFERROR(VLOOKUP($A411,EVENTO!$A$2:$C$4999,2,FALSE),"")</f>
        <v>ADITIVO DE QUANTIDADE</v>
      </c>
      <c r="C411" s="50" t="str">
        <f>IFERROR(VLOOKUP($A411,EVENTO!$A$2:$C$4999,3,FALSE),"")</f>
        <v>ISG - PRIMILAB</v>
      </c>
      <c r="D411" s="51">
        <v>44770.0</v>
      </c>
      <c r="E411" s="6">
        <v>12.0</v>
      </c>
      <c r="F411" s="6">
        <v>60.0</v>
      </c>
      <c r="G411" s="52">
        <v>44978.0</v>
      </c>
      <c r="H411" s="52">
        <v>46075.0</v>
      </c>
      <c r="I411" s="49">
        <v>4740.0</v>
      </c>
    </row>
    <row r="412">
      <c r="A412" s="6">
        <v>423.0</v>
      </c>
      <c r="B412" s="50" t="str">
        <f>IFERROR(VLOOKUP($A412,EVENTO!$A$2:$C$4999,2,FALSE),"")</f>
        <v>ADITIVO DE PRAZO</v>
      </c>
      <c r="C412" s="50" t="str">
        <f>IFERROR(VLOOKUP($A412,EVENTO!$A$2:$C$4999,3,FALSE),"")</f>
        <v>ISG - PRIMILAB</v>
      </c>
      <c r="D412" s="51">
        <v>44979.0</v>
      </c>
      <c r="E412" s="6">
        <v>12.0</v>
      </c>
      <c r="F412" s="6">
        <v>60.0</v>
      </c>
      <c r="G412" s="52">
        <v>45343.0</v>
      </c>
      <c r="H412" s="52">
        <v>46075.0</v>
      </c>
      <c r="I412" s="49">
        <v>4740.0</v>
      </c>
    </row>
    <row r="413">
      <c r="A413" s="6">
        <v>424.0</v>
      </c>
      <c r="B413" s="50" t="str">
        <f>IFERROR(VLOOKUP($A413,EVENTO!$A$2:$C$4999,2,FALSE),"")</f>
        <v>ADITIVO DE PRAZO</v>
      </c>
      <c r="C413" s="50" t="str">
        <f>IFERROR(VLOOKUP($A413,EVENTO!$A$2:$C$4999,3,FALSE),"")</f>
        <v>ISG - PRIMILAB</v>
      </c>
      <c r="D413" s="51">
        <v>45344.0</v>
      </c>
      <c r="E413" s="6">
        <v>12.0</v>
      </c>
      <c r="F413" s="6">
        <v>60.0</v>
      </c>
      <c r="G413" s="52">
        <v>45709.0</v>
      </c>
      <c r="H413" s="52">
        <v>46075.0</v>
      </c>
      <c r="I413" s="49">
        <v>2844.0</v>
      </c>
    </row>
    <row r="414">
      <c r="A414" s="6">
        <v>425.0</v>
      </c>
      <c r="B414" s="50" t="str">
        <f>IFERROR(VLOOKUP($A414,EVENTO!$A$2:$C$4999,2,FALSE),"")</f>
        <v>ADITIVO DE SUPRESSÃO</v>
      </c>
      <c r="C414" s="50" t="str">
        <f>IFERROR(VLOOKUP($A414,EVENTO!$A$2:$C$4999,3,FALSE),"")</f>
        <v>ISG - PRIMILAB</v>
      </c>
      <c r="D414" s="51">
        <v>45323.0</v>
      </c>
      <c r="E414" s="6">
        <v>12.0</v>
      </c>
      <c r="F414" s="6">
        <v>60.0</v>
      </c>
      <c r="G414" s="52">
        <v>45709.0</v>
      </c>
      <c r="H414" s="52">
        <v>46075.0</v>
      </c>
      <c r="I414" s="49">
        <v>2844.0</v>
      </c>
    </row>
    <row r="415">
      <c r="A415" s="6">
        <v>426.0</v>
      </c>
      <c r="B415" s="50" t="str">
        <f>IFERROR(VLOOKUP($A415,EVENTO!$A$2:$C$4999,2,FALSE),"")</f>
        <v>ADITIVO DE PRAZO</v>
      </c>
      <c r="C415" s="50" t="str">
        <f>IFERROR(VLOOKUP($A415,EVENTO!$A$2:$C$4999,3,FALSE),"")</f>
        <v>ISG - PRIMILAB</v>
      </c>
      <c r="D415" s="51">
        <v>45710.0</v>
      </c>
      <c r="E415" s="6">
        <v>12.0</v>
      </c>
      <c r="F415" s="6">
        <v>60.0</v>
      </c>
      <c r="G415" s="52">
        <v>46074.0</v>
      </c>
      <c r="H415" s="52">
        <v>46075.0</v>
      </c>
      <c r="I415" s="49">
        <v>2844.0</v>
      </c>
    </row>
    <row r="416">
      <c r="A416" s="6">
        <v>427.0</v>
      </c>
      <c r="B416" s="50" t="str">
        <f>IFERROR(VLOOKUP($A416,EVENTO!$A$2:$C$4999,2,FALSE),"")</f>
        <v>CADASTRO</v>
      </c>
      <c r="C416" s="50" t="str">
        <f>IFERROR(VLOOKUP($A416,EVENTO!$A$2:$C$4999,3,FALSE),"")</f>
        <v>ISG - HELV - 95592-20</v>
      </c>
      <c r="D416" s="51">
        <v>44178.0</v>
      </c>
      <c r="E416" s="6">
        <v>4.0</v>
      </c>
      <c r="F416" s="6">
        <v>60.0</v>
      </c>
      <c r="G416" s="52">
        <v>44298.0</v>
      </c>
      <c r="H416" s="53">
        <v>46004.0</v>
      </c>
      <c r="I416" s="49">
        <v>11160.0</v>
      </c>
    </row>
    <row r="417">
      <c r="A417" s="6">
        <v>428.0</v>
      </c>
      <c r="B417" s="50" t="str">
        <f>IFERROR(VLOOKUP($A417,EVENTO!$A$2:$C$4999,2,FALSE),"")</f>
        <v>ADITIVO DE PRAZO</v>
      </c>
      <c r="C417" s="50" t="str">
        <f>IFERROR(VLOOKUP($A417,EVENTO!$A$2:$C$4999,3,FALSE),"")</f>
        <v>ISG - HELV - 95592-20</v>
      </c>
      <c r="D417" s="51">
        <v>44299.0</v>
      </c>
      <c r="E417" s="6">
        <v>12.0</v>
      </c>
      <c r="F417" s="6">
        <v>60.0</v>
      </c>
      <c r="G417" s="52">
        <v>44663.0</v>
      </c>
      <c r="H417" s="53">
        <v>46004.0</v>
      </c>
      <c r="I417" s="49">
        <v>33480.0</v>
      </c>
    </row>
    <row r="418">
      <c r="A418" s="6">
        <v>429.0</v>
      </c>
      <c r="B418" s="50" t="str">
        <f>IFERROR(VLOOKUP($A418,EVENTO!$A$2:$C$4999,2,FALSE),"")</f>
        <v>ADITIVO DE PRAZO</v>
      </c>
      <c r="C418" s="50" t="str">
        <f>IFERROR(VLOOKUP($A418,EVENTO!$A$2:$C$4999,3,FALSE),"")</f>
        <v>ISG - HELV - 95592-20</v>
      </c>
      <c r="D418" s="51">
        <v>44664.0</v>
      </c>
      <c r="E418" s="6">
        <v>12.0</v>
      </c>
      <c r="F418" s="6">
        <v>60.0</v>
      </c>
      <c r="G418" s="52">
        <v>45028.0</v>
      </c>
      <c r="H418" s="53">
        <v>46004.0</v>
      </c>
      <c r="I418" s="49">
        <v>33480.0</v>
      </c>
    </row>
    <row r="419">
      <c r="A419" s="6">
        <v>430.0</v>
      </c>
      <c r="B419" s="50" t="str">
        <f>IFERROR(VLOOKUP($A419,EVENTO!$A$2:$C$4999,2,FALSE),"")</f>
        <v>ADITIVO DE PRAZO</v>
      </c>
      <c r="C419" s="50" t="str">
        <f>IFERROR(VLOOKUP($A419,EVENTO!$A$2:$C$4999,3,FALSE),"")</f>
        <v>ISG - HELV - 95592-20</v>
      </c>
      <c r="D419" s="51">
        <v>45029.0</v>
      </c>
      <c r="E419" s="6">
        <v>12.0</v>
      </c>
      <c r="F419" s="6">
        <v>60.0</v>
      </c>
      <c r="G419" s="52">
        <v>45394.0</v>
      </c>
      <c r="H419" s="53">
        <v>46004.0</v>
      </c>
      <c r="I419" s="49">
        <v>33480.0</v>
      </c>
    </row>
    <row r="420">
      <c r="A420" s="6">
        <v>431.0</v>
      </c>
      <c r="B420" s="50" t="str">
        <f>IFERROR(VLOOKUP($A420,EVENTO!$A$2:$C$4999,2,FALSE),"")</f>
        <v>ADITIVO DE PRAZO</v>
      </c>
      <c r="C420" s="50" t="str">
        <f>IFERROR(VLOOKUP($A420,EVENTO!$A$2:$C$4999,3,FALSE),"")</f>
        <v>ISG - HELV - 95592-20</v>
      </c>
      <c r="D420" s="51">
        <v>45395.0</v>
      </c>
      <c r="E420" s="6">
        <v>12.0</v>
      </c>
      <c r="F420" s="6">
        <v>60.0</v>
      </c>
      <c r="G420" s="52">
        <v>45759.0</v>
      </c>
      <c r="H420" s="53">
        <v>46004.0</v>
      </c>
      <c r="I420" s="49">
        <v>33480.0</v>
      </c>
    </row>
    <row r="421">
      <c r="A421" s="6">
        <v>432.0</v>
      </c>
      <c r="B421" s="50" t="str">
        <f>IFERROR(VLOOKUP($A421,EVENTO!$A$2:$C$4999,2,FALSE),"")</f>
        <v>ADITIVO DE PRAZO</v>
      </c>
      <c r="C421" s="50" t="str">
        <f>IFERROR(VLOOKUP($A421,EVENTO!$A$2:$C$4999,3,FALSE),"")</f>
        <v>ISG - HELV - 95592-20</v>
      </c>
      <c r="D421" s="51">
        <v>45760.0</v>
      </c>
      <c r="E421" s="6">
        <v>12.0</v>
      </c>
      <c r="F421" s="6">
        <v>60.0</v>
      </c>
      <c r="G421" s="52">
        <v>46124.0</v>
      </c>
      <c r="H421" s="52">
        <v>46004.0</v>
      </c>
      <c r="I421" s="49">
        <v>33480.0</v>
      </c>
    </row>
    <row r="422">
      <c r="A422" s="6">
        <v>439.0</v>
      </c>
      <c r="B422" s="50" t="str">
        <f>IFERROR(VLOOKUP($A422,EVENTO!$A$2:$C$4999,2,FALSE),"")</f>
        <v>CADASTRO</v>
      </c>
      <c r="C422" s="50" t="str">
        <f>IFERROR(VLOOKUP($A422,EVENTO!$A$2:$C$4999,3,FALSE),"")</f>
        <v>PREFEITURA MUNICIPAL DE CAUCAIA -  SECRETARIA MUNICIPAL DE PLANEJAMENTO URBANO E AMBIENTAL </v>
      </c>
      <c r="D422" s="51">
        <v>44459.0</v>
      </c>
      <c r="E422" s="6">
        <v>12.0</v>
      </c>
      <c r="F422" s="6">
        <v>60.0</v>
      </c>
      <c r="G422" s="52">
        <v>44824.0</v>
      </c>
      <c r="H422" s="52">
        <v>46285.0</v>
      </c>
      <c r="I422" s="49">
        <v>553096.52</v>
      </c>
    </row>
    <row r="423">
      <c r="A423" s="6">
        <v>433.0</v>
      </c>
      <c r="B423" s="50" t="str">
        <f>IFERROR(VLOOKUP($A423,EVENTO!$A$2:$C$4999,2,FALSE),"")</f>
        <v>CADASTRO</v>
      </c>
      <c r="C423" s="50" t="str">
        <f>IFERROR(VLOOKUP($A423,EVENTO!$A$2:$C$4999,3,FALSE),"")</f>
        <v>ISG - HELV - 96210-20</v>
      </c>
      <c r="D423" s="51">
        <v>44166.0</v>
      </c>
      <c r="E423" s="6">
        <v>4.0</v>
      </c>
      <c r="F423" s="6">
        <v>60.0</v>
      </c>
      <c r="G423" s="52">
        <v>44298.0</v>
      </c>
      <c r="H423" s="52">
        <v>45992.0</v>
      </c>
      <c r="I423" s="49">
        <v>36140.0</v>
      </c>
    </row>
    <row r="424">
      <c r="A424" s="6">
        <v>434.0</v>
      </c>
      <c r="B424" s="50" t="str">
        <f>IFERROR(VLOOKUP($A424,EVENTO!$A$2:$C$4999,2,FALSE),"")</f>
        <v>ADITIVO DE QUANTIDADE</v>
      </c>
      <c r="C424" s="50" t="str">
        <f>IFERROR(VLOOKUP($A424,EVENTO!$A$2:$C$4999,3,FALSE),"")</f>
        <v>ISG - HELV - 96210-20</v>
      </c>
      <c r="D424" s="51">
        <v>44173.0</v>
      </c>
      <c r="E424" s="6">
        <v>4.0</v>
      </c>
      <c r="F424" s="6">
        <v>60.0</v>
      </c>
      <c r="G424" s="52">
        <v>44298.0</v>
      </c>
      <c r="H424" s="52">
        <v>45992.0</v>
      </c>
      <c r="I424" s="49">
        <v>38920.0</v>
      </c>
    </row>
    <row r="425">
      <c r="A425" s="6">
        <v>435.0</v>
      </c>
      <c r="B425" s="50" t="str">
        <f>IFERROR(VLOOKUP($A425,EVENTO!$A$2:$C$4999,2,FALSE),"")</f>
        <v>ADITIVO DE PRAZO</v>
      </c>
      <c r="C425" s="50" t="str">
        <f>IFERROR(VLOOKUP($A425,EVENTO!$A$2:$C$4999,3,FALSE),"")</f>
        <v>ISG - HELV - 96210-20</v>
      </c>
      <c r="D425" s="51">
        <v>44299.0</v>
      </c>
      <c r="E425" s="6">
        <v>12.0</v>
      </c>
      <c r="F425" s="6">
        <v>60.0</v>
      </c>
      <c r="G425" s="52">
        <v>44663.0</v>
      </c>
      <c r="H425" s="52">
        <v>45992.0</v>
      </c>
      <c r="I425" s="49">
        <v>116760.0</v>
      </c>
    </row>
    <row r="426">
      <c r="A426" s="6">
        <v>436.0</v>
      </c>
      <c r="B426" s="50" t="str">
        <f>IFERROR(VLOOKUP($A426,EVENTO!$A$2:$C$4999,2,FALSE),"")</f>
        <v>ADITIVO DE QUANTIDADE E PRAZO</v>
      </c>
      <c r="C426" s="50" t="str">
        <f>IFERROR(VLOOKUP($A426,EVENTO!$A$2:$C$4999,3,FALSE),"")</f>
        <v>ISG - HELV - 96210-20</v>
      </c>
      <c r="D426" s="51">
        <v>44359.0</v>
      </c>
      <c r="E426" s="6">
        <v>10.0</v>
      </c>
      <c r="F426" s="6">
        <v>60.0</v>
      </c>
      <c r="G426" s="52">
        <v>44663.0</v>
      </c>
      <c r="H426" s="52">
        <v>45992.0</v>
      </c>
      <c r="I426" s="49">
        <v>111200.0</v>
      </c>
    </row>
    <row r="427">
      <c r="A427" s="6">
        <v>442.0</v>
      </c>
      <c r="B427" s="50" t="str">
        <f>IFERROR(VLOOKUP($A427,EVENTO!$A$2:$C$4999,2,FALSE),"")</f>
        <v>ADITIVO DE PRAZO</v>
      </c>
      <c r="C427" s="50" t="str">
        <f>IFERROR(VLOOKUP($A427,EVENTO!$A$2:$C$4999,3,FALSE),"")</f>
        <v>PREFEITURA MUNICIPAL DE CAUCAIA -  SECRETARIA MUNICIPAL DE PLANEJAMENTO URBANO E AMBIENTAL </v>
      </c>
      <c r="D427" s="58">
        <v>44823.0</v>
      </c>
      <c r="E427" s="59">
        <v>12.0</v>
      </c>
      <c r="F427" s="59">
        <v>60.0</v>
      </c>
      <c r="G427" s="58">
        <v>45188.0</v>
      </c>
      <c r="H427" s="58">
        <v>46285.0</v>
      </c>
      <c r="I427" s="49">
        <v>553096.52</v>
      </c>
    </row>
    <row r="428">
      <c r="A428" s="6">
        <v>443.0</v>
      </c>
      <c r="B428" s="50" t="str">
        <f>IFERROR(VLOOKUP($A428,EVENTO!$A$2:$C$4999,2,FALSE),"")</f>
        <v>ADITIVO DE PRAZO</v>
      </c>
      <c r="C428" s="50" t="str">
        <f>IFERROR(VLOOKUP($A428,EVENTO!$A$2:$C$4999,3,FALSE),"")</f>
        <v>PREFEITURA MUNICIPAL DE CAUCAIA -  SECRETARIA MUNICIPAL DE PLANEJAMENTO URBANO E AMBIENTAL </v>
      </c>
      <c r="D428" s="58">
        <v>45189.0</v>
      </c>
      <c r="E428" s="59">
        <v>12.0</v>
      </c>
      <c r="F428" s="59">
        <v>60.0</v>
      </c>
      <c r="G428" s="58">
        <v>45555.0</v>
      </c>
      <c r="H428" s="58">
        <v>46285.0</v>
      </c>
      <c r="I428" s="49">
        <v>553096.52</v>
      </c>
    </row>
    <row r="429">
      <c r="A429" s="6">
        <v>444.0</v>
      </c>
      <c r="B429" s="50" t="str">
        <f>IFERROR(VLOOKUP($A429,EVENTO!$A$2:$C$4999,2,FALSE),"")</f>
        <v>ADITIVO DE PRAZO</v>
      </c>
      <c r="C429" s="50" t="str">
        <f>IFERROR(VLOOKUP($A429,EVENTO!$A$2:$C$4999,3,FALSE),"")</f>
        <v>PREFEITURA MUNICIPAL DE CAUCAIA -  SECRETARIA MUNICIPAL DE PLANEJAMENTO URBANO E AMBIENTAL </v>
      </c>
      <c r="D429" s="58">
        <v>45556.0</v>
      </c>
      <c r="E429" s="59">
        <v>12.0</v>
      </c>
      <c r="F429" s="59">
        <v>60.0</v>
      </c>
      <c r="G429" s="58">
        <v>45921.0</v>
      </c>
      <c r="H429" s="58">
        <v>46285.0</v>
      </c>
      <c r="I429" s="49">
        <v>553096.52</v>
      </c>
    </row>
    <row r="430">
      <c r="A430" s="6">
        <v>445.0</v>
      </c>
      <c r="B430" s="50" t="str">
        <f>IFERROR(VLOOKUP($A430,EVENTO!$A$2:$C$4999,2,FALSE),"")</f>
        <v>ADITIVO DE PRAZO</v>
      </c>
      <c r="C430" s="50" t="str">
        <f>IFERROR(VLOOKUP($A430,EVENTO!$A$2:$C$4999,3,FALSE),"")</f>
        <v>PREFEITURA MUNICIPAL DE CAUCAIA -  SECRETARIA MUNICIPAL DE PLANEJAMENTO URBANO E AMBIENTAL </v>
      </c>
      <c r="D430" s="58">
        <v>45922.0</v>
      </c>
      <c r="E430" s="59">
        <v>12.0</v>
      </c>
      <c r="F430" s="59">
        <v>60.0</v>
      </c>
      <c r="G430" s="58">
        <v>46286.0</v>
      </c>
      <c r="H430" s="58">
        <v>46285.0</v>
      </c>
      <c r="I430" s="49">
        <v>553096.52</v>
      </c>
    </row>
    <row r="431">
      <c r="A431" s="6">
        <v>446.0</v>
      </c>
      <c r="B431" s="50" t="str">
        <f>IFERROR(VLOOKUP($A431,EVENTO!$A$2:$C$4999,2,FALSE),"")</f>
        <v>CADASTRO</v>
      </c>
      <c r="C431" s="50" t="str">
        <f>IFERROR(VLOOKUP($A431,EVENTO!$A$2:$C$4999,3,FALSE),"")</f>
        <v>PREFEITURA MUNICIPAL DE CAUCAIA - SECRETARIA MUNICIPAL DE INFRAESTRUTURA</v>
      </c>
      <c r="D431" s="58">
        <v>44459.0</v>
      </c>
      <c r="E431" s="59">
        <v>12.0</v>
      </c>
      <c r="F431" s="59">
        <v>60.0</v>
      </c>
      <c r="G431" s="58">
        <v>44823.0</v>
      </c>
      <c r="H431" s="58">
        <v>46285.0</v>
      </c>
      <c r="I431" s="49">
        <v>525948.84</v>
      </c>
    </row>
    <row r="432">
      <c r="A432" s="6">
        <v>447.0</v>
      </c>
      <c r="B432" s="50" t="str">
        <f>IFERROR(VLOOKUP($A432,EVENTO!$A$2:$C$4999,2,FALSE),"")</f>
        <v>ADITIVO DE PRAZO</v>
      </c>
      <c r="C432" s="50" t="str">
        <f>IFERROR(VLOOKUP($A432,EVENTO!$A$2:$C$4999,3,FALSE),"")</f>
        <v>PREFEITURA MUNICIPAL DE CAUCAIA - SECRETARIA MUNICIPAL DE INFRAESTRUTURA</v>
      </c>
      <c r="D432" s="58">
        <v>44823.0</v>
      </c>
      <c r="E432" s="59">
        <v>12.0</v>
      </c>
      <c r="F432" s="59">
        <v>60.0</v>
      </c>
      <c r="G432" s="58">
        <v>45187.0</v>
      </c>
      <c r="H432" s="58">
        <v>46285.0</v>
      </c>
      <c r="I432" s="49">
        <v>525948.84</v>
      </c>
    </row>
    <row r="433">
      <c r="A433" s="6">
        <v>448.0</v>
      </c>
      <c r="B433" s="50" t="str">
        <f>IFERROR(VLOOKUP($A433,EVENTO!$A$2:$C$4999,2,FALSE),"")</f>
        <v>ADITIVO DE PRAZO</v>
      </c>
      <c r="C433" s="50" t="str">
        <f>IFERROR(VLOOKUP($A433,EVENTO!$A$2:$C$4999,3,FALSE),"")</f>
        <v>PREFEITURA MUNICIPAL DE CAUCAIA - SECRETARIA MUNICIPAL DE INFRAESTRUTURA</v>
      </c>
      <c r="D433" s="58">
        <v>45189.0</v>
      </c>
      <c r="E433" s="59">
        <v>12.0</v>
      </c>
      <c r="F433" s="59">
        <v>60.0</v>
      </c>
      <c r="G433" s="58">
        <v>45555.0</v>
      </c>
      <c r="H433" s="58">
        <v>46285.0</v>
      </c>
      <c r="I433" s="49">
        <v>525948.84</v>
      </c>
    </row>
    <row r="434">
      <c r="A434" s="6">
        <v>449.0</v>
      </c>
      <c r="B434" s="50" t="str">
        <f>IFERROR(VLOOKUP($A434,EVENTO!$A$2:$C$4999,2,FALSE),"")</f>
        <v>ADITIVO DE PRAZO</v>
      </c>
      <c r="C434" s="50" t="str">
        <f>IFERROR(VLOOKUP($A434,EVENTO!$A$2:$C$4999,3,FALSE),"")</f>
        <v>PREFEITURA MUNICIPAL DE CAUCAIA - SECRETARIA MUNICIPAL DE INFRAESTRUTURA</v>
      </c>
      <c r="D434" s="58">
        <v>45556.0</v>
      </c>
      <c r="E434" s="59">
        <v>12.0</v>
      </c>
      <c r="F434" s="59">
        <v>60.0</v>
      </c>
      <c r="G434" s="58">
        <v>45920.0</v>
      </c>
      <c r="H434" s="58">
        <v>46285.0</v>
      </c>
      <c r="I434" s="49">
        <v>525948.84</v>
      </c>
    </row>
    <row r="435">
      <c r="A435" s="6">
        <v>450.0</v>
      </c>
      <c r="B435" s="50" t="str">
        <f>IFERROR(VLOOKUP($A435,EVENTO!$A$2:$C$4999,2,FALSE),"")</f>
        <v>ADITIVO DE PRAZO</v>
      </c>
      <c r="C435" s="50" t="str">
        <f>IFERROR(VLOOKUP($A435,EVENTO!$A$2:$C$4999,3,FALSE),"")</f>
        <v>PREFEITURA MUNICIPAL DE CAUCAIA - SECRETARIA MUNICIPAL DE INFRAESTRUTURA</v>
      </c>
      <c r="D435" s="58">
        <v>45921.0</v>
      </c>
      <c r="E435" s="59">
        <v>12.0</v>
      </c>
      <c r="F435" s="59">
        <v>60.0</v>
      </c>
      <c r="G435" s="58">
        <v>46285.0</v>
      </c>
      <c r="H435" s="58">
        <v>46285.0</v>
      </c>
      <c r="I435" s="49">
        <v>525948.84</v>
      </c>
    </row>
    <row r="436">
      <c r="A436" s="6">
        <v>451.0</v>
      </c>
      <c r="B436" s="50" t="str">
        <f>IFERROR(VLOOKUP($A436,EVENTO!$A$2:$C$4999,2,FALSE),"")</f>
        <v>CADASTRO</v>
      </c>
      <c r="C436" s="50" t="str">
        <f>IFERROR(VLOOKUP($A436,EVENTO!$A$2:$C$4999,3,FALSE),"")</f>
        <v>PREFEITURA MUNICIPAL DE CAUCAIA - PROCURADORIA-GERAL DO MUNICÍPIO</v>
      </c>
      <c r="D436" s="58">
        <v>44459.0</v>
      </c>
      <c r="E436" s="59">
        <v>12.0</v>
      </c>
      <c r="F436" s="59">
        <v>60.0</v>
      </c>
      <c r="G436" s="58">
        <v>44823.0</v>
      </c>
      <c r="H436" s="58">
        <v>46285.0</v>
      </c>
      <c r="I436" s="49">
        <v>340308.12</v>
      </c>
    </row>
    <row r="437">
      <c r="A437" s="6">
        <v>452.0</v>
      </c>
      <c r="B437" s="50" t="str">
        <f>IFERROR(VLOOKUP($A437,EVENTO!$A$2:$C$4999,2,FALSE),"")</f>
        <v>ADITIVO DE PRAZO</v>
      </c>
      <c r="C437" s="50" t="str">
        <f>IFERROR(VLOOKUP($A437,EVENTO!$A$2:$C$4999,3,FALSE),"")</f>
        <v>PREFEITURA MUNICIPAL DE CAUCAIA - PROCURADORIA-GERAL DO MUNICÍPIO</v>
      </c>
      <c r="D437" s="58">
        <v>44823.0</v>
      </c>
      <c r="E437" s="59">
        <v>12.0</v>
      </c>
      <c r="F437" s="59">
        <v>60.0</v>
      </c>
      <c r="G437" s="58">
        <v>45187.0</v>
      </c>
      <c r="H437" s="58">
        <v>46285.0</v>
      </c>
      <c r="I437" s="49">
        <v>340308.12</v>
      </c>
    </row>
    <row r="438">
      <c r="A438" s="6">
        <v>453.0</v>
      </c>
      <c r="B438" s="50" t="str">
        <f>IFERROR(VLOOKUP($A438,EVENTO!$A$2:$C$4999,2,FALSE),"")</f>
        <v>ADITIVO DE PRAZO</v>
      </c>
      <c r="C438" s="50" t="str">
        <f>IFERROR(VLOOKUP($A438,EVENTO!$A$2:$C$4999,3,FALSE),"")</f>
        <v>PREFEITURA MUNICIPAL DE CAUCAIA - PROCURADORIA-GERAL DO MUNICÍPIO</v>
      </c>
      <c r="D438" s="58">
        <v>45659.0</v>
      </c>
      <c r="E438" s="59">
        <v>6.0</v>
      </c>
      <c r="F438" s="59">
        <v>60.0</v>
      </c>
      <c r="G438" s="58">
        <v>45839.0</v>
      </c>
      <c r="H438" s="58">
        <v>46285.0</v>
      </c>
      <c r="I438" s="49">
        <v>127615.56</v>
      </c>
    </row>
    <row r="439">
      <c r="A439" s="6">
        <v>454.0</v>
      </c>
      <c r="B439" s="50" t="str">
        <f>IFERROR(VLOOKUP($A439,EVENTO!$A$2:$C$4999,2,FALSE),"")</f>
        <v>ADITIVO DE PRAZO</v>
      </c>
      <c r="C439" s="50" t="str">
        <f>IFERROR(VLOOKUP($A439,EVENTO!$A$2:$C$4999,3,FALSE),"")</f>
        <v>PREFEITURA MUNICIPAL DE CAUCAIA - PROCURADORIA-GERAL DO MUNICÍPIO</v>
      </c>
      <c r="D439" s="58">
        <v>45840.0</v>
      </c>
      <c r="E439" s="59">
        <v>12.0</v>
      </c>
      <c r="F439" s="59">
        <v>60.0</v>
      </c>
      <c r="G439" s="58">
        <v>46205.0</v>
      </c>
      <c r="H439" s="58">
        <v>46285.0</v>
      </c>
      <c r="I439" s="49">
        <v>340308.12</v>
      </c>
    </row>
    <row r="440">
      <c r="A440" s="6">
        <v>455.0</v>
      </c>
      <c r="B440" s="50" t="str">
        <f>IFERROR(VLOOKUP($A440,EVENTO!$A$2:$C$4999,2,FALSE),"")</f>
        <v>CADASTRO</v>
      </c>
      <c r="C440" s="50" t="str">
        <f>IFERROR(VLOOKUP($A440,EVENTO!$A$2:$C$4999,3,FALSE),"")</f>
        <v>PREFEITURA MUNICIPAL DE CAUCAIA - SECRETARIA MUNICIPAL DE PATRIMÔNIO E TRANSPORTE</v>
      </c>
      <c r="D440" s="58">
        <v>44459.0</v>
      </c>
      <c r="E440" s="59">
        <v>12.0</v>
      </c>
      <c r="F440" s="59">
        <v>60.0</v>
      </c>
      <c r="G440" s="58">
        <v>44823.0</v>
      </c>
      <c r="H440" s="58">
        <v>46285.0</v>
      </c>
      <c r="I440" s="49">
        <v>385495.32</v>
      </c>
    </row>
    <row r="441">
      <c r="A441" s="6">
        <v>456.0</v>
      </c>
      <c r="B441" s="50" t="str">
        <f>IFERROR(VLOOKUP($A441,EVENTO!$A$2:$C$4999,2,FALSE),"")</f>
        <v>ADITIVO DE PRAZO</v>
      </c>
      <c r="C441" s="50" t="str">
        <f>IFERROR(VLOOKUP($A441,EVENTO!$A$2:$C$4999,3,FALSE),"")</f>
        <v>PREFEITURA MUNICIPAL DE CAUCAIA - SECRETARIA MUNICIPAL DE PATRIMÔNIO E TRANSPORTE</v>
      </c>
      <c r="D441" s="58">
        <v>44823.0</v>
      </c>
      <c r="E441" s="59">
        <v>12.0</v>
      </c>
      <c r="F441" s="59">
        <v>60.0</v>
      </c>
      <c r="G441" s="58">
        <v>45187.0</v>
      </c>
      <c r="H441" s="58">
        <v>46285.0</v>
      </c>
      <c r="I441" s="49">
        <v>385495.32</v>
      </c>
    </row>
    <row r="442">
      <c r="A442" s="6">
        <v>457.0</v>
      </c>
      <c r="B442" s="50" t="str">
        <f>IFERROR(VLOOKUP($A442,EVENTO!$A$2:$C$4999,2,FALSE),"")</f>
        <v>ADITIVO DE PRAZO</v>
      </c>
      <c r="C442" s="50" t="str">
        <f>IFERROR(VLOOKUP($A442,EVENTO!$A$2:$C$4999,3,FALSE),"")</f>
        <v>PREFEITURA MUNICIPAL DE CAUCAIA - SECRETARIA MUNICIPAL DE PATRIMÔNIO E TRANSPORTE</v>
      </c>
      <c r="D442" s="58">
        <v>45189.0</v>
      </c>
      <c r="E442" s="59">
        <v>12.0</v>
      </c>
      <c r="F442" s="59">
        <v>60.0</v>
      </c>
      <c r="G442" s="58">
        <v>45555.0</v>
      </c>
      <c r="H442" s="58">
        <v>46285.0</v>
      </c>
      <c r="I442" s="49">
        <v>385495.32</v>
      </c>
    </row>
    <row r="443">
      <c r="A443" s="6">
        <v>458.0</v>
      </c>
      <c r="B443" s="50" t="str">
        <f>IFERROR(VLOOKUP($A443,EVENTO!$A$2:$C$4999,2,FALSE),"")</f>
        <v>ADITIVO DE PRAZO</v>
      </c>
      <c r="C443" s="50" t="str">
        <f>IFERROR(VLOOKUP($A443,EVENTO!$A$2:$C$4999,3,FALSE),"")</f>
        <v>PREFEITURA MUNICIPAL DE CAUCAIA - SECRETARIA MUNICIPAL DE PATRIMÔNIO E TRANSPORTE</v>
      </c>
      <c r="D443" s="58">
        <v>45556.0</v>
      </c>
      <c r="E443" s="59">
        <v>12.0</v>
      </c>
      <c r="F443" s="59">
        <v>60.0</v>
      </c>
      <c r="G443" s="58">
        <v>45921.0</v>
      </c>
      <c r="H443" s="58">
        <v>46285.0</v>
      </c>
      <c r="I443" s="49">
        <v>385495.32</v>
      </c>
    </row>
    <row r="444">
      <c r="A444" s="6">
        <v>459.0</v>
      </c>
      <c r="B444" s="50" t="str">
        <f>IFERROR(VLOOKUP($A444,EVENTO!$A$2:$C$4999,2,FALSE),"")</f>
        <v>ADITIVO DE PRAZO</v>
      </c>
      <c r="C444" s="50" t="str">
        <f>IFERROR(VLOOKUP($A444,EVENTO!$A$2:$C$4999,3,FALSE),"")</f>
        <v>PREFEITURA MUNICIPAL DE CAUCAIA - SECRETARIA MUNICIPAL DE PATRIMÔNIO E TRANSPORTE</v>
      </c>
      <c r="D444" s="58">
        <v>45922.0</v>
      </c>
      <c r="E444" s="59">
        <v>12.0</v>
      </c>
      <c r="F444" s="59">
        <v>60.0</v>
      </c>
      <c r="G444" s="58">
        <v>46287.0</v>
      </c>
      <c r="H444" s="58">
        <v>46287.0</v>
      </c>
      <c r="I444" s="49">
        <v>385495.32</v>
      </c>
    </row>
    <row r="445">
      <c r="A445" s="6">
        <v>460.0</v>
      </c>
      <c r="B445" s="50" t="str">
        <f>IFERROR(VLOOKUP($A445,EVENTO!$A$2:$C$4999,2,FALSE),"")</f>
        <v>CADASTRO</v>
      </c>
      <c r="C445" s="50" t="str">
        <f>IFERROR(VLOOKUP($A445,EVENTO!$A$2:$C$4999,3,FALSE),"")</f>
        <v>PREFEITURA MUNICIPAL DE CAUCAIA - INSTITUTO DE PREVIDÊNCIA DO MUNICÍPIO</v>
      </c>
      <c r="D445" s="58">
        <v>44459.0</v>
      </c>
      <c r="E445" s="59">
        <v>12.0</v>
      </c>
      <c r="F445" s="59">
        <v>60.0</v>
      </c>
      <c r="G445" s="58">
        <v>44823.0</v>
      </c>
      <c r="H445" s="58">
        <v>46285.0</v>
      </c>
      <c r="I445" s="49">
        <v>121273.92</v>
      </c>
    </row>
    <row r="446">
      <c r="A446" s="6">
        <v>461.0</v>
      </c>
      <c r="B446" s="50" t="str">
        <f>IFERROR(VLOOKUP($A446,EVENTO!$A$2:$C$4999,2,FALSE),"")</f>
        <v>ADITIVO DE PRAZO</v>
      </c>
      <c r="C446" s="50" t="str">
        <f>IFERROR(VLOOKUP($A446,EVENTO!$A$2:$C$4999,3,FALSE),"")</f>
        <v>PREFEITURA MUNICIPAL DE CAUCAIA - INSTITUTO DE PREVIDÊNCIA DO MUNICÍPIO</v>
      </c>
      <c r="D446" s="58">
        <v>44823.0</v>
      </c>
      <c r="E446" s="59">
        <v>12.0</v>
      </c>
      <c r="F446" s="59">
        <v>60.0</v>
      </c>
      <c r="G446" s="58">
        <v>45187.0</v>
      </c>
      <c r="H446" s="58">
        <v>46285.0</v>
      </c>
      <c r="I446" s="49">
        <v>121273.92</v>
      </c>
    </row>
    <row r="447">
      <c r="A447" s="6">
        <v>462.0</v>
      </c>
      <c r="B447" s="50" t="str">
        <f>IFERROR(VLOOKUP($A447,EVENTO!$A$2:$C$4999,2,FALSE),"")</f>
        <v>ADITIVO DE PRAZO</v>
      </c>
      <c r="C447" s="50" t="str">
        <f>IFERROR(VLOOKUP($A447,EVENTO!$A$2:$C$4999,3,FALSE),"")</f>
        <v>PREFEITURA MUNICIPAL DE CAUCAIA - INSTITUTO DE PREVIDÊNCIA DO MUNICÍPIO</v>
      </c>
      <c r="D447" s="58">
        <v>45189.0</v>
      </c>
      <c r="E447" s="59">
        <v>12.0</v>
      </c>
      <c r="F447" s="59">
        <v>60.0</v>
      </c>
      <c r="G447" s="58">
        <v>45555.0</v>
      </c>
      <c r="H447" s="58">
        <v>46285.0</v>
      </c>
      <c r="I447" s="49">
        <v>121273.92</v>
      </c>
    </row>
    <row r="448">
      <c r="A448" s="6">
        <v>463.0</v>
      </c>
      <c r="B448" s="50" t="str">
        <f>IFERROR(VLOOKUP($A448,EVENTO!$A$2:$C$4999,2,FALSE),"")</f>
        <v>ADITIVO DE PRAZO</v>
      </c>
      <c r="C448" s="50" t="str">
        <f>IFERROR(VLOOKUP($A448,EVENTO!$A$2:$C$4999,3,FALSE),"")</f>
        <v>PREFEITURA MUNICIPAL DE CAUCAIA - INSTITUTO DE PREVIDÊNCIA DO MUNICÍPIO</v>
      </c>
      <c r="D448" s="58">
        <v>45556.0</v>
      </c>
      <c r="E448" s="59">
        <v>12.0</v>
      </c>
      <c r="F448" s="59">
        <v>60.0</v>
      </c>
      <c r="G448" s="58">
        <v>45921.0</v>
      </c>
      <c r="H448" s="58">
        <v>46285.0</v>
      </c>
      <c r="I448" s="49">
        <v>121273.92</v>
      </c>
    </row>
    <row r="449">
      <c r="A449" s="6">
        <v>464.0</v>
      </c>
      <c r="B449" s="50" t="str">
        <f>IFERROR(VLOOKUP($A449,EVENTO!$A$2:$C$4999,2,FALSE),"")</f>
        <v>ADITIVO DE PRAZO</v>
      </c>
      <c r="C449" s="50" t="str">
        <f>IFERROR(VLOOKUP($A449,EVENTO!$A$2:$C$4999,3,FALSE),"")</f>
        <v>PREFEITURA MUNICIPAL DE CAUCAIA - INSTITUTO DE PREVIDÊNCIA DO MUNICÍPIO</v>
      </c>
      <c r="D449" s="58">
        <v>45922.0</v>
      </c>
      <c r="E449" s="59">
        <v>12.0</v>
      </c>
      <c r="F449" s="59">
        <v>60.0</v>
      </c>
      <c r="G449" s="58">
        <v>46287.0</v>
      </c>
      <c r="H449" s="58">
        <v>46287.0</v>
      </c>
      <c r="I449" s="49">
        <v>30501.42</v>
      </c>
    </row>
    <row r="450">
      <c r="A450" s="6">
        <v>465.0</v>
      </c>
      <c r="B450" s="50" t="str">
        <f>IFERROR(VLOOKUP($A450,EVENTO!$A$2:$C$4999,2,FALSE),"")</f>
        <v>CADASTRO</v>
      </c>
      <c r="C450" s="50" t="str">
        <f>IFERROR(VLOOKUP($A450,EVENTO!$A$2:$C$4999,3,FALSE),"")</f>
        <v>PREFEITURA MUNICIPAL DE CAUCAIA - INSTITUTO DO MEIO AMBIENTE DO MUNICÍPIO</v>
      </c>
      <c r="D450" s="58">
        <v>44459.0</v>
      </c>
      <c r="E450" s="59">
        <v>12.0</v>
      </c>
      <c r="F450" s="59">
        <v>60.0</v>
      </c>
      <c r="G450" s="58">
        <v>44823.0</v>
      </c>
      <c r="H450" s="58">
        <v>46285.0</v>
      </c>
      <c r="I450" s="49">
        <v>279728.28</v>
      </c>
    </row>
    <row r="451">
      <c r="A451" s="6">
        <v>466.0</v>
      </c>
      <c r="B451" s="50" t="str">
        <f>IFERROR(VLOOKUP($A451,EVENTO!$A$2:$C$4999,2,FALSE),"")</f>
        <v>ADITIVO DE QUANTIDADE</v>
      </c>
      <c r="C451" s="50" t="str">
        <f>IFERROR(VLOOKUP($A451,EVENTO!$A$2:$C$4999,3,FALSE),"")</f>
        <v>PREFEITURA MUNICIPAL DE CAUCAIA - INSTITUTO DO MEIO AMBIENTE DO MUNICÍPIO</v>
      </c>
      <c r="D451" s="58">
        <v>44589.0</v>
      </c>
      <c r="E451" s="60"/>
      <c r="F451" s="59">
        <v>60.0</v>
      </c>
      <c r="G451" s="61"/>
      <c r="H451" s="58">
        <v>46285.0</v>
      </c>
      <c r="I451" s="49">
        <v>327434.64</v>
      </c>
    </row>
    <row r="452">
      <c r="A452" s="6">
        <v>467.0</v>
      </c>
      <c r="B452" s="50" t="str">
        <f>IFERROR(VLOOKUP($A452,EVENTO!$A$2:$C$4999,2,FALSE),"")</f>
        <v>ADITIVO DE PRAZO</v>
      </c>
      <c r="C452" s="50" t="str">
        <f>IFERROR(VLOOKUP($A452,EVENTO!$A$2:$C$4999,3,FALSE),"")</f>
        <v>PREFEITURA MUNICIPAL DE CAUCAIA - INSTITUTO DO MEIO AMBIENTE DO MUNICÍPIO</v>
      </c>
      <c r="D452" s="58">
        <v>44823.0</v>
      </c>
      <c r="E452" s="59">
        <v>12.0</v>
      </c>
      <c r="F452" s="59">
        <v>60.0</v>
      </c>
      <c r="G452" s="58">
        <v>45187.0</v>
      </c>
      <c r="H452" s="58">
        <v>46285.0</v>
      </c>
      <c r="I452" s="49">
        <v>327434.64</v>
      </c>
    </row>
    <row r="453">
      <c r="A453" s="6">
        <v>468.0</v>
      </c>
      <c r="B453" s="50" t="str">
        <f>IFERROR(VLOOKUP($A453,EVENTO!$A$2:$C$4999,2,FALSE),"")</f>
        <v>ADITIVO DE PRAZO</v>
      </c>
      <c r="C453" s="50" t="str">
        <f>IFERROR(VLOOKUP($A453,EVENTO!$A$2:$C$4999,3,FALSE),"")</f>
        <v>PREFEITURA MUNICIPAL DE CAUCAIA - INSTITUTO DO MEIO AMBIENTE DO MUNICÍPIO</v>
      </c>
      <c r="D453" s="58">
        <v>45189.0</v>
      </c>
      <c r="E453" s="59">
        <v>12.0</v>
      </c>
      <c r="F453" s="59">
        <v>60.0</v>
      </c>
      <c r="G453" s="58">
        <v>45555.0</v>
      </c>
      <c r="H453" s="58">
        <v>46285.0</v>
      </c>
      <c r="I453" s="49">
        <v>327434.64</v>
      </c>
    </row>
    <row r="454">
      <c r="A454" s="6">
        <v>469.0</v>
      </c>
      <c r="B454" s="50" t="str">
        <f>IFERROR(VLOOKUP($A454,EVENTO!$A$2:$C$4999,2,FALSE),"")</f>
        <v>ADITIVO DE PRAZO</v>
      </c>
      <c r="C454" s="50" t="str">
        <f>IFERROR(VLOOKUP($A454,EVENTO!$A$2:$C$4999,3,FALSE),"")</f>
        <v>PREFEITURA MUNICIPAL DE CAUCAIA - INSTITUTO DO MEIO AMBIENTE DO MUNICÍPIO</v>
      </c>
      <c r="D454" s="58">
        <v>45556.0</v>
      </c>
      <c r="E454" s="59">
        <v>12.0</v>
      </c>
      <c r="F454" s="59">
        <v>60.0</v>
      </c>
      <c r="G454" s="58">
        <v>45921.0</v>
      </c>
      <c r="H454" s="58">
        <v>46285.0</v>
      </c>
      <c r="I454" s="49">
        <v>327434.64</v>
      </c>
    </row>
    <row r="455">
      <c r="A455" s="6">
        <v>470.0</v>
      </c>
      <c r="B455" s="50" t="str">
        <f>IFERROR(VLOOKUP($A455,EVENTO!$A$2:$C$4999,2,FALSE),"")</f>
        <v>ADITIVO DE PRAZO</v>
      </c>
      <c r="C455" s="50" t="str">
        <f>IFERROR(VLOOKUP($A455,EVENTO!$A$2:$C$4999,3,FALSE),"")</f>
        <v>PREFEITURA MUNICIPAL DE CAUCAIA - INSTITUTO DO MEIO AMBIENTE DO MUNICÍPIO</v>
      </c>
      <c r="D455" s="58">
        <v>45921.0</v>
      </c>
      <c r="E455" s="59">
        <v>12.0</v>
      </c>
      <c r="F455" s="59">
        <v>60.0</v>
      </c>
      <c r="G455" s="58">
        <v>46286.0</v>
      </c>
      <c r="H455" s="58">
        <v>46286.0</v>
      </c>
      <c r="I455" s="49">
        <v>327434.64</v>
      </c>
    </row>
    <row r="456">
      <c r="A456" s="6">
        <v>471.0</v>
      </c>
      <c r="B456" s="50" t="str">
        <f>IFERROR(VLOOKUP($A456,EVENTO!$A$2:$C$4999,2,FALSE),"")</f>
        <v>CADASTRO</v>
      </c>
      <c r="C456" s="50" t="str">
        <f>IFERROR(VLOOKUP($A456,EVENTO!$A$2:$C$4999,3,FALSE),"")</f>
        <v>PREFEITURA MUNICIPAL DE CAUCAIA - GABINETE DO VICE PREFEITO</v>
      </c>
      <c r="D456" s="58">
        <v>44459.0</v>
      </c>
      <c r="E456" s="59">
        <v>12.0</v>
      </c>
      <c r="F456" s="59">
        <v>60.0</v>
      </c>
      <c r="G456" s="58">
        <v>44823.0</v>
      </c>
      <c r="H456" s="58">
        <v>46285.0</v>
      </c>
      <c r="I456" s="49">
        <v>63119.28</v>
      </c>
    </row>
    <row r="457">
      <c r="A457" s="6">
        <v>472.0</v>
      </c>
      <c r="B457" s="50" t="str">
        <f>IFERROR(VLOOKUP($A457,EVENTO!$A$2:$C$4999,2,FALSE),"")</f>
        <v>ADITIVO DE PRAZO</v>
      </c>
      <c r="C457" s="50" t="str">
        <f>IFERROR(VLOOKUP($A457,EVENTO!$A$2:$C$4999,3,FALSE),"")</f>
        <v>PREFEITURA MUNICIPAL DE CAUCAIA - GABINETE DO VICE PREFEITO</v>
      </c>
      <c r="D457" s="58">
        <v>44824.0</v>
      </c>
      <c r="E457" s="59">
        <v>12.0</v>
      </c>
      <c r="F457" s="59">
        <v>60.0</v>
      </c>
      <c r="G457" s="58">
        <v>45188.0</v>
      </c>
      <c r="H457" s="58">
        <v>46285.0</v>
      </c>
      <c r="I457" s="49">
        <v>63119.28</v>
      </c>
    </row>
    <row r="458">
      <c r="A458" s="6">
        <v>473.0</v>
      </c>
      <c r="B458" s="50" t="str">
        <f>IFERROR(VLOOKUP($A458,EVENTO!$A$2:$C$4999,2,FALSE),"")</f>
        <v>ADITIVO DE PRAZO</v>
      </c>
      <c r="C458" s="50" t="str">
        <f>IFERROR(VLOOKUP($A458,EVENTO!$A$2:$C$4999,3,FALSE),"")</f>
        <v>PREFEITURA MUNICIPAL DE CAUCAIA - GABINETE DO VICE PREFEITO</v>
      </c>
      <c r="D458" s="58">
        <v>45189.0</v>
      </c>
      <c r="E458" s="59">
        <v>12.0</v>
      </c>
      <c r="F458" s="59">
        <v>60.0</v>
      </c>
      <c r="G458" s="58">
        <v>45555.0</v>
      </c>
      <c r="H458" s="58">
        <v>46285.0</v>
      </c>
      <c r="I458" s="49">
        <v>63119.28</v>
      </c>
    </row>
    <row r="459">
      <c r="A459" s="6">
        <v>474.0</v>
      </c>
      <c r="B459" s="50" t="str">
        <f>IFERROR(VLOOKUP($A459,EVENTO!$A$2:$C$4999,2,FALSE),"")</f>
        <v>ADITIVO DE PRAZO</v>
      </c>
      <c r="C459" s="50" t="str">
        <f>IFERROR(VLOOKUP($A459,EVENTO!$A$2:$C$4999,3,FALSE),"")</f>
        <v>PREFEITURA MUNICIPAL DE CAUCAIA - GABINETE DO VICE PREFEITO</v>
      </c>
      <c r="D459" s="58">
        <v>45556.0</v>
      </c>
      <c r="E459" s="59">
        <v>12.0</v>
      </c>
      <c r="F459" s="59">
        <v>60.0</v>
      </c>
      <c r="G459" s="58">
        <v>45921.0</v>
      </c>
      <c r="H459" s="58">
        <v>46285.0</v>
      </c>
      <c r="I459" s="49">
        <v>63119.28</v>
      </c>
      <c r="J459" s="49"/>
    </row>
    <row r="460">
      <c r="A460" s="6">
        <v>475.0</v>
      </c>
      <c r="B460" s="50" t="str">
        <f>IFERROR(VLOOKUP($A460,EVENTO!$A$2:$C$4999,2,FALSE),"")</f>
        <v>ADITIVO DE PRAZO</v>
      </c>
      <c r="C460" s="50" t="str">
        <f>IFERROR(VLOOKUP($A460,EVENTO!$A$2:$C$4999,3,FALSE),"")</f>
        <v>PREFEITURA MUNICIPAL DE CAUCAIA - GABINETE DO VICE PREFEITO</v>
      </c>
      <c r="D460" s="58">
        <v>45922.0</v>
      </c>
      <c r="E460" s="61">
        <v>3.0</v>
      </c>
      <c r="F460" s="59">
        <v>60.0</v>
      </c>
      <c r="G460" s="62">
        <v>46022.0</v>
      </c>
      <c r="H460" s="58">
        <v>46285.0</v>
      </c>
      <c r="I460" s="49">
        <v>15779.82</v>
      </c>
      <c r="J460" s="49"/>
    </row>
    <row r="461">
      <c r="A461" s="6">
        <v>476.0</v>
      </c>
      <c r="B461" s="50" t="str">
        <f>IFERROR(VLOOKUP($A461,EVENTO!$A$2:$C$4999,2,FALSE),"")</f>
        <v>CADASTRO</v>
      </c>
      <c r="C461" s="50" t="str">
        <f>IFERROR(VLOOKUP($A461,EVENTO!$A$2:$C$4999,3,FALSE),"")</f>
        <v>PREFEITURA MUNICIPAL DE CAUCAIA - GABINETE DO PREFEITO</v>
      </c>
      <c r="D461" s="58">
        <v>44459.0</v>
      </c>
      <c r="E461" s="59">
        <v>12.0</v>
      </c>
      <c r="F461" s="59">
        <v>60.0</v>
      </c>
      <c r="G461" s="58">
        <v>44823.0</v>
      </c>
      <c r="H461" s="58">
        <v>46285.0</v>
      </c>
      <c r="I461" s="49">
        <v>163354.56</v>
      </c>
      <c r="J461" s="49"/>
    </row>
    <row r="462">
      <c r="A462" s="6">
        <v>477.0</v>
      </c>
      <c r="B462" s="50" t="str">
        <f>IFERROR(VLOOKUP($A462,EVENTO!$A$2:$C$4999,2,FALSE),"")</f>
        <v>ADITIVO DE PRAZO</v>
      </c>
      <c r="C462" s="50" t="str">
        <f>IFERROR(VLOOKUP($A462,EVENTO!$A$2:$C$4999,3,FALSE),"")</f>
        <v>PREFEITURA MUNICIPAL DE CAUCAIA - GABINETE DO PREFEITO</v>
      </c>
      <c r="D462" s="58">
        <v>44823.0</v>
      </c>
      <c r="E462" s="59">
        <v>12.0</v>
      </c>
      <c r="F462" s="59">
        <v>60.0</v>
      </c>
      <c r="G462" s="58">
        <v>45187.0</v>
      </c>
      <c r="H462" s="58">
        <v>46285.0</v>
      </c>
      <c r="I462" s="49">
        <v>163354.56</v>
      </c>
      <c r="J462" s="49"/>
    </row>
    <row r="463">
      <c r="A463" s="6">
        <v>478.0</v>
      </c>
      <c r="B463" s="50" t="str">
        <f>IFERROR(VLOOKUP($A463,EVENTO!$A$2:$C$4999,2,FALSE),"")</f>
        <v>ADITIVO DE PRAZO</v>
      </c>
      <c r="C463" s="50" t="str">
        <f>IFERROR(VLOOKUP($A463,EVENTO!$A$2:$C$4999,3,FALSE),"")</f>
        <v>PREFEITURA MUNICIPAL DE CAUCAIA - GABINETE DO PREFEITO</v>
      </c>
      <c r="D463" s="58">
        <v>45189.0</v>
      </c>
      <c r="E463" s="59">
        <v>12.0</v>
      </c>
      <c r="F463" s="59">
        <v>60.0</v>
      </c>
      <c r="G463" s="58">
        <v>45555.0</v>
      </c>
      <c r="H463" s="58">
        <v>46285.0</v>
      </c>
      <c r="I463" s="49">
        <v>163354.56</v>
      </c>
      <c r="J463" s="49"/>
    </row>
    <row r="464">
      <c r="A464" s="6">
        <v>479.0</v>
      </c>
      <c r="B464" s="50" t="str">
        <f>IFERROR(VLOOKUP($A464,EVENTO!$A$2:$C$4999,2,FALSE),"")</f>
        <v>ADITIVO DE PRAZO</v>
      </c>
      <c r="C464" s="50" t="str">
        <f>IFERROR(VLOOKUP($A464,EVENTO!$A$2:$C$4999,3,FALSE),"")</f>
        <v>PREFEITURA MUNICIPAL DE CAUCAIA - GABINETE DO PREFEITO</v>
      </c>
      <c r="D464" s="62">
        <v>45587.0</v>
      </c>
      <c r="E464" s="59">
        <v>12.0</v>
      </c>
      <c r="F464" s="59">
        <v>60.0</v>
      </c>
      <c r="G464" s="62">
        <v>45952.0</v>
      </c>
      <c r="H464" s="58">
        <v>46285.0</v>
      </c>
      <c r="I464" s="49">
        <v>163354.56</v>
      </c>
      <c r="J464" s="49"/>
    </row>
    <row r="465">
      <c r="A465" s="6">
        <v>480.0</v>
      </c>
      <c r="B465" s="50" t="str">
        <f>IFERROR(VLOOKUP($A465,EVENTO!$A$2:$C$4999,2,FALSE),"")</f>
        <v>ADITIVO DE PRAZO</v>
      </c>
      <c r="C465" s="50" t="str">
        <f>IFERROR(VLOOKUP($A465,EVENTO!$A$2:$C$4999,3,FALSE),"")</f>
        <v>PREFEITURA MUNICIPAL DE CAUCAIA - GABINETE DO PREFEITO</v>
      </c>
      <c r="D465" s="58">
        <v>45922.0</v>
      </c>
      <c r="E465" s="59">
        <v>12.0</v>
      </c>
      <c r="F465" s="59">
        <v>60.0</v>
      </c>
      <c r="G465" s="58">
        <v>46287.0</v>
      </c>
      <c r="H465" s="58">
        <v>46287.0</v>
      </c>
      <c r="I465" s="49">
        <v>163354.56</v>
      </c>
      <c r="J465" s="49"/>
    </row>
    <row r="466">
      <c r="A466" s="6">
        <v>481.0</v>
      </c>
      <c r="B466" s="50" t="str">
        <f>IFERROR(VLOOKUP($A466,EVENTO!$A$2:$C$4999,2,FALSE),"")</f>
        <v>CADASTRO</v>
      </c>
      <c r="C466" s="50" t="str">
        <f>IFERROR(VLOOKUP($A466,EVENTO!$A$2:$C$4999,3,FALSE),"")</f>
        <v>PREFEITURA MUNICIPAL DE CAUCAIA - SECRETARIA MUNICIPAL DE FINANÇAS, PLANEJAMENTO E ORÇAMENTO</v>
      </c>
      <c r="D466" s="58">
        <v>44475.0</v>
      </c>
      <c r="E466" s="59">
        <v>12.0</v>
      </c>
      <c r="F466" s="59">
        <v>60.0</v>
      </c>
      <c r="G466" s="58">
        <v>44839.0</v>
      </c>
      <c r="H466" s="58">
        <v>46301.0</v>
      </c>
      <c r="I466" s="49">
        <v>924996.48</v>
      </c>
      <c r="J466" s="49"/>
    </row>
    <row r="467">
      <c r="A467" s="6">
        <v>482.0</v>
      </c>
      <c r="B467" s="50" t="str">
        <f>IFERROR(VLOOKUP($A467,EVENTO!$A$2:$C$4999,2,FALSE),"")</f>
        <v>ADITIVO DE PRAZO</v>
      </c>
      <c r="C467" s="50" t="str">
        <f>IFERROR(VLOOKUP($A467,EVENTO!$A$2:$C$4999,3,FALSE),"")</f>
        <v>PREFEITURA MUNICIPAL DE CAUCAIA - SECRETARIA MUNICIPAL DE FINANÇAS, PLANEJAMENTO E ORÇAMENTO</v>
      </c>
      <c r="D467" s="58">
        <v>44840.0</v>
      </c>
      <c r="E467" s="59">
        <v>12.0</v>
      </c>
      <c r="F467" s="59">
        <v>60.0</v>
      </c>
      <c r="G467" s="58">
        <v>45205.0</v>
      </c>
      <c r="H467" s="58">
        <v>46301.0</v>
      </c>
      <c r="I467" s="49">
        <v>924996.48</v>
      </c>
      <c r="J467" s="49"/>
    </row>
    <row r="468">
      <c r="A468" s="6">
        <v>483.0</v>
      </c>
      <c r="B468" s="50" t="str">
        <f>IFERROR(VLOOKUP($A468,EVENTO!$A$2:$C$4999,2,FALSE),"")</f>
        <v>ADITIVO DE PRAZO</v>
      </c>
      <c r="C468" s="50" t="str">
        <f>IFERROR(VLOOKUP($A468,EVENTO!$A$2:$C$4999,3,FALSE),"")</f>
        <v>PREFEITURA MUNICIPAL DE CAUCAIA - SECRETARIA MUNICIPAL DE FINANÇAS, PLANEJAMENTO E ORÇAMENTO</v>
      </c>
      <c r="D468" s="58">
        <v>44958.0</v>
      </c>
      <c r="E468" s="61"/>
      <c r="F468" s="59">
        <v>60.0</v>
      </c>
      <c r="G468" s="61"/>
      <c r="H468" s="58">
        <v>46301.0</v>
      </c>
      <c r="I468" s="49"/>
      <c r="J468" s="49"/>
    </row>
    <row r="469">
      <c r="A469" s="6">
        <v>484.0</v>
      </c>
      <c r="B469" s="50" t="str">
        <f>IFERROR(VLOOKUP($A469,EVENTO!$A$2:$C$4999,2,FALSE),"")</f>
        <v>ADITIVO DE PRAZO</v>
      </c>
      <c r="C469" s="50" t="str">
        <f>IFERROR(VLOOKUP($A469,EVENTO!$A$2:$C$4999,3,FALSE),"")</f>
        <v>PREFEITURA MUNICIPAL DE CAUCAIA - SECRETARIA MUNICIPAL DE FINANÇAS, PLANEJAMENTO E ORÇAMENTO</v>
      </c>
      <c r="D469" s="58">
        <v>45206.0</v>
      </c>
      <c r="E469" s="59">
        <v>12.0</v>
      </c>
      <c r="F469" s="59">
        <v>60.0</v>
      </c>
      <c r="G469" s="58">
        <v>45572.0</v>
      </c>
      <c r="H469" s="58">
        <v>46301.0</v>
      </c>
      <c r="I469" s="49">
        <v>924996.48</v>
      </c>
      <c r="J469" s="49"/>
    </row>
    <row r="470">
      <c r="A470" s="6">
        <v>485.0</v>
      </c>
      <c r="B470" s="50" t="str">
        <f>IFERROR(VLOOKUP($A470,EVENTO!$A$2:$C$4999,2,FALSE),"")</f>
        <v>ADITIVO DE PRAZO</v>
      </c>
      <c r="C470" s="50" t="str">
        <f>IFERROR(VLOOKUP($A470,EVENTO!$A$2:$C$4999,3,FALSE),"")</f>
        <v>PREFEITURA MUNICIPAL DE CAUCAIA - SECRETARIA MUNICIPAL DE FINANÇAS, PLANEJAMENTO E ORÇAMENTO</v>
      </c>
      <c r="D470" s="58">
        <v>45573.0</v>
      </c>
      <c r="E470" s="59">
        <v>12.0</v>
      </c>
      <c r="F470" s="59">
        <v>60.0</v>
      </c>
      <c r="G470" s="58">
        <v>45938.0</v>
      </c>
      <c r="H470" s="58">
        <v>46301.0</v>
      </c>
      <c r="I470" s="49">
        <v>924996.48</v>
      </c>
      <c r="J470" s="49"/>
    </row>
    <row r="471">
      <c r="A471" s="6">
        <v>486.0</v>
      </c>
      <c r="B471" s="50" t="str">
        <f>IFERROR(VLOOKUP($A471,EVENTO!$A$2:$C$4999,2,FALSE),"")</f>
        <v>CADASTRO</v>
      </c>
      <c r="C471" s="50" t="str">
        <f>IFERROR(VLOOKUP($A471,EVENTO!$A$2:$C$4999,3,FALSE),"")</f>
        <v>PREFEITURA MUNICIPAL DE CAUCAIA - SECRETARIA MUNICIPAL DE ESPORTE E JUVENTUDE</v>
      </c>
      <c r="D471" s="58">
        <v>44462.0</v>
      </c>
      <c r="E471" s="59">
        <v>12.0</v>
      </c>
      <c r="F471" s="59">
        <v>60.0</v>
      </c>
      <c r="G471" s="58">
        <v>44826.0</v>
      </c>
      <c r="H471" s="58">
        <v>46287.0</v>
      </c>
      <c r="I471" s="49">
        <v>11751.36</v>
      </c>
      <c r="J471" s="49"/>
    </row>
    <row r="472">
      <c r="A472" s="6">
        <v>487.0</v>
      </c>
      <c r="B472" s="50" t="str">
        <f>IFERROR(VLOOKUP($A472,EVENTO!$A$2:$C$4999,2,FALSE),"")</f>
        <v>ADITIVO DE PRAZO</v>
      </c>
      <c r="C472" s="50" t="str">
        <f>IFERROR(VLOOKUP($A472,EVENTO!$A$2:$C$4999,3,FALSE),"")</f>
        <v>PREFEITURA MUNICIPAL DE CAUCAIA - SECRETARIA MUNICIPAL DE ESPORTE E JUVENTUDE</v>
      </c>
      <c r="D472" s="58">
        <v>44823.0</v>
      </c>
      <c r="E472" s="59">
        <v>12.0</v>
      </c>
      <c r="F472" s="59">
        <v>60.0</v>
      </c>
      <c r="G472" s="58">
        <v>45187.0</v>
      </c>
      <c r="H472" s="58">
        <v>46287.0</v>
      </c>
      <c r="I472" s="49">
        <v>11751.36</v>
      </c>
      <c r="J472" s="49"/>
    </row>
    <row r="473">
      <c r="A473" s="6">
        <v>488.0</v>
      </c>
      <c r="B473" s="50" t="str">
        <f>IFERROR(VLOOKUP($A473,EVENTO!$A$2:$C$4999,2,FALSE),"")</f>
        <v>ADITIVO DE PRAZO</v>
      </c>
      <c r="C473" s="50" t="str">
        <f>IFERROR(VLOOKUP($A473,EVENTO!$A$2:$C$4999,3,FALSE),"")</f>
        <v>PREFEITURA MUNICIPAL DE CAUCAIA - SECRETARIA MUNICIPAL DE ESPORTE E JUVENTUDE</v>
      </c>
      <c r="D473" s="58">
        <v>45189.0</v>
      </c>
      <c r="E473" s="59">
        <v>12.0</v>
      </c>
      <c r="F473" s="59">
        <v>60.0</v>
      </c>
      <c r="G473" s="58">
        <v>45555.0</v>
      </c>
      <c r="H473" s="58">
        <v>46287.0</v>
      </c>
      <c r="I473" s="49">
        <v>11751.36</v>
      </c>
      <c r="J473" s="49"/>
    </row>
    <row r="474">
      <c r="A474" s="6">
        <v>489.0</v>
      </c>
      <c r="B474" s="50" t="str">
        <f>IFERROR(VLOOKUP($A474,EVENTO!$A$2:$C$4999,2,FALSE),"")</f>
        <v>ADITIVO DE PRAZO</v>
      </c>
      <c r="C474" s="50" t="str">
        <f>IFERROR(VLOOKUP($A474,EVENTO!$A$2:$C$4999,3,FALSE),"")</f>
        <v>PREFEITURA MUNICIPAL DE CAUCAIA - SECRETARIA MUNICIPAL DE ESPORTE E JUVENTUDE</v>
      </c>
      <c r="D474" s="58">
        <v>45556.0</v>
      </c>
      <c r="E474" s="59">
        <v>12.0</v>
      </c>
      <c r="F474" s="59">
        <v>60.0</v>
      </c>
      <c r="G474" s="58">
        <v>45921.0</v>
      </c>
      <c r="H474" s="58">
        <v>46287.0</v>
      </c>
      <c r="I474" s="49">
        <v>11751.36</v>
      </c>
      <c r="J474" s="49"/>
    </row>
    <row r="475">
      <c r="A475" s="6">
        <v>490.0</v>
      </c>
      <c r="B475" s="50" t="str">
        <f>IFERROR(VLOOKUP($A475,EVENTO!$A$2:$C$4999,2,FALSE),"")</f>
        <v>ADITIVO DE PRAZO</v>
      </c>
      <c r="C475" s="50" t="str">
        <f>IFERROR(VLOOKUP($A475,EVENTO!$A$2:$C$4999,3,FALSE),"")</f>
        <v>PREFEITURA MUNICIPAL DE CAUCAIA - SECRETARIA MUNICIPAL DE ESPORTE E JUVENTUDE</v>
      </c>
      <c r="D475" s="58">
        <v>45922.0</v>
      </c>
      <c r="E475" s="59">
        <v>12.0</v>
      </c>
      <c r="F475" s="59">
        <v>60.0</v>
      </c>
      <c r="G475" s="58">
        <v>46286.0</v>
      </c>
      <c r="H475" s="58">
        <v>46287.0</v>
      </c>
      <c r="I475" s="49">
        <v>11751.36</v>
      </c>
      <c r="J475" s="49"/>
    </row>
    <row r="476">
      <c r="A476" s="6">
        <v>491.0</v>
      </c>
      <c r="B476" s="50" t="str">
        <f>IFERROR(VLOOKUP($A476,EVENTO!$A$2:$C$4999,2,FALSE),"")</f>
        <v>CADASTRO</v>
      </c>
      <c r="C476" s="50" t="str">
        <f>IFERROR(VLOOKUP($A476,EVENTO!$A$2:$C$4999,3,FALSE),"")</f>
        <v>PREFEITURA MUNICIPAL DE CAUCAIA - SECRETARIA MUNICIPAL DE ESPORTE E JUVENTUDE</v>
      </c>
      <c r="D476" s="58">
        <v>44459.0</v>
      </c>
      <c r="E476" s="59">
        <v>12.0</v>
      </c>
      <c r="F476" s="59">
        <v>60.0</v>
      </c>
      <c r="G476" s="58">
        <v>44823.0</v>
      </c>
      <c r="H476" s="58">
        <v>46285.0</v>
      </c>
      <c r="I476" s="49">
        <v>89308.4</v>
      </c>
      <c r="J476" s="49"/>
    </row>
    <row r="477">
      <c r="A477" s="6">
        <v>492.0</v>
      </c>
      <c r="B477" s="50" t="str">
        <f>IFERROR(VLOOKUP($A477,EVENTO!$A$2:$C$4999,2,FALSE),"")</f>
        <v>ADITIVO DE PRAZO</v>
      </c>
      <c r="C477" s="50" t="str">
        <f>IFERROR(VLOOKUP($A477,EVENTO!$A$2:$C$4999,3,FALSE),"")</f>
        <v>PREFEITURA MUNICIPAL DE CAUCAIA - SECRETARIA MUNICIPAL DE ESPORTE E JUVENTUDE</v>
      </c>
      <c r="D477" s="58">
        <v>44824.0</v>
      </c>
      <c r="E477" s="59">
        <v>12.0</v>
      </c>
      <c r="F477" s="59">
        <v>60.0</v>
      </c>
      <c r="G477" s="58">
        <v>45188.0</v>
      </c>
      <c r="H477" s="58">
        <v>46285.0</v>
      </c>
      <c r="I477" s="49">
        <v>89308.4</v>
      </c>
      <c r="J477" s="49"/>
    </row>
    <row r="478">
      <c r="A478" s="6">
        <v>493.0</v>
      </c>
      <c r="B478" s="50" t="str">
        <f>IFERROR(VLOOKUP($A478,EVENTO!$A$2:$C$4999,2,FALSE),"")</f>
        <v>ADITIVO DE PRAZO</v>
      </c>
      <c r="C478" s="50" t="str">
        <f>IFERROR(VLOOKUP($A478,EVENTO!$A$2:$C$4999,3,FALSE),"")</f>
        <v>PREFEITURA MUNICIPAL DE CAUCAIA - SECRETARIA MUNICIPAL DE ESPORTE E JUVENTUDE</v>
      </c>
      <c r="D478" s="58">
        <v>45189.0</v>
      </c>
      <c r="E478" s="59">
        <v>12.0</v>
      </c>
      <c r="F478" s="59">
        <v>60.0</v>
      </c>
      <c r="G478" s="58">
        <v>45555.0</v>
      </c>
      <c r="H478" s="58">
        <v>46285.0</v>
      </c>
      <c r="I478" s="49">
        <v>89308.4</v>
      </c>
      <c r="J478" s="49"/>
    </row>
    <row r="479">
      <c r="A479" s="6">
        <v>494.0</v>
      </c>
      <c r="B479" s="50" t="str">
        <f>IFERROR(VLOOKUP($A479,EVENTO!$A$2:$C$4999,2,FALSE),"")</f>
        <v>ADITIVO DE PRAZO</v>
      </c>
      <c r="C479" s="50" t="str">
        <f>IFERROR(VLOOKUP($A479,EVENTO!$A$2:$C$4999,3,FALSE),"")</f>
        <v>PREFEITURA MUNICIPAL DE CAUCAIA - SECRETARIA MUNICIPAL DE ESPORTE E JUVENTUDE</v>
      </c>
      <c r="D479" s="58">
        <v>45556.0</v>
      </c>
      <c r="E479" s="59">
        <v>12.0</v>
      </c>
      <c r="F479" s="59">
        <v>60.0</v>
      </c>
      <c r="G479" s="58">
        <v>45921.0</v>
      </c>
      <c r="H479" s="58">
        <v>46285.0</v>
      </c>
      <c r="I479" s="49">
        <v>89308.4</v>
      </c>
      <c r="J479" s="49"/>
    </row>
    <row r="480">
      <c r="A480" s="6">
        <v>495.0</v>
      </c>
      <c r="B480" s="50" t="str">
        <f>IFERROR(VLOOKUP($A480,EVENTO!$A$2:$C$4999,2,FALSE),"")</f>
        <v>ADITIVO DE PRAZO</v>
      </c>
      <c r="C480" s="50" t="str">
        <f>IFERROR(VLOOKUP($A480,EVENTO!$A$2:$C$4999,3,FALSE),"")</f>
        <v>PREFEITURA MUNICIPAL DE CAUCAIA - SECRETARIA MUNICIPAL DE ESPORTE E JUVENTUDE</v>
      </c>
      <c r="D480" s="58">
        <v>45922.0</v>
      </c>
      <c r="E480" s="59">
        <v>12.0</v>
      </c>
      <c r="F480" s="59">
        <v>60.0</v>
      </c>
      <c r="G480" s="58">
        <v>46286.0</v>
      </c>
      <c r="H480" s="58">
        <v>46286.0</v>
      </c>
      <c r="I480" s="49">
        <v>89308.4</v>
      </c>
      <c r="J480" s="49"/>
    </row>
    <row r="481">
      <c r="A481" s="6">
        <v>496.0</v>
      </c>
      <c r="B481" s="50" t="str">
        <f>IFERROR(VLOOKUP($A481,EVENTO!$A$2:$C$4999,2,FALSE),"")</f>
        <v>CADASTRO</v>
      </c>
      <c r="C481" s="50" t="str">
        <f>IFERROR(VLOOKUP($A481,EVENTO!$A$2:$C$4999,3,FALSE),"")</f>
        <v>PREFEITURA MUNICIPAL DE CAUCAIA - SECRETARIA MUNICIPAL DE EDUCAÇÃO, CIÊNCIA E TECNOLOGIA</v>
      </c>
      <c r="D481" s="58">
        <v>44503.0</v>
      </c>
      <c r="E481" s="59">
        <v>12.0</v>
      </c>
      <c r="F481" s="59">
        <v>60.0</v>
      </c>
      <c r="G481" s="58">
        <v>44867.0</v>
      </c>
      <c r="H481" s="58">
        <v>46329.0</v>
      </c>
      <c r="I481" s="49">
        <v>1.5579648E7</v>
      </c>
      <c r="J481" s="49"/>
    </row>
    <row r="482">
      <c r="A482" s="6">
        <v>497.0</v>
      </c>
      <c r="B482" s="50" t="str">
        <f>IFERROR(VLOOKUP($A482,EVENTO!$A$2:$C$4999,2,FALSE),"")</f>
        <v>ADITIVO DE PRAZO</v>
      </c>
      <c r="C482" s="50" t="str">
        <f>IFERROR(VLOOKUP($A482,EVENTO!$A$2:$C$4999,3,FALSE),"")</f>
        <v>PREFEITURA MUNICIPAL DE CAUCAIA - SECRETARIA MUNICIPAL DE EDUCAÇÃO, CIÊNCIA E TECNOLOGIA</v>
      </c>
      <c r="D482" s="58">
        <v>44868.0</v>
      </c>
      <c r="E482" s="59">
        <v>12.0</v>
      </c>
      <c r="F482" s="59">
        <v>60.0</v>
      </c>
      <c r="G482" s="58">
        <v>45233.0</v>
      </c>
      <c r="H482" s="58">
        <v>46329.0</v>
      </c>
      <c r="I482" s="49">
        <v>1.5579648E7</v>
      </c>
      <c r="J482" s="49"/>
    </row>
    <row r="483">
      <c r="A483" s="6">
        <v>498.0</v>
      </c>
      <c r="B483" s="50" t="str">
        <f>IFERROR(VLOOKUP($A483,EVENTO!$A$2:$C$4999,2,FALSE),"")</f>
        <v>ADITIVO DE PRAZO</v>
      </c>
      <c r="C483" s="50" t="str">
        <f>IFERROR(VLOOKUP($A483,EVENTO!$A$2:$C$4999,3,FALSE),"")</f>
        <v>PREFEITURA MUNICIPAL DE CAUCAIA - SECRETARIA MUNICIPAL DE EDUCAÇÃO, CIÊNCIA E TECNOLOGIA</v>
      </c>
      <c r="D483" s="58">
        <v>45234.0</v>
      </c>
      <c r="E483" s="59">
        <v>12.0</v>
      </c>
      <c r="F483" s="59">
        <v>60.0</v>
      </c>
      <c r="G483" s="58">
        <v>45600.0</v>
      </c>
      <c r="H483" s="58">
        <v>46329.0</v>
      </c>
      <c r="I483" s="49">
        <v>1.5579648E7</v>
      </c>
      <c r="J483" s="49"/>
    </row>
    <row r="484">
      <c r="A484" s="6">
        <v>499.0</v>
      </c>
      <c r="B484" s="50" t="str">
        <f>IFERROR(VLOOKUP($A484,EVENTO!$A$2:$C$4999,2,FALSE),"")</f>
        <v>ADITIVO DE PRAZO</v>
      </c>
      <c r="C484" s="50" t="str">
        <f>IFERROR(VLOOKUP($A484,EVENTO!$A$2:$C$4999,3,FALSE),"")</f>
        <v>PREFEITURA MUNICIPAL DE CAUCAIA - SECRETARIA MUNICIPAL DE EDUCAÇÃO, CIÊNCIA E TECNOLOGIA</v>
      </c>
      <c r="D484" s="58">
        <v>45600.0</v>
      </c>
      <c r="E484" s="59">
        <v>12.0</v>
      </c>
      <c r="F484" s="59">
        <v>60.0</v>
      </c>
      <c r="G484" s="58">
        <v>45965.0</v>
      </c>
      <c r="H484" s="58">
        <v>46329.0</v>
      </c>
      <c r="I484" s="49">
        <v>1.5579648E7</v>
      </c>
      <c r="J484" s="49"/>
    </row>
    <row r="485">
      <c r="A485" s="6">
        <v>500.0</v>
      </c>
      <c r="B485" s="50" t="str">
        <f>IFERROR(VLOOKUP($A485,EVENTO!$A$2:$C$4999,2,FALSE),"")</f>
        <v>CADASTRO</v>
      </c>
      <c r="C485" s="50" t="str">
        <f>IFERROR(VLOOKUP($A485,EVENTO!$A$2:$C$4999,3,FALSE),"")</f>
        <v>PREFEITURA MUNICIPAL DE CAUCAIA - SECRETARIA MUNICIPAL DE EDUCAÇÃO, CIÊNCIA E TECNOLOGIA</v>
      </c>
      <c r="D485" s="58">
        <v>44578.0</v>
      </c>
      <c r="E485" s="59">
        <v>12.0</v>
      </c>
      <c r="F485" s="59">
        <v>60.0</v>
      </c>
      <c r="G485" s="58">
        <v>44942.0</v>
      </c>
      <c r="H485" s="58">
        <v>46404.0</v>
      </c>
      <c r="I485" s="49">
        <v>3361441.44</v>
      </c>
      <c r="J485" s="49"/>
    </row>
    <row r="486">
      <c r="A486" s="6">
        <v>501.0</v>
      </c>
      <c r="B486" s="50" t="str">
        <f>IFERROR(VLOOKUP($A486,EVENTO!$A$2:$C$4999,2,FALSE),"")</f>
        <v>ADITIVO DE PRAZO</v>
      </c>
      <c r="C486" s="50" t="str">
        <f>IFERROR(VLOOKUP($A486,EVENTO!$A$2:$C$4999,3,FALSE),"")</f>
        <v>PREFEITURA MUNICIPAL DE CAUCAIA - SECRETARIA MUNICIPAL DE EDUCAÇÃO, CIÊNCIA E TECNOLOGIA</v>
      </c>
      <c r="D486" s="58">
        <v>44943.0</v>
      </c>
      <c r="E486" s="59">
        <v>12.0</v>
      </c>
      <c r="F486" s="59">
        <v>60.0</v>
      </c>
      <c r="G486" s="58">
        <v>45307.0</v>
      </c>
      <c r="H486" s="58">
        <v>46404.0</v>
      </c>
      <c r="I486" s="49">
        <v>3361441.44</v>
      </c>
      <c r="J486" s="49"/>
    </row>
    <row r="487">
      <c r="A487" s="6">
        <v>502.0</v>
      </c>
      <c r="B487" s="50" t="str">
        <f>IFERROR(VLOOKUP($A487,EVENTO!$A$2:$C$4999,2,FALSE),"")</f>
        <v>ADITIVO DE PRAZO</v>
      </c>
      <c r="C487" s="50" t="str">
        <f>IFERROR(VLOOKUP($A487,EVENTO!$A$2:$C$4999,3,FALSE),"")</f>
        <v>PREFEITURA MUNICIPAL DE CAUCAIA - SECRETARIA MUNICIPAL DE EDUCAÇÃO, CIÊNCIA E TECNOLOGIA</v>
      </c>
      <c r="D487" s="58">
        <v>45308.0</v>
      </c>
      <c r="E487" s="59">
        <v>12.0</v>
      </c>
      <c r="F487" s="59">
        <v>60.0</v>
      </c>
      <c r="G487" s="58">
        <v>45674.0</v>
      </c>
      <c r="H487" s="58">
        <v>46404.0</v>
      </c>
      <c r="I487" s="49">
        <v>3361441.44</v>
      </c>
      <c r="J487" s="49"/>
    </row>
    <row r="488">
      <c r="A488" s="6">
        <v>503.0</v>
      </c>
      <c r="B488" s="50" t="str">
        <f>IFERROR(VLOOKUP($A488,EVENTO!$A$2:$C$4999,2,FALSE),"")</f>
        <v>ADITIVO DE PRAZO</v>
      </c>
      <c r="C488" s="50" t="str">
        <f>IFERROR(VLOOKUP($A488,EVENTO!$A$2:$C$4999,3,FALSE),"")</f>
        <v>PREFEITURA MUNICIPAL DE CAUCAIA - SECRETARIA MUNICIPAL DE EDUCAÇÃO, CIÊNCIA E TECNOLOGIA</v>
      </c>
      <c r="D488" s="58">
        <v>45674.0</v>
      </c>
      <c r="E488" s="59">
        <v>12.0</v>
      </c>
      <c r="F488" s="59">
        <v>60.0</v>
      </c>
      <c r="G488" s="58">
        <v>46039.0</v>
      </c>
      <c r="H488" s="58">
        <v>46404.0</v>
      </c>
      <c r="I488" s="49">
        <v>3361441.44</v>
      </c>
      <c r="J488" s="49"/>
    </row>
    <row r="489">
      <c r="A489" s="6">
        <v>504.0</v>
      </c>
      <c r="B489" s="50" t="str">
        <f>IFERROR(VLOOKUP($A489,EVENTO!$A$2:$C$4999,2,FALSE),"")</f>
        <v>ADITIVO DE QUANTIDADE</v>
      </c>
      <c r="C489" s="50" t="str">
        <f>IFERROR(VLOOKUP($A489,EVENTO!$A$2:$C$4999,3,FALSE),"")</f>
        <v>PREFEITURA MUNICIPAL DE CAUCAIA - SECRETARIA MUNICIPAL DE EDUCAÇÃO, CIÊNCIA E TECNOLOGIA</v>
      </c>
      <c r="D489" s="62">
        <v>45951.0</v>
      </c>
      <c r="E489" s="59">
        <v>12.0</v>
      </c>
      <c r="F489" s="59">
        <v>60.0</v>
      </c>
      <c r="G489" s="58">
        <v>46039.0</v>
      </c>
      <c r="H489" s="58">
        <v>46404.0</v>
      </c>
      <c r="I489" s="49">
        <v>4171701.96</v>
      </c>
      <c r="J489" s="49"/>
    </row>
    <row r="490">
      <c r="A490" s="6">
        <v>437.0</v>
      </c>
      <c r="B490" s="50" t="str">
        <f>IFERROR(VLOOKUP($A490,EVENTO!$A$2:$C$4999,2,FALSE),"")</f>
        <v>ADITIVO DE PRAZO</v>
      </c>
      <c r="C490" s="50" t="str">
        <f>IFERROR(VLOOKUP($A490,EVENTO!$A$2:$C$4999,3,FALSE),"")</f>
        <v>ISG - HELV - 96210-20</v>
      </c>
      <c r="D490" s="51">
        <v>44664.0</v>
      </c>
      <c r="E490" s="6">
        <v>12.0</v>
      </c>
      <c r="F490" s="6">
        <v>60.0</v>
      </c>
      <c r="G490" s="52">
        <v>45028.0</v>
      </c>
      <c r="H490" s="52">
        <v>45992.0</v>
      </c>
      <c r="I490" s="49">
        <v>133440.0</v>
      </c>
      <c r="J490" s="49"/>
    </row>
    <row r="491">
      <c r="A491" s="6">
        <v>438.0</v>
      </c>
      <c r="B491" s="50" t="str">
        <f>IFERROR(VLOOKUP($A491,EVENTO!$A$2:$C$4999,2,FALSE),"")</f>
        <v>ADITIVO DE PRAZO</v>
      </c>
      <c r="C491" s="50" t="str">
        <f>IFERROR(VLOOKUP($A491,EVENTO!$A$2:$C$4999,3,FALSE),"")</f>
        <v>ISG - HELV - 96210-20</v>
      </c>
      <c r="D491" s="51">
        <v>45029.0</v>
      </c>
      <c r="E491" s="6">
        <v>12.0</v>
      </c>
      <c r="F491" s="6">
        <v>60.0</v>
      </c>
      <c r="G491" s="52">
        <v>45394.0</v>
      </c>
      <c r="H491" s="52">
        <v>45992.0</v>
      </c>
      <c r="I491" s="49">
        <v>133440.0</v>
      </c>
    </row>
    <row r="492">
      <c r="A492" s="6">
        <v>440.0</v>
      </c>
      <c r="B492" s="50" t="str">
        <f>IFERROR(VLOOKUP($A492,EVENTO!$A$2:$C$4999,2,FALSE),"")</f>
        <v>ADITIVO DE PRAZO</v>
      </c>
      <c r="C492" s="50" t="str">
        <f>IFERROR(VLOOKUP($A492,EVENTO!$A$2:$C$4999,3,FALSE),"")</f>
        <v>ISG - HELV - 96210-20</v>
      </c>
      <c r="D492" s="51">
        <v>45395.0</v>
      </c>
      <c r="E492" s="6">
        <v>12.0</v>
      </c>
      <c r="F492" s="6">
        <v>60.0</v>
      </c>
      <c r="G492" s="52">
        <v>45759.0</v>
      </c>
      <c r="H492" s="52">
        <v>45992.0</v>
      </c>
      <c r="I492" s="49">
        <v>133440.0</v>
      </c>
    </row>
    <row r="493">
      <c r="A493" s="6">
        <v>441.0</v>
      </c>
      <c r="B493" s="50" t="str">
        <f>IFERROR(VLOOKUP($A493,EVENTO!$A$2:$C$4999,2,FALSE),"")</f>
        <v>ADITIVO DE PRAZO</v>
      </c>
      <c r="C493" s="50" t="str">
        <f>IFERROR(VLOOKUP($A493,EVENTO!$A$2:$C$4999,3,FALSE),"")</f>
        <v>ISG - HELV - 96210-20</v>
      </c>
      <c r="D493" s="51">
        <v>45760.0</v>
      </c>
      <c r="E493" s="6">
        <v>12.0</v>
      </c>
      <c r="F493" s="6">
        <v>60.0</v>
      </c>
      <c r="G493" s="52">
        <v>46124.0</v>
      </c>
      <c r="H493" s="52">
        <v>45992.0</v>
      </c>
      <c r="I493" s="49">
        <v>133440.0</v>
      </c>
    </row>
    <row r="494">
      <c r="A494" s="6">
        <v>505.0</v>
      </c>
      <c r="B494" s="50" t="str">
        <f>IFERROR(VLOOKUP($A494,EVENTO!$A$2:$C$4999,2,FALSE),"")</f>
        <v>CADASTRO</v>
      </c>
      <c r="C494" s="50" t="str">
        <f>IFERROR(VLOOKUP($A494,EVENTO!$A$2:$C$4999,3,FALSE),"")</f>
        <v>ISG - HELV - 102150-21</v>
      </c>
      <c r="D494" s="51">
        <v>44298.0</v>
      </c>
      <c r="E494" s="6">
        <v>12.0</v>
      </c>
      <c r="F494" s="6">
        <v>60.0</v>
      </c>
      <c r="G494" s="52">
        <v>44662.0</v>
      </c>
      <c r="H494" s="52">
        <v>46124.0</v>
      </c>
      <c r="I494" s="49">
        <v>7992.0</v>
      </c>
    </row>
    <row r="495">
      <c r="A495" s="6">
        <v>506.0</v>
      </c>
      <c r="B495" s="50" t="str">
        <f>IFERROR(VLOOKUP($A495,EVENTO!$A$2:$C$4999,2,FALSE),"")</f>
        <v>ADITIVO DE PRAZO</v>
      </c>
      <c r="C495" s="50" t="str">
        <f>IFERROR(VLOOKUP($A495,EVENTO!$A$2:$C$4999,3,FALSE),"")</f>
        <v>ISG - HELV - 102150-21</v>
      </c>
      <c r="D495" s="51">
        <v>44663.0</v>
      </c>
      <c r="E495" s="6">
        <v>12.0</v>
      </c>
      <c r="F495" s="6">
        <v>60.0</v>
      </c>
      <c r="G495" s="52">
        <v>45027.0</v>
      </c>
      <c r="H495" s="52">
        <v>46124.0</v>
      </c>
      <c r="I495" s="49">
        <v>7992.0</v>
      </c>
    </row>
    <row r="496">
      <c r="A496" s="6">
        <v>507.0</v>
      </c>
      <c r="B496" s="50" t="str">
        <f>IFERROR(VLOOKUP($A496,EVENTO!$A$2:$C$4999,2,FALSE),"")</f>
        <v>ADITIVO DE PRAZO</v>
      </c>
      <c r="C496" s="50" t="str">
        <f>IFERROR(VLOOKUP($A496,EVENTO!$A$2:$C$4999,3,FALSE),"")</f>
        <v>ISG - HELV - 102150-21</v>
      </c>
      <c r="D496" s="51">
        <v>45028.0</v>
      </c>
      <c r="E496" s="6">
        <v>12.0</v>
      </c>
      <c r="F496" s="6">
        <v>60.0</v>
      </c>
      <c r="G496" s="52">
        <v>45393.0</v>
      </c>
      <c r="H496" s="52">
        <v>46124.0</v>
      </c>
      <c r="I496" s="49">
        <v>7992.0</v>
      </c>
    </row>
    <row r="497">
      <c r="A497" s="6">
        <v>508.0</v>
      </c>
      <c r="B497" s="50" t="str">
        <f>IFERROR(VLOOKUP($A497,EVENTO!$A$2:$C$4999,2,FALSE),"")</f>
        <v>ADITIVO DE PRAZO</v>
      </c>
      <c r="C497" s="50" t="str">
        <f>IFERROR(VLOOKUP($A497,EVENTO!$A$2:$C$4999,3,FALSE),"")</f>
        <v>ISG - HELV - 102150-21</v>
      </c>
      <c r="D497" s="51">
        <v>45394.0</v>
      </c>
      <c r="E497" s="6">
        <v>12.0</v>
      </c>
      <c r="F497" s="6">
        <v>60.0</v>
      </c>
      <c r="G497" s="52">
        <v>45758.0</v>
      </c>
      <c r="H497" s="52">
        <v>46124.0</v>
      </c>
      <c r="I497" s="49">
        <v>7992.0</v>
      </c>
    </row>
    <row r="498">
      <c r="A498" s="6">
        <v>509.0</v>
      </c>
      <c r="B498" s="50" t="str">
        <f>IFERROR(VLOOKUP($A498,EVENTO!$A$2:$C$4999,2,FALSE),"")</f>
        <v>ADITIVO DE PRAZO</v>
      </c>
      <c r="C498" s="50" t="str">
        <f>IFERROR(VLOOKUP($A498,EVENTO!$A$2:$C$4999,3,FALSE),"")</f>
        <v>ISG - HELV - 102150-21</v>
      </c>
      <c r="D498" s="51">
        <v>45759.0</v>
      </c>
      <c r="E498" s="6">
        <v>12.0</v>
      </c>
      <c r="F498" s="6">
        <v>60.0</v>
      </c>
      <c r="G498" s="52">
        <v>46123.0</v>
      </c>
      <c r="H498" s="52">
        <v>46124.0</v>
      </c>
      <c r="I498" s="49">
        <v>7992.0</v>
      </c>
    </row>
    <row r="499">
      <c r="A499" s="6">
        <v>510.0</v>
      </c>
      <c r="B499" s="50" t="str">
        <f>IFERROR(VLOOKUP($A499,EVENTO!$A$2:$C$4999,2,FALSE),"")</f>
        <v>CADASTRO</v>
      </c>
      <c r="C499" s="50" t="str">
        <f>IFERROR(VLOOKUP($A499,EVENTO!$A$2:$C$4999,3,FALSE),"")</f>
        <v>ISG - HGWA </v>
      </c>
      <c r="D499" s="54">
        <v>45971.0</v>
      </c>
      <c r="E499" s="6">
        <v>12.0</v>
      </c>
      <c r="F499" s="6">
        <v>60.0</v>
      </c>
      <c r="G499" s="52">
        <v>46335.0</v>
      </c>
      <c r="H499" s="53">
        <v>47797.0</v>
      </c>
      <c r="I499" s="49">
        <v>6984.0</v>
      </c>
    </row>
    <row r="500">
      <c r="A500" s="6">
        <v>511.0</v>
      </c>
      <c r="B500" s="50" t="str">
        <f>IFERROR(VLOOKUP($A500,EVENTO!$A$2:$C$4999,2,FALSE),"")</f>
        <v>CADASTRO</v>
      </c>
      <c r="C500" s="50" t="str">
        <f>IFERROR(VLOOKUP($A500,EVENTO!$A$2:$C$4999,3,FALSE),"")</f>
        <v>TOP TRANSPORTES</v>
      </c>
      <c r="D500" s="51">
        <v>44564.0</v>
      </c>
      <c r="E500" s="6">
        <v>6.0</v>
      </c>
      <c r="F500" s="6">
        <v>60.0</v>
      </c>
      <c r="G500" s="52">
        <v>44742.0</v>
      </c>
      <c r="H500" s="52">
        <v>46390.0</v>
      </c>
      <c r="I500" s="49">
        <v>540.0</v>
      </c>
    </row>
    <row r="501">
      <c r="A501" s="6">
        <v>512.0</v>
      </c>
      <c r="B501" s="50" t="str">
        <f>IFERROR(VLOOKUP($A501,EVENTO!$A$2:$C$4999,2,FALSE),"")</f>
        <v>ADITIVO DE PRAZO</v>
      </c>
      <c r="C501" s="50" t="str">
        <f>IFERROR(VLOOKUP($A501,EVENTO!$A$2:$C$4999,3,FALSE),"")</f>
        <v>TOP TRANSPORTES</v>
      </c>
      <c r="D501" s="51">
        <v>44713.0</v>
      </c>
      <c r="E501" s="6">
        <v>6.0</v>
      </c>
      <c r="F501" s="6">
        <v>60.0</v>
      </c>
      <c r="G501" s="52">
        <v>44896.0</v>
      </c>
      <c r="H501" s="52">
        <v>46390.0</v>
      </c>
      <c r="I501" s="49">
        <v>540.0</v>
      </c>
    </row>
    <row r="502">
      <c r="A502" s="6">
        <v>513.0</v>
      </c>
      <c r="B502" s="50" t="str">
        <f>IFERROR(VLOOKUP($A502,EVENTO!$A$2:$C$4999,2,FALSE),"")</f>
        <v>ADITIVO DE PRAZO</v>
      </c>
      <c r="C502" s="50" t="str">
        <f>IFERROR(VLOOKUP($A502,EVENTO!$A$2:$C$4999,3,FALSE),"")</f>
        <v>TOP TRANSPORTES</v>
      </c>
      <c r="D502" s="51">
        <v>44927.0</v>
      </c>
      <c r="E502" s="6">
        <v>12.0</v>
      </c>
      <c r="F502" s="6">
        <v>60.0</v>
      </c>
      <c r="G502" s="53">
        <v>45291.0</v>
      </c>
      <c r="H502" s="52">
        <v>46390.0</v>
      </c>
      <c r="I502" s="49">
        <v>540.0</v>
      </c>
    </row>
    <row r="503">
      <c r="A503" s="6">
        <v>514.0</v>
      </c>
      <c r="B503" s="50" t="str">
        <f>IFERROR(VLOOKUP($A503,EVENTO!$A$2:$C$4999,2,FALSE),"")</f>
        <v>ADITIVO DE PRAZO</v>
      </c>
      <c r="C503" s="50" t="str">
        <f>IFERROR(VLOOKUP($A503,EVENTO!$A$2:$C$4999,3,FALSE),"")</f>
        <v>TOP TRANSPORTES</v>
      </c>
      <c r="D503" s="51">
        <v>45292.0</v>
      </c>
      <c r="E503" s="6">
        <v>12.0</v>
      </c>
      <c r="F503" s="6">
        <v>60.0</v>
      </c>
      <c r="G503" s="53">
        <v>45657.0</v>
      </c>
      <c r="H503" s="52">
        <v>46390.0</v>
      </c>
      <c r="I503" s="49">
        <v>540.0</v>
      </c>
    </row>
    <row r="504">
      <c r="A504" s="6">
        <v>515.0</v>
      </c>
      <c r="B504" s="50" t="str">
        <f>IFERROR(VLOOKUP($A504,EVENTO!$A$2:$C$4999,2,FALSE),"")</f>
        <v>ADITIVO DE PRAZO</v>
      </c>
      <c r="C504" s="50" t="str">
        <f>IFERROR(VLOOKUP($A504,EVENTO!$A$2:$C$4999,3,FALSE),"")</f>
        <v>TOP TRANSPORTES</v>
      </c>
      <c r="D504" s="51">
        <v>45658.0</v>
      </c>
      <c r="E504" s="6">
        <v>12.0</v>
      </c>
      <c r="F504" s="6">
        <v>60.0</v>
      </c>
      <c r="G504" s="53">
        <v>46022.0</v>
      </c>
      <c r="H504" s="52">
        <v>46390.0</v>
      </c>
      <c r="I504" s="49">
        <v>540.0</v>
      </c>
    </row>
    <row r="505">
      <c r="A505" s="6">
        <v>516.0</v>
      </c>
      <c r="B505" s="50" t="str">
        <f>IFERROR(VLOOKUP($A505,EVENTO!$A$2:$C$4999,2,FALSE),"")</f>
        <v>CADASTRO</v>
      </c>
      <c r="C505" s="50" t="str">
        <f>IFERROR(VLOOKUP($A505,EVENTO!$A$2:$C$4999,3,FALSE),"")</f>
        <v>ANA KALINCA</v>
      </c>
      <c r="D505" s="52">
        <v>45019.0</v>
      </c>
      <c r="E505" s="6">
        <v>12.0</v>
      </c>
      <c r="F505" s="6">
        <v>60.0</v>
      </c>
      <c r="G505" s="52">
        <v>45385.0</v>
      </c>
      <c r="H505" s="52">
        <v>46846.0</v>
      </c>
      <c r="I505" s="49">
        <v>1800.0</v>
      </c>
    </row>
    <row r="506">
      <c r="A506" s="6">
        <v>517.0</v>
      </c>
      <c r="B506" s="50" t="str">
        <f>IFERROR(VLOOKUP($A506,EVENTO!$A$2:$C$4999,2,FALSE),"")</f>
        <v>ADITIVO DE PRAZO</v>
      </c>
      <c r="C506" s="50" t="str">
        <f>IFERROR(VLOOKUP($A506,EVENTO!$A$2:$C$4999,3,FALSE),"")</f>
        <v>ANA KALINCA</v>
      </c>
      <c r="D506" s="51">
        <v>45385.0</v>
      </c>
      <c r="E506" s="6">
        <v>12.0</v>
      </c>
      <c r="F506" s="6">
        <v>60.0</v>
      </c>
      <c r="G506" s="52">
        <v>45750.0</v>
      </c>
      <c r="H506" s="52">
        <v>46846.0</v>
      </c>
      <c r="I506" s="49">
        <v>1800.0</v>
      </c>
    </row>
    <row r="507">
      <c r="A507" s="6">
        <v>518.0</v>
      </c>
      <c r="B507" s="50" t="str">
        <f>IFERROR(VLOOKUP($A507,EVENTO!$A$2:$C$4999,2,FALSE),"")</f>
        <v>ADITIVO DE PRAZO</v>
      </c>
      <c r="C507" s="50" t="str">
        <f>IFERROR(VLOOKUP($A507,EVENTO!$A$2:$C$4999,3,FALSE),"")</f>
        <v>ANA KALINCA</v>
      </c>
      <c r="D507" s="51">
        <v>45750.0</v>
      </c>
      <c r="E507" s="6">
        <v>12.0</v>
      </c>
      <c r="F507" s="6">
        <v>60.0</v>
      </c>
      <c r="G507" s="52">
        <v>46115.0</v>
      </c>
      <c r="H507" s="52">
        <v>46846.0</v>
      </c>
      <c r="I507" s="49">
        <v>1800.0</v>
      </c>
    </row>
    <row r="508">
      <c r="A508" s="6">
        <v>519.0</v>
      </c>
      <c r="B508" s="50" t="str">
        <f>IFERROR(VLOOKUP($A508,EVENTO!$A$2:$C$4999,2,FALSE),"")</f>
        <v>CADASTRO</v>
      </c>
      <c r="C508" s="50" t="str">
        <f>IFERROR(VLOOKUP($A508,EVENTO!$A$2:$C$4999,3,FALSE),"")</f>
        <v>PREFEITURA MUNICIPAL DE CAUCAIA - SECRETARIA DE SEGURANÇA PÚBLICA DE CAUCAIA</v>
      </c>
      <c r="D508" s="51">
        <v>44512.0</v>
      </c>
      <c r="E508" s="6">
        <v>12.0</v>
      </c>
      <c r="F508" s="6">
        <v>60.0</v>
      </c>
      <c r="G508" s="52">
        <v>44876.0</v>
      </c>
      <c r="H508" s="52">
        <v>46338.0</v>
      </c>
      <c r="I508" s="49">
        <v>99519.72</v>
      </c>
    </row>
    <row r="509">
      <c r="A509" s="6">
        <v>520.0</v>
      </c>
      <c r="B509" s="50" t="str">
        <f>IFERROR(VLOOKUP($A509,EVENTO!$A$2:$C$4999,2,FALSE),"")</f>
        <v>ADITIVO DE QUANTIDADE</v>
      </c>
      <c r="C509" s="50" t="str">
        <f>IFERROR(VLOOKUP($A509,EVENTO!$A$2:$C$4999,3,FALSE),"")</f>
        <v>PREFEITURA MUNICIPAL DE CAUCAIA - SECRETARIA DE SEGURANÇA PÚBLICA DE CAUCAIA</v>
      </c>
      <c r="D509" s="51">
        <v>44732.0</v>
      </c>
      <c r="F509" s="6">
        <v>60.0</v>
      </c>
      <c r="G509" s="52"/>
      <c r="H509" s="52">
        <v>46338.0</v>
      </c>
      <c r="I509" s="49">
        <v>123426.72</v>
      </c>
    </row>
    <row r="510">
      <c r="A510" s="6">
        <v>521.0</v>
      </c>
      <c r="B510" s="50" t="str">
        <f>IFERROR(VLOOKUP($A510,EVENTO!$A$2:$C$4999,2,FALSE),"")</f>
        <v>ADITIVO DE PRAZO</v>
      </c>
      <c r="C510" s="50" t="str">
        <f>IFERROR(VLOOKUP($A510,EVENTO!$A$2:$C$4999,3,FALSE),"")</f>
        <v>PREFEITURA MUNICIPAL DE CAUCAIA - SECRETARIA DE SEGURANÇA PÚBLICA DE CAUCAIA</v>
      </c>
      <c r="D510" s="51">
        <v>44878.0</v>
      </c>
      <c r="E510" s="6">
        <v>12.0</v>
      </c>
      <c r="F510" s="6">
        <v>60.0</v>
      </c>
      <c r="G510" s="52">
        <v>45242.0</v>
      </c>
      <c r="H510" s="52">
        <v>46338.0</v>
      </c>
      <c r="I510" s="49">
        <v>123426.72</v>
      </c>
    </row>
    <row r="511">
      <c r="A511" s="6">
        <v>522.0</v>
      </c>
      <c r="B511" s="50" t="str">
        <f>IFERROR(VLOOKUP($A511,EVENTO!$A$2:$C$4999,2,FALSE),"")</f>
        <v>ADITIVO DE PRAZO</v>
      </c>
      <c r="C511" s="50" t="str">
        <f>IFERROR(VLOOKUP($A511,EVENTO!$A$2:$C$4999,3,FALSE),"")</f>
        <v>PREFEITURA MUNICIPAL DE CAUCAIA - SECRETARIA DE SEGURANÇA PÚBLICA DE CAUCAIA</v>
      </c>
      <c r="D511" s="51">
        <v>45240.0</v>
      </c>
      <c r="E511" s="6">
        <v>12.0</v>
      </c>
      <c r="F511" s="6">
        <v>60.0</v>
      </c>
      <c r="G511" s="52">
        <v>45607.0</v>
      </c>
      <c r="H511" s="52">
        <v>46338.0</v>
      </c>
      <c r="I511" s="49">
        <v>123426.72</v>
      </c>
    </row>
    <row r="512">
      <c r="A512" s="6">
        <v>523.0</v>
      </c>
      <c r="B512" s="50" t="str">
        <f>IFERROR(VLOOKUP($A512,EVENTO!$A$2:$C$4999,2,FALSE),"")</f>
        <v>ADITIVO DE PRAZO</v>
      </c>
      <c r="C512" s="50" t="str">
        <f>IFERROR(VLOOKUP($A512,EVENTO!$A$2:$C$4999,3,FALSE),"")</f>
        <v>PREFEITURA MUNICIPAL DE CAUCAIA - SECRETARIA DE SEGURANÇA PÚBLICA DE CAUCAIA</v>
      </c>
      <c r="D512" s="51">
        <v>45608.0</v>
      </c>
      <c r="E512" s="6">
        <v>12.0</v>
      </c>
      <c r="F512" s="6">
        <v>60.0</v>
      </c>
      <c r="G512" s="52">
        <v>45973.0</v>
      </c>
      <c r="H512" s="52">
        <v>46338.0</v>
      </c>
      <c r="I512" s="49">
        <v>123426.72</v>
      </c>
    </row>
    <row r="513">
      <c r="A513" s="6">
        <v>524.0</v>
      </c>
      <c r="B513" s="50" t="str">
        <f>IFERROR(VLOOKUP($A513,EVENTO!$A$2:$C$4999,2,FALSE),"")</f>
        <v>ADITIVO DE PRAZO</v>
      </c>
      <c r="C513" s="50" t="str">
        <f>IFERROR(VLOOKUP($A513,EVENTO!$A$2:$C$4999,3,FALSE),"")</f>
        <v>PREFEITURA MUNICIPAL DE CAUCAIA - SECRETARIA DE SEGURANÇA PÚBLICA DE CAUCAIA</v>
      </c>
      <c r="D513" s="51">
        <v>45973.0</v>
      </c>
      <c r="E513" s="6">
        <v>5.0</v>
      </c>
      <c r="F513" s="6">
        <v>60.0</v>
      </c>
      <c r="G513" s="52">
        <v>46124.0</v>
      </c>
      <c r="H513" s="52">
        <v>46338.0</v>
      </c>
      <c r="I513" s="49">
        <v>52354.4</v>
      </c>
    </row>
    <row r="514">
      <c r="A514" s="6">
        <v>525.0</v>
      </c>
      <c r="B514" s="50" t="str">
        <f>IFERROR(VLOOKUP($A514,EVENTO!$A$2:$C$4999,2,FALSE),"")</f>
        <v>CADASTRO</v>
      </c>
      <c r="C514" s="50" t="str">
        <f>IFERROR(VLOOKUP($A514,EVENTO!$A$2:$C$4999,3,FALSE),"")</f>
        <v>EsPCEx</v>
      </c>
      <c r="D514" s="51">
        <v>45034.0</v>
      </c>
      <c r="E514" s="6">
        <v>12.0</v>
      </c>
      <c r="F514" s="6">
        <v>60.0</v>
      </c>
      <c r="G514" s="52">
        <v>45398.0</v>
      </c>
      <c r="H514" s="52">
        <v>46861.0</v>
      </c>
      <c r="I514" s="49">
        <v>31160.0</v>
      </c>
    </row>
    <row r="515">
      <c r="A515" s="6">
        <v>526.0</v>
      </c>
      <c r="B515" s="50" t="str">
        <f>IFERROR(VLOOKUP($A515,EVENTO!$A$2:$C$4999,2,FALSE),"")</f>
        <v>ADITIVO DE REAJUSTE E PRAZO</v>
      </c>
      <c r="C515" s="50" t="str">
        <f>IFERROR(VLOOKUP($A515,EVENTO!$A$2:$C$4999,3,FALSE),"")</f>
        <v>EsPCEx</v>
      </c>
      <c r="D515" s="51">
        <v>45399.0</v>
      </c>
      <c r="E515" s="6">
        <v>12.0</v>
      </c>
      <c r="F515" s="6">
        <v>60.0</v>
      </c>
      <c r="G515" s="52">
        <v>45763.0</v>
      </c>
      <c r="H515" s="52">
        <v>46861.0</v>
      </c>
      <c r="I515" s="49">
        <v>31320.0</v>
      </c>
    </row>
    <row r="516">
      <c r="A516" s="6">
        <v>527.0</v>
      </c>
      <c r="B516" s="50" t="str">
        <f>IFERROR(VLOOKUP($A516,EVENTO!$A$2:$C$4999,2,FALSE),"")</f>
        <v>ADITIVO DE REAJUSTE E PRAZO</v>
      </c>
      <c r="C516" s="50" t="str">
        <f>IFERROR(VLOOKUP($A516,EVENTO!$A$2:$C$4999,3,FALSE),"")</f>
        <v>EsPCEx</v>
      </c>
      <c r="D516" s="51">
        <v>45764.0</v>
      </c>
      <c r="E516" s="6">
        <v>12.0</v>
      </c>
      <c r="F516" s="6">
        <v>60.0</v>
      </c>
      <c r="G516" s="52">
        <v>46128.0</v>
      </c>
      <c r="H516" s="52">
        <v>46861.0</v>
      </c>
      <c r="I516" s="49">
        <v>31560.0</v>
      </c>
    </row>
    <row r="517">
      <c r="A517" s="6">
        <v>528.0</v>
      </c>
      <c r="B517" s="50" t="str">
        <f>IFERROR(VLOOKUP($A517,EVENTO!$A$2:$C$4999,2,FALSE),"")</f>
        <v>CADASTRO</v>
      </c>
      <c r="C517" s="50" t="str">
        <f>IFERROR(VLOOKUP($A517,EVENTO!$A$2:$C$4999,3,FALSE),"")</f>
        <v>FUNASA</v>
      </c>
      <c r="D517" s="51">
        <v>44950.0</v>
      </c>
      <c r="E517" s="6">
        <v>12.0</v>
      </c>
      <c r="F517" s="6">
        <v>60.0</v>
      </c>
      <c r="G517" s="52">
        <v>45315.0</v>
      </c>
      <c r="H517" s="52">
        <v>46776.0</v>
      </c>
      <c r="I517" s="49">
        <v>32415.95</v>
      </c>
    </row>
    <row r="518">
      <c r="A518" s="6">
        <v>529.0</v>
      </c>
      <c r="B518" s="50" t="str">
        <f>IFERROR(VLOOKUP($A518,EVENTO!$A$2:$C$4999,2,FALSE),"")</f>
        <v>ADITIVO DE PRAZO</v>
      </c>
      <c r="C518" s="50" t="str">
        <f>IFERROR(VLOOKUP($A518,EVENTO!$A$2:$C$4999,3,FALSE),"")</f>
        <v>FUNASA</v>
      </c>
      <c r="D518" s="51">
        <v>45315.0</v>
      </c>
      <c r="E518" s="6">
        <v>12.0</v>
      </c>
      <c r="F518" s="6">
        <v>60.0</v>
      </c>
      <c r="G518" s="52">
        <v>45681.0</v>
      </c>
      <c r="H518" s="52">
        <v>46776.0</v>
      </c>
      <c r="I518" s="49">
        <v>32415.95</v>
      </c>
    </row>
    <row r="519">
      <c r="A519" s="6">
        <v>530.0</v>
      </c>
      <c r="B519" s="50" t="str">
        <f>IFERROR(VLOOKUP($A519,EVENTO!$A$2:$C$4999,2,FALSE),"")</f>
        <v>ADITIVO DE PRAZO</v>
      </c>
      <c r="C519" s="50" t="str">
        <f>IFERROR(VLOOKUP($A519,EVENTO!$A$2:$C$4999,3,FALSE),"")</f>
        <v>FUNASA</v>
      </c>
      <c r="D519" s="51">
        <v>45681.0</v>
      </c>
      <c r="E519" s="6">
        <v>12.0</v>
      </c>
      <c r="F519" s="6">
        <v>60.0</v>
      </c>
      <c r="G519" s="52">
        <v>46046.0</v>
      </c>
      <c r="H519" s="52">
        <v>46776.0</v>
      </c>
      <c r="I519" s="49">
        <v>32415.95</v>
      </c>
    </row>
    <row r="520">
      <c r="A520" s="6">
        <v>531.0</v>
      </c>
      <c r="B520" s="50" t="str">
        <f>IFERROR(VLOOKUP($A520,EVENTO!$A$2:$C$4999,2,FALSE),"")</f>
        <v>CADASTRO</v>
      </c>
      <c r="C520" s="50" t="str">
        <f>IFERROR(VLOOKUP($A520,EVENTO!$A$2:$C$4999,3,FALSE),"")</f>
        <v>20º RCB</v>
      </c>
      <c r="D520" s="51">
        <v>45407.0</v>
      </c>
      <c r="E520" s="6">
        <v>12.0</v>
      </c>
      <c r="F520" s="6">
        <v>60.0</v>
      </c>
      <c r="G520" s="52">
        <v>45773.0</v>
      </c>
      <c r="H520" s="52">
        <v>47232.0</v>
      </c>
      <c r="I520" s="49">
        <v>45840.0</v>
      </c>
    </row>
    <row r="521">
      <c r="A521" s="6">
        <v>532.0</v>
      </c>
      <c r="B521" s="50" t="str">
        <f>IFERROR(VLOOKUP($A521,EVENTO!$A$2:$C$4999,2,FALSE),"")</f>
        <v>ADITIVO DE REAJUSTE E PRAZO</v>
      </c>
      <c r="C521" s="50" t="str">
        <f>IFERROR(VLOOKUP($A521,EVENTO!$A$2:$C$4999,3,FALSE),"")</f>
        <v>20º RCB</v>
      </c>
      <c r="D521" s="51">
        <v>45775.0</v>
      </c>
      <c r="E521" s="6">
        <v>12.0</v>
      </c>
      <c r="F521" s="6">
        <v>60.0</v>
      </c>
      <c r="G521" s="52">
        <v>46140.0</v>
      </c>
      <c r="H521" s="52">
        <v>47232.0</v>
      </c>
      <c r="I521" s="49">
        <v>49774.21</v>
      </c>
    </row>
    <row r="522">
      <c r="A522" s="6">
        <v>533.0</v>
      </c>
      <c r="B522" s="50" t="str">
        <f>IFERROR(VLOOKUP($A522,EVENTO!$A$2:$C$4999,2,FALSE),"")</f>
        <v>CADASTRO</v>
      </c>
      <c r="C522" s="50" t="str">
        <f>IFERROR(VLOOKUP($A522,EVENTO!$A$2:$C$4999,3,FALSE),"")</f>
        <v>COREN DF</v>
      </c>
      <c r="D522" s="51">
        <v>45033.0</v>
      </c>
      <c r="E522" s="6">
        <v>48.0</v>
      </c>
      <c r="F522" s="6">
        <v>60.0</v>
      </c>
      <c r="G522" s="52">
        <v>46494.0</v>
      </c>
      <c r="H522" s="52">
        <v>46860.0</v>
      </c>
      <c r="I522" s="49">
        <v>132480.0</v>
      </c>
    </row>
    <row r="523">
      <c r="A523" s="6">
        <v>534.0</v>
      </c>
      <c r="B523" s="50" t="str">
        <f>IFERROR(VLOOKUP($A523,EVENTO!$A$2:$C$4999,2,FALSE),"")</f>
        <v>APOSTILAMENTO</v>
      </c>
      <c r="C523" s="50" t="str">
        <f>IFERROR(VLOOKUP($A523,EVENTO!$A$2:$C$4999,3,FALSE),"")</f>
        <v>COREN DF</v>
      </c>
      <c r="D523" s="51">
        <v>45399.0</v>
      </c>
      <c r="E523" s="6">
        <v>48.0</v>
      </c>
      <c r="F523" s="6">
        <v>60.0</v>
      </c>
      <c r="G523" s="52">
        <v>46494.0</v>
      </c>
      <c r="H523" s="52">
        <v>46860.0</v>
      </c>
      <c r="I523" s="49">
        <v>133642.44</v>
      </c>
    </row>
    <row r="524">
      <c r="A524" s="6">
        <v>535.0</v>
      </c>
      <c r="B524" s="50" t="str">
        <f>IFERROR(VLOOKUP($A524,EVENTO!$A$2:$C$4999,2,FALSE),"")</f>
        <v>APOSTILAMENTO</v>
      </c>
      <c r="C524" s="50" t="str">
        <f>IFERROR(VLOOKUP($A524,EVENTO!$A$2:$C$4999,3,FALSE),"")</f>
        <v>COREN DF</v>
      </c>
      <c r="D524" s="51">
        <v>45764.0</v>
      </c>
      <c r="E524" s="6">
        <v>48.0</v>
      </c>
      <c r="F524" s="6">
        <v>60.0</v>
      </c>
      <c r="G524" s="52">
        <v>46493.0</v>
      </c>
      <c r="H524" s="52">
        <v>46860.0</v>
      </c>
      <c r="I524" s="49">
        <v>138507.72</v>
      </c>
    </row>
    <row r="525">
      <c r="A525" s="6">
        <v>536.0</v>
      </c>
      <c r="B525" s="50" t="str">
        <f>IFERROR(VLOOKUP($A525,EVENTO!$A$2:$C$4999,2,FALSE),"")</f>
        <v>CADASTRO</v>
      </c>
      <c r="C525" s="50" t="str">
        <f>IFERROR(VLOOKUP($A525,EVENTO!$A$2:$C$4999,3,FALSE),"")</f>
        <v>PRIMEIRO CENTRO INTEGRADO DE DEFESA AÉREA E CONTROLE DE TRÁFEGO AÉREO - CINDACT 1 </v>
      </c>
      <c r="D525" s="51">
        <v>45320.0</v>
      </c>
      <c r="E525" s="6">
        <v>48.0</v>
      </c>
      <c r="F525" s="6">
        <v>60.0</v>
      </c>
      <c r="G525" s="52">
        <v>46780.0</v>
      </c>
      <c r="H525" s="52">
        <v>47146.0</v>
      </c>
      <c r="I525" s="49">
        <v>77246.4</v>
      </c>
    </row>
    <row r="526">
      <c r="A526" s="6">
        <v>537.0</v>
      </c>
      <c r="B526" s="50" t="str">
        <f>IFERROR(VLOOKUP($A526,EVENTO!$A$2:$C$4999,2,FALSE),"")</f>
        <v>CADASTRO</v>
      </c>
      <c r="C526" s="50" t="str">
        <f>IFERROR(VLOOKUP($A526,EVENTO!$A$2:$C$4999,3,FALSE),"")</f>
        <v>CRN1 DF</v>
      </c>
      <c r="D526" s="51">
        <v>45582.0</v>
      </c>
      <c r="E526" s="6">
        <v>36.0</v>
      </c>
      <c r="F526" s="6">
        <v>120.0</v>
      </c>
      <c r="G526" s="52">
        <v>46677.0</v>
      </c>
      <c r="H526" s="52">
        <v>49234.0</v>
      </c>
      <c r="I526" s="49">
        <v>5779.92</v>
      </c>
    </row>
    <row r="527">
      <c r="A527" s="6">
        <v>538.0</v>
      </c>
      <c r="B527" s="50" t="str">
        <f>IFERROR(VLOOKUP($A527,EVENTO!$A$2:$C$4999,2,FALSE),"")</f>
        <v>CADASTRO</v>
      </c>
      <c r="C527" s="50" t="str">
        <f>IFERROR(VLOOKUP($A527,EVENTO!$A$2:$C$4999,3,FALSE),"")</f>
        <v>CENTRO DE LANÇAMENTO DE ALCÂNTARA - CLA </v>
      </c>
      <c r="D527" s="51">
        <v>45470.0</v>
      </c>
      <c r="E527" s="6">
        <v>24.0</v>
      </c>
      <c r="F527" s="6">
        <v>120.0</v>
      </c>
      <c r="G527" s="52">
        <v>46199.0</v>
      </c>
      <c r="H527" s="52">
        <v>49121.0</v>
      </c>
      <c r="I527" s="49">
        <v>55411.2</v>
      </c>
    </row>
    <row r="528">
      <c r="A528" s="6">
        <v>539.0</v>
      </c>
      <c r="B528" s="50" t="str">
        <f>IFERROR(VLOOKUP($A528,EVENTO!$A$2:$C$4999,2,FALSE),"")</f>
        <v>ADITIVO DE REAJUSTE E QUANTIDADE</v>
      </c>
      <c r="C528" s="50" t="str">
        <f>IFERROR(VLOOKUP($A528,EVENTO!$A$2:$C$4999,3,FALSE),"")</f>
        <v>CENTRO DE LANÇAMENTO DE ALCÂNTARA - CLA </v>
      </c>
      <c r="D528" s="51">
        <v>45946.0</v>
      </c>
      <c r="E528" s="6">
        <v>8.0</v>
      </c>
      <c r="F528" s="6">
        <v>120.0</v>
      </c>
      <c r="G528" s="52">
        <v>46199.0</v>
      </c>
      <c r="H528" s="52">
        <v>49121.0</v>
      </c>
      <c r="I528" s="49">
        <v>67513.6</v>
      </c>
    </row>
    <row r="529">
      <c r="A529" s="6">
        <v>540.0</v>
      </c>
      <c r="B529" s="50" t="str">
        <f>IFERROR(VLOOKUP($A529,EVENTO!$A$2:$C$4999,2,FALSE),"")</f>
        <v>CADASTRO</v>
      </c>
      <c r="C529" s="50" t="str">
        <f>IFERROR(VLOOKUP($A529,EVENTO!$A$2:$C$4999,3,FALSE),"")</f>
        <v>CISNORDESTE</v>
      </c>
      <c r="D529" s="51">
        <v>45320.0</v>
      </c>
      <c r="E529" s="6">
        <v>12.0</v>
      </c>
      <c r="F529" s="6">
        <v>120.0</v>
      </c>
      <c r="G529" s="52">
        <v>45657.0</v>
      </c>
      <c r="H529" s="52">
        <v>48973.0</v>
      </c>
      <c r="I529" s="49">
        <v>2848.0</v>
      </c>
    </row>
    <row r="530">
      <c r="A530" s="6">
        <v>541.0</v>
      </c>
      <c r="B530" s="50" t="str">
        <f>IFERROR(VLOOKUP($A530,EVENTO!$A$2:$C$4999,2,FALSE),"")</f>
        <v>ADITIVO DE PRAZO</v>
      </c>
      <c r="C530" s="50" t="str">
        <f>IFERROR(VLOOKUP($A530,EVENTO!$A$2:$C$4999,3,FALSE),"")</f>
        <v>CISNORDESTE</v>
      </c>
      <c r="D530" s="51">
        <v>45658.0</v>
      </c>
      <c r="E530" s="6">
        <v>60.0</v>
      </c>
      <c r="F530" s="6">
        <v>120.0</v>
      </c>
      <c r="G530" s="52">
        <v>47484.0</v>
      </c>
      <c r="H530" s="52">
        <v>48973.0</v>
      </c>
      <c r="I530" s="49">
        <v>2848.0</v>
      </c>
    </row>
    <row r="531">
      <c r="A531" s="6">
        <v>542.0</v>
      </c>
      <c r="B531" s="50" t="str">
        <f>IFERROR(VLOOKUP($A531,EVENTO!$A$2:$C$4999,2,FALSE),"")</f>
        <v>APOSTILAMENTO</v>
      </c>
      <c r="C531" s="50" t="str">
        <f>IFERROR(VLOOKUP($A531,EVENTO!$A$2:$C$4999,3,FALSE),"")</f>
        <v>CISNORDESTE</v>
      </c>
      <c r="D531" s="51">
        <v>45669.0</v>
      </c>
      <c r="E531" s="6">
        <v>12.0</v>
      </c>
      <c r="F531" s="6">
        <v>120.0</v>
      </c>
      <c r="G531" s="52">
        <v>46034.0</v>
      </c>
      <c r="H531" s="52">
        <v>48973.0</v>
      </c>
      <c r="I531" s="49">
        <v>2951.0</v>
      </c>
    </row>
    <row r="532">
      <c r="A532" s="6">
        <v>543.0</v>
      </c>
      <c r="B532" s="50" t="str">
        <f>IFERROR(VLOOKUP($A532,EVENTO!$A$2:$C$4999,2,FALSE),"")</f>
        <v>CADASTRO</v>
      </c>
      <c r="C532" s="50" t="str">
        <f>IFERROR(VLOOKUP($A532,EVENTO!$A$2:$C$4999,3,FALSE),"")</f>
        <v>CREF</v>
      </c>
      <c r="D532" s="51">
        <v>45575.0</v>
      </c>
      <c r="E532" s="6">
        <v>12.0</v>
      </c>
      <c r="F532" s="6">
        <v>120.0</v>
      </c>
      <c r="G532" s="52">
        <v>45947.0</v>
      </c>
      <c r="H532" s="52">
        <v>49227.0</v>
      </c>
      <c r="I532" s="49">
        <v>7798.92</v>
      </c>
    </row>
    <row r="533">
      <c r="A533" s="6">
        <v>545.0</v>
      </c>
      <c r="B533" s="50" t="str">
        <f>IFERROR(VLOOKUP($A533,EVENTO!$A$2:$C$4999,2,FALSE),"")</f>
        <v>CADASTRO</v>
      </c>
      <c r="C533" s="50" t="str">
        <f>IFERROR(VLOOKUP($A533,EVENTO!$A$2:$C$4999,3,FALSE),"")</f>
        <v>PREFEITURA MUNICIPAL DE TAUÁ - SECRETARIA DE DIREITOS HUMANOS, CIDADANIA E DIVERSIDADE</v>
      </c>
      <c r="D533" s="51">
        <v>46035.0</v>
      </c>
      <c r="E533" s="6">
        <v>12.0</v>
      </c>
      <c r="F533" s="6">
        <v>120.0</v>
      </c>
      <c r="G533" s="52">
        <v>46399.0</v>
      </c>
      <c r="H533" s="52">
        <v>49686.0</v>
      </c>
      <c r="I533" s="49">
        <v>16296.0</v>
      </c>
    </row>
    <row r="534">
      <c r="A534" s="6">
        <v>546.0</v>
      </c>
      <c r="B534" s="50" t="str">
        <f>IFERROR(VLOOKUP($A534,EVENTO!$A$2:$C$4999,2,FALSE),"")</f>
        <v>ADITIVO DE PRAZO</v>
      </c>
      <c r="C534" s="50" t="str">
        <f>IFERROR(VLOOKUP($A534,EVENTO!$A$2:$C$4999,3,FALSE),"")</f>
        <v>PREFEITURA MUNICIPAL DE ACOPIARA - PROCURADORIA</v>
      </c>
      <c r="D534" s="51">
        <v>46027.0</v>
      </c>
      <c r="E534" s="6">
        <v>12.0</v>
      </c>
      <c r="F534" s="6">
        <v>120.0</v>
      </c>
      <c r="G534" s="52">
        <v>46391.0</v>
      </c>
      <c r="H534" s="52">
        <v>47123.0</v>
      </c>
      <c r="I534" s="49">
        <v>79656.0</v>
      </c>
    </row>
    <row r="535">
      <c r="A535" s="6">
        <v>547.0</v>
      </c>
      <c r="B535" s="50" t="str">
        <f>IFERROR(VLOOKUP($A535,EVENTO!$A$2:$C$4999,2,FALSE),"")</f>
        <v>ADITIVO DE PRAZO</v>
      </c>
      <c r="C535" s="50" t="str">
        <f>IFERROR(VLOOKUP($A535,EVENTO!$A$2:$C$4999,3,FALSE),"")</f>
        <v>PREFEITURA MUNICIPAL DE ACOPIARA - SAÚDE</v>
      </c>
      <c r="D535" s="51">
        <v>46027.0</v>
      </c>
      <c r="E535" s="6">
        <v>12.0</v>
      </c>
      <c r="F535" s="6">
        <v>120.0</v>
      </c>
      <c r="G535" s="52">
        <v>46391.0</v>
      </c>
      <c r="H535" s="52">
        <v>47123.0</v>
      </c>
      <c r="I535" s="49">
        <v>448199.4</v>
      </c>
    </row>
    <row r="536">
      <c r="A536" s="6">
        <v>548.0</v>
      </c>
      <c r="B536" s="50" t="str">
        <f>IFERROR(VLOOKUP($A536,EVENTO!$A$2:$C$4999,2,FALSE),"")</f>
        <v>ADITIVO DE PRAZO</v>
      </c>
      <c r="C536" s="50" t="str">
        <f>IFERROR(VLOOKUP($A536,EVENTO!$A$2:$C$4999,3,FALSE),"")</f>
        <v>PREFEITURA MUNICIPAL DE ACOPIARA - TRANSPORTE E LOGISTICA</v>
      </c>
      <c r="D536" s="51">
        <v>46027.0</v>
      </c>
      <c r="E536" s="6">
        <v>12.0</v>
      </c>
      <c r="F536" s="6">
        <v>120.0</v>
      </c>
      <c r="G536" s="52">
        <v>46391.0</v>
      </c>
      <c r="H536" s="52">
        <v>47123.0</v>
      </c>
      <c r="I536" s="49">
        <v>16517.76</v>
      </c>
    </row>
    <row r="537">
      <c r="A537" s="6">
        <v>549.0</v>
      </c>
      <c r="B537" s="50" t="str">
        <f>IFERROR(VLOOKUP($A537,EVENTO!$A$2:$C$4999,2,FALSE),"")</f>
        <v>ADITIVO DE PRAZO</v>
      </c>
      <c r="C537" s="50" t="str">
        <f>IFERROR(VLOOKUP($A537,EVENTO!$A$2:$C$4999,3,FALSE),"")</f>
        <v>PREFEITURA MUNICIPAL DE ACOPIARA - TRABALHO E DESENVOLVIMENTO SOCIAL</v>
      </c>
      <c r="D537" s="51">
        <v>46027.0</v>
      </c>
      <c r="E537" s="6">
        <v>12.0</v>
      </c>
      <c r="F537" s="6">
        <v>120.0</v>
      </c>
      <c r="G537" s="52">
        <v>46391.0</v>
      </c>
      <c r="H537" s="52">
        <v>47123.0</v>
      </c>
      <c r="I537" s="49">
        <v>131242.32</v>
      </c>
    </row>
    <row r="538">
      <c r="A538" s="6">
        <v>550.0</v>
      </c>
      <c r="B538" s="50" t="str">
        <f>IFERROR(VLOOKUP($A538,EVENTO!$A$2:$C$4999,2,FALSE),"")</f>
        <v>ADITIVO DE PRAZO</v>
      </c>
      <c r="C538" s="50" t="str">
        <f>IFERROR(VLOOKUP($A538,EVENTO!$A$2:$C$4999,3,FALSE),"")</f>
        <v>PREFEITURA MUNICIPAL DE ACOPIARA - TRABALHO E DESENVOLVIMENTO SOCIAL - PROGRAMAS</v>
      </c>
      <c r="D538" s="51">
        <v>46027.0</v>
      </c>
      <c r="E538" s="6">
        <v>12.0</v>
      </c>
      <c r="F538" s="6">
        <v>120.0</v>
      </c>
      <c r="G538" s="52">
        <v>46391.0</v>
      </c>
      <c r="H538" s="52">
        <v>47123.0</v>
      </c>
      <c r="I538" s="49">
        <v>123383.76</v>
      </c>
    </row>
    <row r="539">
      <c r="A539" s="6">
        <v>551.0</v>
      </c>
      <c r="B539" s="50" t="str">
        <f>IFERROR(VLOOKUP($A539,EVENTO!$A$2:$C$4999,2,FALSE),"")</f>
        <v>CADASTRO</v>
      </c>
      <c r="C539" s="50" t="str">
        <f>IFERROR(VLOOKUP($A539,EVENTO!$A$2:$C$4999,3,FALSE),"")</f>
        <v>SECRETARIA EXTRAORDINÁRIA DE REPRESENTAÇÃO DO GOVERNO DO ESTADO DO AMAPÁ EM BRASÍLIA – SEAB</v>
      </c>
      <c r="D539" s="51">
        <v>45645.0</v>
      </c>
      <c r="E539" s="6">
        <v>12.0</v>
      </c>
      <c r="F539" s="6">
        <v>120.0</v>
      </c>
      <c r="G539" s="52">
        <v>46009.0</v>
      </c>
      <c r="H539" s="52">
        <v>49296.0</v>
      </c>
      <c r="I539" s="49">
        <v>10343.52</v>
      </c>
    </row>
    <row r="540">
      <c r="A540" s="6">
        <v>552.0</v>
      </c>
      <c r="B540" s="50" t="str">
        <f>IFERROR(VLOOKUP($A540,EVENTO!$A$2:$C$4999,2,FALSE),"")</f>
        <v>ADITIVO DE QUANTIDADE</v>
      </c>
      <c r="C540" s="50" t="str">
        <f>IFERROR(VLOOKUP($A540,EVENTO!$A$2:$C$4999,3,FALSE),"")</f>
        <v>SECRETARIA EXTRAORDINÁRIA DE REPRESENTAÇÃO DO GOVERNO DO ESTADO DO AMAPÁ EM BRASÍLIA – SEAB</v>
      </c>
      <c r="D540" s="51">
        <v>45820.0</v>
      </c>
      <c r="E540" s="6">
        <v>6.0</v>
      </c>
      <c r="F540" s="6">
        <v>120.0</v>
      </c>
      <c r="G540" s="52">
        <v>46009.0</v>
      </c>
      <c r="H540" s="52">
        <v>49296.0</v>
      </c>
      <c r="I540" s="49">
        <v>12929.4</v>
      </c>
    </row>
    <row r="541">
      <c r="A541" s="6">
        <v>553.0</v>
      </c>
      <c r="B541" s="50" t="str">
        <f>IFERROR(VLOOKUP($A541,EVENTO!$A$2:$C$4999,2,FALSE),"")</f>
        <v>ADITIVO DE REAJUSTE E PRAZO</v>
      </c>
      <c r="C541" s="50" t="str">
        <f>IFERROR(VLOOKUP($A541,EVENTO!$A$2:$C$4999,3,FALSE),"")</f>
        <v>SECRETARIA EXTRAORDINÁRIA DE REPRESENTAÇÃO DO GOVERNO DO ESTADO DO AMAPÁ EM BRASÍLIA – SEAB</v>
      </c>
      <c r="D541" s="54">
        <v>46003.0</v>
      </c>
      <c r="E541" s="6">
        <v>12.0</v>
      </c>
      <c r="F541" s="6">
        <v>120.0</v>
      </c>
      <c r="G541" s="52">
        <v>46367.0</v>
      </c>
      <c r="H541" s="52">
        <v>49289.0</v>
      </c>
      <c r="I541" s="49">
        <v>13047.88</v>
      </c>
      <c r="J541" s="49"/>
    </row>
    <row r="542">
      <c r="A542" s="6">
        <v>554.0</v>
      </c>
      <c r="B542" s="50" t="str">
        <f>IFERROR(VLOOKUP($A542,EVENTO!$A$2:$C$4999,2,FALSE),"")</f>
        <v>CADASTRO</v>
      </c>
      <c r="C542" s="50" t="str">
        <f>IFERROR(VLOOKUP($A542,EVENTO!$A$2:$C$4999,3,FALSE),"")</f>
        <v>SECRETARIA DO DESENVOLVIMENTO ECONÔMICO - SDE</v>
      </c>
      <c r="D542" s="51">
        <v>45810.0</v>
      </c>
      <c r="E542" s="6">
        <v>12.0</v>
      </c>
      <c r="F542" s="6">
        <v>120.0</v>
      </c>
      <c r="G542" s="52">
        <v>46174.0</v>
      </c>
      <c r="H542" s="52">
        <v>49461.0</v>
      </c>
      <c r="I542" s="49">
        <v>46800.0</v>
      </c>
      <c r="J542" s="49"/>
    </row>
    <row r="543">
      <c r="A543" s="6">
        <v>555.0</v>
      </c>
      <c r="B543" s="50" t="str">
        <f>IFERROR(VLOOKUP($A543,EVENTO!$A$2:$C$4999,2,FALSE),"")</f>
        <v>CADASTRO</v>
      </c>
      <c r="C543" s="50" t="str">
        <f>IFERROR(VLOOKUP($A543,EVENTO!$A$2:$C$4999,3,FALSE),"")</f>
        <v>SUPERINTENDÊNCIA ESTADUAL DO MINISTÉRIO DA SAÚDE NO CEARÁ - SEMS/CE</v>
      </c>
      <c r="D543" s="51">
        <v>45377.0</v>
      </c>
      <c r="E543" s="6">
        <v>12.0</v>
      </c>
      <c r="F543" s="6">
        <v>120.0</v>
      </c>
      <c r="G543" s="52">
        <v>45741.0</v>
      </c>
      <c r="H543" s="52">
        <v>49028.0</v>
      </c>
      <c r="I543" s="49">
        <v>13734.0</v>
      </c>
      <c r="J543" s="49"/>
    </row>
    <row r="544">
      <c r="A544" s="6">
        <v>556.0</v>
      </c>
      <c r="B544" s="50" t="str">
        <f>IFERROR(VLOOKUP($A544,EVENTO!$A$2:$C$4999,2,FALSE),"")</f>
        <v>CADASTRO</v>
      </c>
      <c r="C544" s="50" t="str">
        <f>IFERROR(VLOOKUP($A544,EVENTO!$A$2:$C$4999,3,FALSE),"")</f>
        <v>MARANHÃO PARCEIRIAS - MAPA</v>
      </c>
      <c r="D544" s="54">
        <v>45209.0</v>
      </c>
      <c r="E544" s="6">
        <v>12.0</v>
      </c>
      <c r="F544" s="6">
        <v>60.0</v>
      </c>
      <c r="G544" s="52">
        <v>45574.0</v>
      </c>
      <c r="H544" s="52">
        <v>47035.0</v>
      </c>
      <c r="I544" s="49">
        <v>45900.0</v>
      </c>
      <c r="J544" s="49"/>
    </row>
    <row r="545">
      <c r="A545" s="6">
        <v>557.0</v>
      </c>
      <c r="B545" s="50" t="str">
        <f>IFERROR(VLOOKUP($A545,EVENTO!$A$2:$C$4999,2,FALSE),"")</f>
        <v>ADITIVO DE PRAZO</v>
      </c>
      <c r="C545" s="50" t="str">
        <f>IFERROR(VLOOKUP($A545,EVENTO!$A$2:$C$4999,3,FALSE),"")</f>
        <v>MARANHÃO PARCEIRIAS - MAPA</v>
      </c>
      <c r="D545" s="51">
        <v>45575.0</v>
      </c>
      <c r="E545" s="6">
        <v>12.0</v>
      </c>
      <c r="F545" s="6">
        <v>60.0</v>
      </c>
      <c r="G545" s="52">
        <v>45939.0</v>
      </c>
      <c r="H545" s="52">
        <v>47035.0</v>
      </c>
      <c r="I545" s="49">
        <v>45900.0</v>
      </c>
      <c r="J545" s="49"/>
    </row>
    <row r="546">
      <c r="A546" s="6">
        <v>558.0</v>
      </c>
      <c r="B546" s="50" t="str">
        <f>IFERROR(VLOOKUP($A546,EVENTO!$A$2:$C$4999,2,FALSE),"")</f>
        <v>APOSTILAMENTO</v>
      </c>
      <c r="C546" s="50" t="str">
        <f>IFERROR(VLOOKUP($A546,EVENTO!$A$2:$C$4999,3,FALSE),"")</f>
        <v>MARANHÃO PARCEIRIAS - MAPA</v>
      </c>
      <c r="D546" s="51">
        <v>45677.0</v>
      </c>
      <c r="F546" s="6">
        <v>60.0</v>
      </c>
      <c r="G546" s="52"/>
      <c r="H546" s="52">
        <v>47035.0</v>
      </c>
      <c r="I546" s="49">
        <v>45900.0</v>
      </c>
      <c r="J546" s="49"/>
    </row>
    <row r="547">
      <c r="A547" s="6">
        <v>559.0</v>
      </c>
      <c r="B547" s="50" t="str">
        <f>IFERROR(VLOOKUP($A547,EVENTO!$A$2:$C$4999,2,FALSE),"")</f>
        <v>ADITIVO DE REAJUSTE E PRAZO</v>
      </c>
      <c r="C547" s="50" t="str">
        <f>IFERROR(VLOOKUP($A547,EVENTO!$A$2:$C$4999,3,FALSE),"")</f>
        <v>MARANHÃO PARCEIRIAS - MAPA</v>
      </c>
      <c r="D547" s="54">
        <v>45940.0</v>
      </c>
      <c r="E547" s="6">
        <v>12.0</v>
      </c>
      <c r="F547" s="6">
        <v>60.0</v>
      </c>
      <c r="G547" s="52">
        <v>46305.0</v>
      </c>
      <c r="H547" s="52">
        <v>47035.0</v>
      </c>
      <c r="I547" s="49">
        <v>48067.41</v>
      </c>
      <c r="J547" s="49"/>
    </row>
    <row r="548">
      <c r="A548" s="6">
        <v>560.0</v>
      </c>
      <c r="B548" s="50" t="str">
        <f>IFERROR(VLOOKUP($A548,EVENTO!$A$2:$C$4999,2,FALSE),"")</f>
        <v>CADASTRO</v>
      </c>
      <c r="C548" s="50" t="str">
        <f>IFERROR(VLOOKUP($A548,EVENTO!$A$2:$C$4999,3,FALSE),"")</f>
        <v>REPRESENTAÇÃO DO MUNICÍPIO DE PALMAS - SECRETARIA MUNICIPAL DO GABINETE DO PREFEITO EM BRASILIA </v>
      </c>
      <c r="D548" s="63">
        <v>45854.0</v>
      </c>
      <c r="E548" s="59">
        <v>24.0</v>
      </c>
      <c r="F548" s="59">
        <v>120.0</v>
      </c>
      <c r="G548" s="63">
        <v>46583.0</v>
      </c>
      <c r="H548" s="63">
        <v>49505.0</v>
      </c>
      <c r="I548" s="49">
        <v>20652.0</v>
      </c>
      <c r="J548" s="49"/>
    </row>
    <row r="549">
      <c r="A549" s="6">
        <v>561.0</v>
      </c>
      <c r="B549" s="50" t="str">
        <f>IFERROR(VLOOKUP($A549,EVENTO!$A$2:$C$4999,2,FALSE),"")</f>
        <v>CADASTRO</v>
      </c>
      <c r="C549" s="50" t="str">
        <f>IFERROR(VLOOKUP($A549,EVENTO!$A$2:$C$4999,3,FALSE),"")</f>
        <v>VICE-PREFEITURA DE SÃO LUIS - GAVIC</v>
      </c>
      <c r="D549" s="54">
        <v>45576.0</v>
      </c>
      <c r="E549" s="6">
        <v>12.0</v>
      </c>
      <c r="F549" s="6">
        <v>60.0</v>
      </c>
      <c r="G549" s="53">
        <v>45940.0</v>
      </c>
      <c r="H549" s="53">
        <v>47401.0</v>
      </c>
      <c r="I549" s="49">
        <v>17899.92</v>
      </c>
      <c r="J549" s="49"/>
    </row>
    <row r="550">
      <c r="A550" s="6">
        <v>562.0</v>
      </c>
      <c r="B550" s="50" t="str">
        <f>IFERROR(VLOOKUP($A550,EVENTO!$A$2:$C$4999,2,FALSE),"")</f>
        <v>ADITIVO DE REAJUSTE E PRAZO</v>
      </c>
      <c r="C550" s="50" t="str">
        <f>IFERROR(VLOOKUP($A550,EVENTO!$A$2:$C$4999,3,FALSE),"")</f>
        <v>VICE-PREFEITURA DE SÃO LUIS - GAVIC</v>
      </c>
      <c r="D550" s="54">
        <v>45941.0</v>
      </c>
      <c r="E550" s="6">
        <v>12.0</v>
      </c>
      <c r="F550" s="6">
        <v>60.0</v>
      </c>
      <c r="G550" s="53">
        <v>46305.0</v>
      </c>
      <c r="H550" s="53">
        <v>47401.0</v>
      </c>
      <c r="I550" s="49">
        <v>18404.64</v>
      </c>
      <c r="J550" s="49"/>
    </row>
    <row r="551">
      <c r="A551" s="6">
        <v>563.0</v>
      </c>
      <c r="B551" s="50" t="str">
        <f>IFERROR(VLOOKUP($A551,EVENTO!$A$2:$C$4999,2,FALSE),"")</f>
        <v>CADASTRO</v>
      </c>
      <c r="C551" s="50" t="str">
        <f>IFERROR(VLOOKUP($A551,EVENTO!$A$2:$C$4999,3,FALSE),"")</f>
        <v>SECRETARIA MUNICIPAL DE INOVAÇÃO, SUSTENTABILIDADE E PROJETOS ESPECIAIS – SEMISPE</v>
      </c>
      <c r="D551" s="51">
        <v>45399.0</v>
      </c>
      <c r="E551" s="6">
        <v>12.0</v>
      </c>
      <c r="F551" s="6">
        <v>48.0</v>
      </c>
      <c r="G551" s="52">
        <v>45763.0</v>
      </c>
      <c r="H551" s="52">
        <v>46859.0</v>
      </c>
      <c r="I551" s="49">
        <v>40174.8</v>
      </c>
      <c r="J551" s="49"/>
    </row>
    <row r="552">
      <c r="A552" s="6">
        <v>564.0</v>
      </c>
      <c r="B552" s="50" t="str">
        <f>IFERROR(VLOOKUP($A552,EVENTO!$A$2:$C$4999,2,FALSE),"")</f>
        <v>ADITIVO DE PRAZO</v>
      </c>
      <c r="C552" s="50" t="str">
        <f>IFERROR(VLOOKUP($A552,EVENTO!$A$2:$C$4999,3,FALSE),"")</f>
        <v>SECRETARIA MUNICIPAL DE INOVAÇÃO, SUSTENTABILIDADE E PROJETOS ESPECIAIS – SEMISPE</v>
      </c>
      <c r="D552" s="51">
        <v>45766.0</v>
      </c>
      <c r="E552" s="6">
        <v>12.0</v>
      </c>
      <c r="F552" s="6">
        <v>48.0</v>
      </c>
      <c r="G552" s="52">
        <v>46131.0</v>
      </c>
      <c r="H552" s="52">
        <v>46862.0</v>
      </c>
      <c r="I552" s="49">
        <v>40174.8</v>
      </c>
      <c r="J552" s="49"/>
    </row>
    <row r="553">
      <c r="A553" s="6">
        <v>565.0</v>
      </c>
      <c r="B553" s="50" t="str">
        <f>IFERROR(VLOOKUP($A553,EVENTO!$A$2:$C$4999,2,FALSE),"")</f>
        <v>CADASTRO</v>
      </c>
      <c r="C553" s="50" t="str">
        <f>IFERROR(VLOOKUP($A553,EVENTO!$A$2:$C$4999,3,FALSE),"")</f>
        <v>CÂMARA MUNICIPAL DE CASCAVEL </v>
      </c>
      <c r="D553" s="51">
        <v>45789.0</v>
      </c>
      <c r="E553" s="6">
        <v>12.0</v>
      </c>
      <c r="F553" s="6">
        <v>120.0</v>
      </c>
      <c r="G553" s="52">
        <v>46154.0</v>
      </c>
      <c r="H553" s="52">
        <v>49441.0</v>
      </c>
      <c r="I553" s="49">
        <v>11256.0</v>
      </c>
      <c r="J553" s="49"/>
    </row>
    <row r="554">
      <c r="A554" s="6">
        <v>566.0</v>
      </c>
      <c r="B554" s="50" t="str">
        <f>IFERROR(VLOOKUP($A554,EVENTO!$A$2:$C$4999,2,FALSE),"")</f>
        <v>CADASTRO</v>
      </c>
      <c r="C554" s="50" t="str">
        <f>IFERROR(VLOOKUP($A554,EVENTO!$A$2:$C$4999,3,FALSE),"")</f>
        <v>SECRETARIA MUNICIPAL DE SEGURANÇA COM CIDADANIA−048/2024/SEMUSC</v>
      </c>
      <c r="D554" s="51">
        <v>45474.0</v>
      </c>
      <c r="E554" s="6">
        <v>12.0</v>
      </c>
      <c r="F554" s="6">
        <v>120.0</v>
      </c>
      <c r="G554" s="52">
        <v>45838.0</v>
      </c>
      <c r="H554" s="52">
        <v>49125.0</v>
      </c>
      <c r="I554" s="49">
        <v>55800.0</v>
      </c>
      <c r="J554" s="49"/>
    </row>
    <row r="555">
      <c r="A555" s="6">
        <v>567.0</v>
      </c>
      <c r="B555" s="50" t="str">
        <f>IFERROR(VLOOKUP($A555,EVENTO!$A$2:$C$4999,2,FALSE),"")</f>
        <v>ADITIVO DE REAJUSTE E PRAZO</v>
      </c>
      <c r="C555" s="50" t="str">
        <f>IFERROR(VLOOKUP($A555,EVENTO!$A$2:$C$4999,3,FALSE),"")</f>
        <v>SECRETARIA MUNICIPAL DE SEGURANÇA COM CIDADANIA−048/2024/SEMUSC</v>
      </c>
      <c r="D555" s="51">
        <v>45839.0</v>
      </c>
      <c r="E555" s="6">
        <v>12.0</v>
      </c>
      <c r="F555" s="6">
        <v>120.0</v>
      </c>
      <c r="G555" s="52">
        <v>46203.0</v>
      </c>
      <c r="H555" s="52">
        <v>49125.0</v>
      </c>
      <c r="I555" s="49">
        <v>58493.16</v>
      </c>
      <c r="J555" s="49"/>
    </row>
    <row r="556">
      <c r="A556" s="6">
        <v>568.0</v>
      </c>
      <c r="B556" s="50" t="str">
        <f>IFERROR(VLOOKUP($A556,EVENTO!$A$2:$C$4999,2,FALSE),"")</f>
        <v>APOSTILAMENTO</v>
      </c>
      <c r="C556" s="50" t="str">
        <f>IFERROR(VLOOKUP($A556,EVENTO!$A$2:$C$4999,3,FALSE),"")</f>
        <v>SECRETARIA MUNICIPAL DE SEGURANÇA COM CIDADANIA−048/2024/SEMUSC</v>
      </c>
      <c r="D556" s="51">
        <v>45881.0</v>
      </c>
      <c r="E556" s="6" t="s">
        <v>1352</v>
      </c>
      <c r="F556" s="6">
        <v>120.0</v>
      </c>
      <c r="G556" s="52">
        <v>46203.0</v>
      </c>
      <c r="H556" s="52">
        <v>49125.0</v>
      </c>
      <c r="I556" s="49">
        <v>58493.16</v>
      </c>
      <c r="J556" s="49"/>
    </row>
    <row r="557">
      <c r="A557" s="6">
        <v>569.0</v>
      </c>
      <c r="B557" s="50" t="str">
        <f>IFERROR(VLOOKUP($A557,EVENTO!$A$2:$C$4999,2,FALSE),"")</f>
        <v>CADASTRO</v>
      </c>
      <c r="C557" s="50" t="str">
        <f>IFERROR(VLOOKUP($A557,EVENTO!$A$2:$C$4999,3,FALSE),"")</f>
        <v>PREFEITURA MUNICIPAL DE TAUÁ - SECRETARIA DE SEGURANÇA CIDADÃ</v>
      </c>
      <c r="D557" s="51">
        <v>46038.0</v>
      </c>
      <c r="E557" s="6">
        <v>12.0</v>
      </c>
      <c r="F557" s="6">
        <v>120.0</v>
      </c>
      <c r="G557" s="52">
        <v>46402.0</v>
      </c>
      <c r="H557" s="52">
        <v>49689.0</v>
      </c>
      <c r="I557" s="49">
        <v>81288.0</v>
      </c>
      <c r="J557" s="49"/>
    </row>
    <row r="558">
      <c r="A558" s="6">
        <v>570.0</v>
      </c>
      <c r="B558" s="50" t="str">
        <f>IFERROR(VLOOKUP($A558,EVENTO!$A$2:$C$4999,2,FALSE),"")</f>
        <v>ADITIVO DE SUPRESSÃO</v>
      </c>
      <c r="C558" s="50" t="str">
        <f>IFERROR(VLOOKUP($A558,EVENTO!$A$2:$C$4999,3,FALSE),"")</f>
        <v>PREFEITURA MUNICIPAL DE TAUÁ - SECRETARIA DE SEGURANÇA CIDADÃ</v>
      </c>
      <c r="D558" s="51">
        <v>46038.0</v>
      </c>
      <c r="E558" s="6">
        <v>12.0</v>
      </c>
      <c r="F558" s="6">
        <v>120.0</v>
      </c>
      <c r="G558" s="52">
        <v>46402.0</v>
      </c>
      <c r="H558" s="52">
        <v>49689.0</v>
      </c>
      <c r="I558" s="49">
        <v>60966.0</v>
      </c>
      <c r="J558" s="49"/>
    </row>
    <row r="559">
      <c r="A559" s="6">
        <v>571.0</v>
      </c>
      <c r="B559" s="50" t="str">
        <f>IFERROR(VLOOKUP($A559,EVENTO!$A$2:$C$4999,2,FALSE),"")</f>
        <v>CADASTRO</v>
      </c>
      <c r="C559" s="50" t="str">
        <f>IFERROR(VLOOKUP($A559,EVENTO!$A$2:$C$4999,3,FALSE),"")</f>
        <v>GOVERNO MUNICIPAL DE CANINDÉ - SECRETARIA DO MEIO AMBIENTE </v>
      </c>
      <c r="D559" s="51">
        <v>45770.0</v>
      </c>
      <c r="E559" s="6">
        <v>12.0</v>
      </c>
      <c r="F559" s="6">
        <v>120.0</v>
      </c>
      <c r="G559" s="52">
        <v>46135.0</v>
      </c>
      <c r="H559" s="52">
        <v>49422.0</v>
      </c>
      <c r="I559" s="49">
        <v>6600.0</v>
      </c>
      <c r="J559" s="49"/>
    </row>
    <row r="560">
      <c r="A560" s="6">
        <v>572.0</v>
      </c>
      <c r="B560" s="50" t="str">
        <f>IFERROR(VLOOKUP($A560,EVENTO!$A$2:$C$4999,2,FALSE),"")</f>
        <v>CADASTRO</v>
      </c>
      <c r="C560" s="50" t="str">
        <f>IFERROR(VLOOKUP($A560,EVENTO!$A$2:$C$4999,3,FALSE),"")</f>
        <v>MUNICIPIO DE GRANJA - CÂMARA MUNICIPAL DE GRANJA </v>
      </c>
      <c r="D560" s="51">
        <v>45784.0</v>
      </c>
      <c r="E560" s="6">
        <v>6.0</v>
      </c>
      <c r="F560" s="6">
        <v>120.0</v>
      </c>
      <c r="G560" s="52">
        <v>45968.0</v>
      </c>
      <c r="H560" s="52">
        <v>49436.0</v>
      </c>
      <c r="I560" s="49">
        <v>3360.0</v>
      </c>
      <c r="J560" s="49"/>
    </row>
    <row r="561">
      <c r="A561" s="6">
        <v>573.0</v>
      </c>
      <c r="B561" s="50" t="str">
        <f>IFERROR(VLOOKUP($A561,EVENTO!$A$2:$C$4999,2,FALSE),"")</f>
        <v>CADASTRO</v>
      </c>
      <c r="C561" s="50" t="str">
        <f>IFERROR(VLOOKUP($A561,EVENTO!$A$2:$C$4999,3,FALSE),"")</f>
        <v>MUNICÍPIO DE CRATO - SECRETARIA DE EDUCAÇÃO</v>
      </c>
      <c r="D561" s="51">
        <v>44944.0</v>
      </c>
      <c r="E561" s="6">
        <v>12.0</v>
      </c>
      <c r="F561" s="6">
        <v>60.0</v>
      </c>
      <c r="G561" s="52">
        <v>45308.0</v>
      </c>
      <c r="H561" s="52">
        <v>46769.0</v>
      </c>
      <c r="I561" s="49">
        <v>21199.92</v>
      </c>
      <c r="J561" s="49"/>
    </row>
    <row r="562">
      <c r="A562" s="6">
        <v>574.0</v>
      </c>
      <c r="B562" s="50" t="str">
        <f>IFERROR(VLOOKUP($A562,EVENTO!$A$2:$C$4999,2,FALSE),"")</f>
        <v>ADITIVO DE PRAZO</v>
      </c>
      <c r="C562" s="50" t="str">
        <f>IFERROR(VLOOKUP($A562,EVENTO!$A$2:$C$4999,3,FALSE),"")</f>
        <v>MUNICÍPIO DE CRATO - SECRETARIA DE EDUCAÇÃO</v>
      </c>
      <c r="D562" s="51">
        <v>45309.0</v>
      </c>
      <c r="E562" s="6">
        <v>12.0</v>
      </c>
      <c r="F562" s="6">
        <v>60.0</v>
      </c>
      <c r="G562" s="52">
        <v>45674.0</v>
      </c>
      <c r="H562" s="52">
        <v>46769.0</v>
      </c>
      <c r="I562" s="49">
        <v>21199.92</v>
      </c>
      <c r="J562" s="49"/>
    </row>
    <row r="563">
      <c r="A563" s="6">
        <v>575.0</v>
      </c>
      <c r="B563" s="50" t="str">
        <f>IFERROR(VLOOKUP($A563,EVENTO!$A$2:$C$4999,2,FALSE),"")</f>
        <v>ADITIVO DE PRAZO</v>
      </c>
      <c r="C563" s="50" t="str">
        <f>IFERROR(VLOOKUP($A563,EVENTO!$A$2:$C$4999,3,FALSE),"")</f>
        <v>MUNICÍPIO DE CRATO - SECRETARIA DE EDUCAÇÃO</v>
      </c>
      <c r="D563" s="51">
        <v>45674.0</v>
      </c>
      <c r="E563" s="6">
        <v>12.0</v>
      </c>
      <c r="F563" s="6">
        <v>60.0</v>
      </c>
      <c r="G563" s="52">
        <v>46038.0</v>
      </c>
      <c r="H563" s="52">
        <v>46769.0</v>
      </c>
      <c r="I563" s="49">
        <v>21199.92</v>
      </c>
      <c r="J563" s="49"/>
    </row>
    <row r="564">
      <c r="A564" s="6">
        <v>576.0</v>
      </c>
      <c r="B564" s="50" t="str">
        <f>IFERROR(VLOOKUP($A564,EVENTO!$A$2:$C$4999,2,FALSE),"")</f>
        <v>CADASTRO</v>
      </c>
      <c r="C564" s="50" t="str">
        <f>IFERROR(VLOOKUP($A564,EVENTO!$A$2:$C$4999,3,FALSE),"")</f>
        <v>MUNICIPIO DE CANINDÉ - CÂMARA MUNICIPAL DE CANINDÉ</v>
      </c>
      <c r="D564" s="51">
        <v>45293.0</v>
      </c>
      <c r="E564" s="6">
        <v>12.0</v>
      </c>
      <c r="F564" s="6">
        <v>60.0</v>
      </c>
      <c r="G564" s="52">
        <v>45657.0</v>
      </c>
      <c r="H564" s="52">
        <v>47118.0</v>
      </c>
      <c r="I564" s="49">
        <v>16398.0</v>
      </c>
      <c r="J564" s="49"/>
    </row>
    <row r="565">
      <c r="A565" s="6">
        <v>577.0</v>
      </c>
      <c r="B565" s="50" t="str">
        <f>IFERROR(VLOOKUP($A565,EVENTO!$A$2:$C$4999,2,FALSE),"")</f>
        <v>ADITIVO DE PRAZO</v>
      </c>
      <c r="C565" s="50" t="str">
        <f>IFERROR(VLOOKUP($A565,EVENTO!$A$2:$C$4999,3,FALSE),"")</f>
        <v>MUNICIPIO DE CANINDÉ - CÂMARA MUNICIPAL DE CANINDÉ</v>
      </c>
      <c r="D565" s="51">
        <v>45658.0</v>
      </c>
      <c r="E565" s="6">
        <v>12.0</v>
      </c>
      <c r="F565" s="6">
        <v>60.0</v>
      </c>
      <c r="G565" s="52">
        <v>46022.0</v>
      </c>
      <c r="H565" s="52">
        <v>47118.0</v>
      </c>
      <c r="I565" s="49">
        <v>16398.0</v>
      </c>
    </row>
    <row r="566">
      <c r="A566" s="6">
        <v>578.0</v>
      </c>
      <c r="B566" s="50" t="str">
        <f>IFERROR(VLOOKUP($A566,EVENTO!$A$2:$C$4999,2,FALSE),"")</f>
        <v>CADASTRO</v>
      </c>
      <c r="C566" s="50" t="str">
        <f>IFERROR(VLOOKUP($A566,EVENTO!$A$2:$C$4999,3,FALSE),"")</f>
        <v>CELERE TECNOLOGIA E ASSESSORIA EM SAUDE PUBLICA E PRIVADA LTDA - UNIDADE EUSEBIO </v>
      </c>
      <c r="D566" s="51">
        <v>45925.0</v>
      </c>
      <c r="E566" s="6">
        <v>24.0</v>
      </c>
      <c r="F566" s="6">
        <v>48.0</v>
      </c>
      <c r="G566" s="52">
        <v>46654.0</v>
      </c>
      <c r="H566" s="52">
        <v>47385.0</v>
      </c>
      <c r="I566" s="49">
        <v>410400.0</v>
      </c>
    </row>
    <row r="567">
      <c r="A567" s="6">
        <v>579.0</v>
      </c>
      <c r="B567" s="50" t="str">
        <f>IFERROR(VLOOKUP($A567,EVENTO!$A$2:$C$4999,2,FALSE),"")</f>
        <v>CADASTRO</v>
      </c>
      <c r="C567" s="50" t="str">
        <f>IFERROR(VLOOKUP($A567,EVENTO!$A$2:$C$4999,3,FALSE),"")</f>
        <v>CELERE TECNOLOGIA E ASSESSORIA EM SAUDE PUBLICA E PRIVADA LTDA - UNIDADE ITAPECERICA DA SERRA</v>
      </c>
      <c r="D567" s="51">
        <v>45804.0</v>
      </c>
      <c r="E567" s="6">
        <v>24.0</v>
      </c>
      <c r="F567" s="6">
        <v>48.0</v>
      </c>
      <c r="G567" s="52">
        <v>46533.0</v>
      </c>
      <c r="H567" s="52">
        <v>47264.0</v>
      </c>
      <c r="I567" s="49">
        <v>79200.0</v>
      </c>
    </row>
    <row r="568">
      <c r="A568" s="6">
        <v>580.0</v>
      </c>
      <c r="B568" s="50" t="str">
        <f>IFERROR(VLOOKUP($A568,EVENTO!$A$2:$C$4999,2,FALSE),"")</f>
        <v>ADITIVO DE QUANTIDADE</v>
      </c>
      <c r="C568" s="50" t="str">
        <f>IFERROR(VLOOKUP($A568,EVENTO!$A$2:$C$4999,3,FALSE),"")</f>
        <v>CELERE TECNOLOGIA E ASSESSORIA EM SAUDE PUBLICA E PRIVADA LTDA - UNIDADE ITAPECERICA DA SERRA</v>
      </c>
      <c r="D568" s="51">
        <v>45925.0</v>
      </c>
      <c r="E568" s="6">
        <v>24.0</v>
      </c>
      <c r="F568" s="6">
        <v>48.0</v>
      </c>
      <c r="G568" s="52">
        <v>46654.0</v>
      </c>
      <c r="H568" s="52">
        <v>47385.0</v>
      </c>
      <c r="I568" s="49">
        <v>360000.0</v>
      </c>
    </row>
    <row r="569">
      <c r="A569" s="6">
        <v>581.0</v>
      </c>
      <c r="B569" s="50" t="str">
        <f>IFERROR(VLOOKUP($A569,EVENTO!$A$2:$C$4999,2,FALSE),"")</f>
        <v>CADASTRO</v>
      </c>
      <c r="C569" s="50" t="str">
        <f>IFERROR(VLOOKUP($A569,EVENTO!$A$2:$C$4999,3,FALSE),"")</f>
        <v>CELERE TECNOLOGIA E ASSESSORIA EM SAUDE PUBLICA E PRIVADA LTDA - UNIDADE MAIRINQUE</v>
      </c>
      <c r="D569" s="51">
        <v>45866.0</v>
      </c>
      <c r="E569" s="6">
        <v>24.0</v>
      </c>
      <c r="F569" s="6">
        <v>48.0</v>
      </c>
      <c r="G569" s="52">
        <v>46595.0</v>
      </c>
      <c r="H569" s="52">
        <v>47326.0</v>
      </c>
      <c r="I569" s="49">
        <v>302400.0</v>
      </c>
    </row>
    <row r="570">
      <c r="A570" s="6">
        <v>582.0</v>
      </c>
      <c r="B570" s="50" t="str">
        <f>IFERROR(VLOOKUP($A570,EVENTO!$A$2:$C$4999,2,FALSE),"")</f>
        <v>CADASTRO</v>
      </c>
      <c r="C570" s="50" t="str">
        <f>IFERROR(VLOOKUP($A570,EVENTO!$A$2:$C$4999,3,FALSE),"")</f>
        <v>CELERE TECNOLOGIA E ASSESSORIA EM SAUDE PUBLICA E PRIVADA LTDA - UNIDADE SERRA DO MEL</v>
      </c>
      <c r="D570" s="51">
        <v>45925.0</v>
      </c>
      <c r="E570" s="6">
        <v>24.0</v>
      </c>
      <c r="F570" s="6">
        <v>48.0</v>
      </c>
      <c r="G570" s="52">
        <v>46654.0</v>
      </c>
      <c r="H570" s="52">
        <v>47385.0</v>
      </c>
      <c r="I570" s="49">
        <v>138240.0</v>
      </c>
    </row>
    <row r="571">
      <c r="A571" s="6">
        <v>583.0</v>
      </c>
      <c r="B571" s="50" t="str">
        <f>IFERROR(VLOOKUP($A571,EVENTO!$A$2:$C$4999,2,FALSE),"")</f>
        <v>CADASTRO</v>
      </c>
      <c r="C571" s="50" t="str">
        <f>IFERROR(VLOOKUP($A571,EVENTO!$A$2:$C$4999,3,FALSE),"")</f>
        <v> INOVA TABULEIRO SA</v>
      </c>
      <c r="D571" s="51">
        <v>45681.0</v>
      </c>
      <c r="E571" s="6">
        <v>6.0</v>
      </c>
      <c r="F571" s="6"/>
      <c r="G571" s="52">
        <v>45862.0</v>
      </c>
      <c r="H571" s="52"/>
      <c r="I571" s="49">
        <v>11523.9</v>
      </c>
    </row>
    <row r="572">
      <c r="A572" s="6">
        <v>584.0</v>
      </c>
      <c r="B572" s="50" t="str">
        <f>IFERROR(VLOOKUP($A572,EVENTO!$A$2:$C$4999,2,FALSE),"")</f>
        <v>ADITIVO DE QUANTIDADE</v>
      </c>
      <c r="C572" s="50" t="str">
        <f>IFERROR(VLOOKUP($A572,EVENTO!$A$2:$C$4999,3,FALSE),"")</f>
        <v> INOVA TABULEIRO SA</v>
      </c>
      <c r="D572" s="51">
        <v>45868.0</v>
      </c>
      <c r="E572" s="6">
        <v>6.0</v>
      </c>
      <c r="F572" s="6"/>
      <c r="G572" s="52">
        <v>46052.0</v>
      </c>
      <c r="H572" s="52"/>
      <c r="I572" s="49">
        <v>7563.9</v>
      </c>
    </row>
    <row r="573">
      <c r="A573" s="6">
        <v>585.0</v>
      </c>
      <c r="B573" s="50" t="str">
        <f>IFERROR(VLOOKUP($A573,EVENTO!$A$2:$C$4999,2,FALSE),"")</f>
        <v>CADASTRO</v>
      </c>
      <c r="C573" s="50" t="str">
        <f>IFERROR(VLOOKUP($A573,EVENTO!$A$2:$C$4999,3,FALSE),"")</f>
        <v>ASSOCIACAO DE APOIO AO PROTAGONISMO JUVENIL</v>
      </c>
      <c r="D573" s="51">
        <v>45870.0</v>
      </c>
      <c r="E573" s="6">
        <v>12.0</v>
      </c>
      <c r="F573" s="6">
        <v>24.0</v>
      </c>
      <c r="G573" s="52">
        <v>46244.0</v>
      </c>
      <c r="H573" s="52">
        <v>46609.0</v>
      </c>
      <c r="I573" s="49">
        <v>4728.0</v>
      </c>
    </row>
    <row r="574">
      <c r="A574" s="6">
        <v>586.0</v>
      </c>
      <c r="B574" s="50" t="str">
        <f>IFERROR(VLOOKUP($A574,EVENTO!$A$2:$C$4999,2,FALSE),"")</f>
        <v>ADITIVO DE QUANTIDADE</v>
      </c>
      <c r="C574" s="50" t="str">
        <f>IFERROR(VLOOKUP($A574,EVENTO!$A$2:$C$4999,3,FALSE),"")</f>
        <v>ASSOCIACAO DE APOIO AO PROTAGONISMO JUVENIL</v>
      </c>
      <c r="D574" s="51">
        <v>45912.0</v>
      </c>
      <c r="E574" s="6">
        <v>12.0</v>
      </c>
      <c r="F574" s="6">
        <v>24.0</v>
      </c>
      <c r="G574" s="52">
        <v>46276.0</v>
      </c>
      <c r="H574" s="52">
        <v>46641.0</v>
      </c>
      <c r="I574" s="49">
        <v>6108.0</v>
      </c>
    </row>
    <row r="575">
      <c r="A575" s="6">
        <v>587.0</v>
      </c>
      <c r="B575" s="50" t="str">
        <f>IFERROR(VLOOKUP($A575,EVENTO!$A$2:$C$4999,2,FALSE),"")</f>
        <v>CADASTRO</v>
      </c>
      <c r="C575" s="50" t="str">
        <f>IFERROR(VLOOKUP($A575,EVENTO!$A$2:$C$4999,3,FALSE),"")</f>
        <v>CARTÓRIO DO 2º OFÍCIO DE TAUÁ</v>
      </c>
      <c r="D575" s="51">
        <v>45268.0</v>
      </c>
      <c r="E575" s="6">
        <v>12.0</v>
      </c>
      <c r="F575" s="6">
        <v>48.0</v>
      </c>
      <c r="G575" s="52">
        <v>45643.0</v>
      </c>
      <c r="H575" s="52">
        <v>46738.0</v>
      </c>
      <c r="I575" s="49">
        <v>9562.56</v>
      </c>
    </row>
    <row r="576">
      <c r="A576" s="6">
        <v>588.0</v>
      </c>
      <c r="B576" s="50" t="str">
        <f>IFERROR(VLOOKUP($A576,EVENTO!$A$2:$C$4999,2,FALSE),"")</f>
        <v>ADITIVO DE QUANTIDADE E PRAZO</v>
      </c>
      <c r="C576" s="50" t="str">
        <f>IFERROR(VLOOKUP($A576,EVENTO!$A$2:$C$4999,3,FALSE),"")</f>
        <v>CARTÓRIO DO 2º OFÍCIO DE TAUÁ</v>
      </c>
      <c r="D576" s="51">
        <v>45644.0</v>
      </c>
      <c r="E576" s="6">
        <v>12.0</v>
      </c>
      <c r="F576" s="6">
        <v>48.0</v>
      </c>
      <c r="G576" s="52">
        <v>46008.0</v>
      </c>
      <c r="H576" s="52">
        <v>46738.0</v>
      </c>
      <c r="I576" s="49">
        <v>6720.0</v>
      </c>
    </row>
    <row r="577">
      <c r="A577" s="6">
        <v>589.0</v>
      </c>
      <c r="B577" s="50" t="str">
        <f>IFERROR(VLOOKUP($A577,EVENTO!$A$2:$C$4999,2,FALSE),"")</f>
        <v>ADITIVO DE QUANTIDADE E PRAZO</v>
      </c>
      <c r="C577" s="50" t="str">
        <f>IFERROR(VLOOKUP($A577,EVENTO!$A$2:$C$4999,3,FALSE),"")</f>
        <v>CARTÓRIO DO 2º OFÍCIO DE TAUÁ</v>
      </c>
      <c r="D577" s="51">
        <v>46009.0</v>
      </c>
      <c r="E577" s="6">
        <v>12.0</v>
      </c>
      <c r="F577" s="6">
        <v>48.0</v>
      </c>
      <c r="G577" s="52">
        <v>46373.0</v>
      </c>
      <c r="H577" s="52">
        <v>46738.0</v>
      </c>
      <c r="I577" s="49">
        <v>3360.0</v>
      </c>
    </row>
    <row r="578">
      <c r="A578" s="6">
        <v>590.0</v>
      </c>
      <c r="B578" s="50" t="str">
        <f>IFERROR(VLOOKUP($A578,EVENTO!$A$2:$C$4999,2,FALSE),"")</f>
        <v>CADASTRO</v>
      </c>
      <c r="C578" s="50" t="str">
        <f>IFERROR(VLOOKUP($A578,EVENTO!$A$2:$C$4999,3,FALSE),"")</f>
        <v>ASSOCIAÇÃO ECOS DE ESPERANÇA DO CARIRI</v>
      </c>
      <c r="D578" s="51">
        <v>45762.0</v>
      </c>
      <c r="E578" s="6">
        <v>36.0</v>
      </c>
      <c r="F578" s="6">
        <v>72.0</v>
      </c>
      <c r="G578" s="52">
        <v>46857.0</v>
      </c>
      <c r="H578" s="52">
        <v>47952.0</v>
      </c>
      <c r="I578" s="49">
        <v>6985.44</v>
      </c>
    </row>
    <row r="579">
      <c r="A579" s="6">
        <v>591.0</v>
      </c>
      <c r="B579" s="50" t="str">
        <f>IFERROR(VLOOKUP($A579,EVENTO!$A$2:$C$4999,2,FALSE),"")</f>
        <v>CADASTRO</v>
      </c>
      <c r="C579" s="50" t="str">
        <f>IFERROR(VLOOKUP($A579,EVENTO!$A$2:$C$4999,3,FALSE),"")</f>
        <v>SANTANA &amp; PAIVA SERVICOS ADMINISTRATIVOS LTDA</v>
      </c>
      <c r="D579" s="51">
        <v>45870.0</v>
      </c>
      <c r="E579" s="6">
        <v>12.0</v>
      </c>
      <c r="G579" s="52">
        <v>46234.0</v>
      </c>
      <c r="H579" s="52"/>
      <c r="I579" s="49">
        <v>3000.0</v>
      </c>
    </row>
    <row r="580">
      <c r="A580" s="6">
        <v>592.0</v>
      </c>
      <c r="B580" s="50" t="str">
        <f>IFERROR(VLOOKUP($A580,EVENTO!$A$2:$C$4999,2,FALSE),"")</f>
        <v>CADASTRO</v>
      </c>
      <c r="C580" s="50" t="str">
        <f>IFERROR(VLOOKUP($A580,EVENTO!$A$2:$C$4999,3,FALSE),"")</f>
        <v>COMPANHIA DE INTELIGÊNCIA URBANA E SERVIÇOS S/A</v>
      </c>
      <c r="D580" s="51">
        <v>45124.0</v>
      </c>
      <c r="E580" s="6">
        <v>12.0</v>
      </c>
      <c r="F580" s="6">
        <v>48.0</v>
      </c>
      <c r="G580" s="52">
        <v>45489.0</v>
      </c>
      <c r="H580" s="52">
        <v>46585.0</v>
      </c>
      <c r="I580" s="49">
        <v>55534.8</v>
      </c>
    </row>
    <row r="581">
      <c r="A581" s="6">
        <v>593.0</v>
      </c>
      <c r="B581" s="50" t="str">
        <f>IFERROR(VLOOKUP($A581,EVENTO!$A$2:$C$4999,2,FALSE),"")</f>
        <v>ADITIVO DE QUANTIDADE</v>
      </c>
      <c r="C581" s="50" t="str">
        <f>IFERROR(VLOOKUP($A581,EVENTO!$A$2:$C$4999,3,FALSE),"")</f>
        <v>COMPANHIA DE INTELIGÊNCIA URBANA E SERVIÇOS S/A</v>
      </c>
      <c r="D581" s="51">
        <v>45273.0</v>
      </c>
      <c r="E581" s="6">
        <v>5.0</v>
      </c>
      <c r="F581" s="6">
        <v>48.0</v>
      </c>
      <c r="G581" s="52">
        <v>45425.0</v>
      </c>
      <c r="H581" s="52">
        <v>46585.0</v>
      </c>
      <c r="I581" s="49">
        <v>1490.0</v>
      </c>
    </row>
    <row r="582">
      <c r="A582" s="6">
        <v>594.0</v>
      </c>
      <c r="B582" s="50" t="str">
        <f>IFERROR(VLOOKUP($A582,EVENTO!$A$2:$C$4999,2,FALSE),"")</f>
        <v>ADITIVO DE PRAZO</v>
      </c>
      <c r="C582" s="50" t="str">
        <f>IFERROR(VLOOKUP($A582,EVENTO!$A$2:$C$4999,3,FALSE),"")</f>
        <v>COMPANHIA DE INTELIGÊNCIA URBANA E SERVIÇOS S/A</v>
      </c>
      <c r="D582" s="51">
        <v>45489.0</v>
      </c>
      <c r="E582" s="6">
        <v>12.0</v>
      </c>
      <c r="F582" s="6">
        <v>48.0</v>
      </c>
      <c r="G582" s="52">
        <v>45853.0</v>
      </c>
      <c r="H582" s="52">
        <v>46585.0</v>
      </c>
      <c r="I582" s="49">
        <v>55534.8</v>
      </c>
    </row>
    <row r="583">
      <c r="A583" s="6">
        <v>595.0</v>
      </c>
      <c r="B583" s="50" t="str">
        <f>IFERROR(VLOOKUP($A583,EVENTO!$A$2:$C$4999,2,FALSE),"")</f>
        <v>CADASTRO</v>
      </c>
      <c r="C583" s="50" t="str">
        <f>IFERROR(VLOOKUP($A583,EVENTO!$A$2:$C$4999,3,FALSE),"")</f>
        <v> ROZANA DUARTE DA SILVA-ME</v>
      </c>
      <c r="D583" s="51">
        <v>44929.0</v>
      </c>
      <c r="E583" s="6">
        <v>12.0</v>
      </c>
      <c r="F583" s="6">
        <v>48.0</v>
      </c>
      <c r="G583" s="52">
        <v>45293.0</v>
      </c>
      <c r="H583" s="52">
        <v>46389.0</v>
      </c>
      <c r="I583" s="49">
        <v>3480.0</v>
      </c>
    </row>
    <row r="584">
      <c r="A584" s="6">
        <v>596.0</v>
      </c>
      <c r="B584" s="50" t="str">
        <f>IFERROR(VLOOKUP($A584,EVENTO!$A$2:$C$4999,2,FALSE),"")</f>
        <v>ADITIVO DE PRAZO</v>
      </c>
      <c r="C584" s="50" t="str">
        <f>IFERROR(VLOOKUP($A584,EVENTO!$A$2:$C$4999,3,FALSE),"")</f>
        <v> ROZANA DUARTE DA SILVA-ME</v>
      </c>
      <c r="D584" s="51">
        <v>45292.0</v>
      </c>
      <c r="E584" s="6">
        <v>6.0</v>
      </c>
      <c r="F584" s="6">
        <v>48.0</v>
      </c>
      <c r="G584" s="52">
        <v>45473.0</v>
      </c>
      <c r="H584" s="52">
        <v>46389.0</v>
      </c>
      <c r="I584" s="49">
        <v>1740.0</v>
      </c>
    </row>
    <row r="585">
      <c r="A585" s="6">
        <v>597.0</v>
      </c>
      <c r="B585" s="50" t="str">
        <f>IFERROR(VLOOKUP($A585,EVENTO!$A$2:$C$4999,2,FALSE),"")</f>
        <v>ADITIVO DE PRAZO</v>
      </c>
      <c r="C585" s="50" t="str">
        <f>IFERROR(VLOOKUP($A585,EVENTO!$A$2:$C$4999,3,FALSE),"")</f>
        <v> ROZANA DUARTE DA SILVA-ME</v>
      </c>
      <c r="D585" s="51">
        <v>45474.0</v>
      </c>
      <c r="E585" s="6">
        <v>6.0</v>
      </c>
      <c r="F585" s="6">
        <v>48.0</v>
      </c>
      <c r="G585" s="52">
        <v>45656.0</v>
      </c>
      <c r="H585" s="52">
        <v>46389.0</v>
      </c>
      <c r="I585" s="49">
        <v>1740.0</v>
      </c>
    </row>
    <row r="586">
      <c r="A586" s="6">
        <v>598.0</v>
      </c>
      <c r="B586" s="50" t="str">
        <f>IFERROR(VLOOKUP($A586,EVENTO!$A$2:$C$4999,2,FALSE),"")</f>
        <v>ADITIVO DE PRAZO</v>
      </c>
      <c r="C586" s="50" t="str">
        <f>IFERROR(VLOOKUP($A586,EVENTO!$A$2:$C$4999,3,FALSE),"")</f>
        <v> ROZANA DUARTE DA SILVA-ME</v>
      </c>
      <c r="D586" s="51">
        <v>45656.0</v>
      </c>
      <c r="E586" s="6">
        <v>6.0</v>
      </c>
      <c r="F586" s="6">
        <v>48.0</v>
      </c>
      <c r="G586" s="52">
        <v>45838.0</v>
      </c>
      <c r="H586" s="52">
        <v>46389.0</v>
      </c>
      <c r="I586" s="49">
        <v>1740.0</v>
      </c>
    </row>
    <row r="587">
      <c r="A587" s="6">
        <v>599.0</v>
      </c>
      <c r="B587" s="50" t="str">
        <f>IFERROR(VLOOKUP($A587,EVENTO!$A$2:$C$4999,2,FALSE),"")</f>
        <v>ADITIVO DE PRAZO</v>
      </c>
      <c r="C587" s="50" t="str">
        <f>IFERROR(VLOOKUP($A587,EVENTO!$A$2:$C$4999,3,FALSE),"")</f>
        <v> ROZANA DUARTE DA SILVA-ME</v>
      </c>
      <c r="D587" s="51">
        <v>45838.0</v>
      </c>
      <c r="E587" s="6">
        <v>6.0</v>
      </c>
      <c r="F587" s="6">
        <v>48.0</v>
      </c>
      <c r="G587" s="52">
        <v>46021.0</v>
      </c>
      <c r="H587" s="52">
        <v>46389.0</v>
      </c>
      <c r="I587" s="49">
        <v>1740.0</v>
      </c>
    </row>
    <row r="588">
      <c r="A588" s="6">
        <v>600.0</v>
      </c>
      <c r="B588" s="50" t="str">
        <f>IFERROR(VLOOKUP($A588,EVENTO!$A$2:$C$4999,2,FALSE),"")</f>
        <v>CADASTRO</v>
      </c>
      <c r="C588" s="50" t="str">
        <f>IFERROR(VLOOKUP($A588,EVENTO!$A$2:$C$4999,3,FALSE),"")</f>
        <v>HF DA ROCHA COMÉRCIO E SERVIÇOS DE INFORMÁTICA</v>
      </c>
      <c r="D588" s="51">
        <v>45491.0</v>
      </c>
      <c r="E588" s="6">
        <v>12.0</v>
      </c>
      <c r="F588" s="6">
        <v>48.0</v>
      </c>
      <c r="G588" s="52">
        <v>45856.0</v>
      </c>
      <c r="H588" s="52">
        <v>46952.0</v>
      </c>
      <c r="I588" s="49" t="s">
        <v>1353</v>
      </c>
    </row>
    <row r="589">
      <c r="A589" s="6">
        <v>601.0</v>
      </c>
      <c r="B589" s="50" t="str">
        <f>IFERROR(VLOOKUP($A589,EVENTO!$A$2:$C$4999,2,FALSE),"")</f>
        <v>ADITIVO DE REAJUSTE E PRAZO</v>
      </c>
      <c r="C589" s="50" t="str">
        <f>IFERROR(VLOOKUP($A589,EVENTO!$A$2:$C$4999,3,FALSE),"")</f>
        <v>HF DA ROCHA COMÉRCIO E SERVIÇOS DE INFORMÁTICA</v>
      </c>
      <c r="D589" s="51">
        <v>45856.0</v>
      </c>
      <c r="E589" s="6">
        <v>12.0</v>
      </c>
      <c r="F589" s="6">
        <v>48.0</v>
      </c>
      <c r="G589" s="52">
        <v>46221.0</v>
      </c>
      <c r="H589" s="52">
        <v>46952.0</v>
      </c>
      <c r="I589" s="49" t="s">
        <v>1354</v>
      </c>
    </row>
    <row r="590">
      <c r="A590" s="6">
        <v>602.0</v>
      </c>
      <c r="B590" s="50" t="str">
        <f>IFERROR(VLOOKUP($A590,EVENTO!$A$2:$C$4999,2,FALSE),"")</f>
        <v>ADITIVO DE PRAZO</v>
      </c>
      <c r="C590" s="50" t="str">
        <f>IFERROR(VLOOKUP($A590,EVENTO!$A$2:$C$4999,3,FALSE),"")</f>
        <v>IFCE PARACURU </v>
      </c>
      <c r="D590" s="51">
        <v>46052.0</v>
      </c>
      <c r="E590" s="6">
        <v>12.0</v>
      </c>
      <c r="F590" s="6">
        <v>60.0</v>
      </c>
      <c r="G590" s="52">
        <v>46417.0</v>
      </c>
      <c r="H590" s="52">
        <v>47148.0</v>
      </c>
      <c r="I590" s="49">
        <v>9840.0</v>
      </c>
    </row>
    <row r="591">
      <c r="A591" s="6">
        <v>603.0</v>
      </c>
      <c r="B591" s="50" t="str">
        <f>IFERROR(VLOOKUP($A591,EVENTO!$A$2:$C$4999,2,FALSE),"")</f>
        <v>APOSTILAMENTO</v>
      </c>
      <c r="C591" s="50" t="str">
        <f>IFERROR(VLOOKUP($A591,EVENTO!$A$2:$C$4999,3,FALSE),"")</f>
        <v>IFCE PARACURU </v>
      </c>
      <c r="D591" s="51">
        <v>45701.0</v>
      </c>
      <c r="E591" s="6"/>
      <c r="F591" s="6"/>
      <c r="G591" s="52">
        <v>46052.0</v>
      </c>
      <c r="H591" s="52">
        <v>47148.0</v>
      </c>
      <c r="I591" s="49">
        <v>10315.37</v>
      </c>
    </row>
    <row r="592">
      <c r="A592" s="6">
        <v>604.0</v>
      </c>
      <c r="B592" s="50" t="str">
        <f>IFERROR(VLOOKUP($A592,EVENTO!$A$2:$C$4999,2,FALSE),"")</f>
        <v>CADASTRO</v>
      </c>
      <c r="C592" s="50" t="str">
        <f>IFERROR(VLOOKUP($A592,EVENTO!$A$2:$C$4999,3,FALSE),"")</f>
        <v>OTICA EVANGELISTA</v>
      </c>
      <c r="D592" s="51">
        <v>45302.0</v>
      </c>
      <c r="E592" s="6">
        <v>6.0</v>
      </c>
      <c r="F592" s="6">
        <v>48.0</v>
      </c>
      <c r="G592" s="52">
        <v>45484.0</v>
      </c>
      <c r="H592" s="52">
        <v>46763.0</v>
      </c>
      <c r="I592" s="49" t="s">
        <v>1355</v>
      </c>
    </row>
    <row r="593">
      <c r="A593" s="6">
        <v>605.0</v>
      </c>
      <c r="B593" s="50" t="str">
        <f>IFERROR(VLOOKUP($A593,EVENTO!$A$2:$C$4999,2,FALSE),"")</f>
        <v>ADITIVO DE PRAZO</v>
      </c>
      <c r="C593" s="50" t="str">
        <f>IFERROR(VLOOKUP($A593,EVENTO!$A$2:$C$4999,3,FALSE),"")</f>
        <v>OTICA EVANGELISTA</v>
      </c>
      <c r="D593" s="51">
        <v>45485.0</v>
      </c>
      <c r="E593" s="6">
        <v>6.0</v>
      </c>
      <c r="F593" s="6">
        <v>48.0</v>
      </c>
      <c r="G593" s="52">
        <v>45669.0</v>
      </c>
      <c r="H593" s="52">
        <v>46763.0</v>
      </c>
      <c r="I593" s="49" t="s">
        <v>1355</v>
      </c>
    </row>
    <row r="594">
      <c r="A594" s="6">
        <v>606.0</v>
      </c>
      <c r="B594" s="50" t="str">
        <f>IFERROR(VLOOKUP($A594,EVENTO!$A$2:$C$4999,2,FALSE),"")</f>
        <v>ADITIVO DE PRAZO</v>
      </c>
      <c r="C594" s="50" t="str">
        <f>IFERROR(VLOOKUP($A594,EVENTO!$A$2:$C$4999,3,FALSE),"")</f>
        <v>OTICA EVANGELISTA</v>
      </c>
      <c r="D594" s="51">
        <v>45669.0</v>
      </c>
      <c r="E594" s="6">
        <v>6.0</v>
      </c>
      <c r="F594" s="6">
        <v>48.0</v>
      </c>
      <c r="G594" s="52">
        <v>45850.0</v>
      </c>
      <c r="H594" s="52">
        <v>46763.0</v>
      </c>
      <c r="I594" s="49" t="s">
        <v>1355</v>
      </c>
    </row>
    <row r="595">
      <c r="A595" s="6">
        <v>607.0</v>
      </c>
      <c r="B595" s="50" t="str">
        <f>IFERROR(VLOOKUP($A595,EVENTO!$A$2:$C$4999,2,FALSE),"")</f>
        <v>CADASTRO</v>
      </c>
      <c r="C595" s="50" t="str">
        <f>IFERROR(VLOOKUP($A595,EVENTO!$A$2:$C$4999,3,FALSE),"")</f>
        <v>IDT</v>
      </c>
      <c r="D595" s="51">
        <v>45870.0</v>
      </c>
      <c r="E595" s="6">
        <v>12.0</v>
      </c>
      <c r="F595" s="6">
        <v>12.0</v>
      </c>
      <c r="G595" s="52">
        <v>46235.0</v>
      </c>
      <c r="H595" s="52">
        <v>46235.0</v>
      </c>
      <c r="I595" s="49">
        <v>300600.0</v>
      </c>
    </row>
    <row r="596">
      <c r="A596" s="6">
        <v>608.0</v>
      </c>
      <c r="B596" s="50" t="str">
        <f>IFERROR(VLOOKUP($A596,EVENTO!$A$2:$C$4999,2,FALSE),"")</f>
        <v>CADASTRO</v>
      </c>
      <c r="C596" s="50" t="str">
        <f>IFERROR(VLOOKUP($A596,EVENTO!$A$2:$C$4999,3,FALSE),"")</f>
        <v>G&amp;T CONTROLLER LTDA ME - 11/2025</v>
      </c>
      <c r="D596" s="51">
        <v>45877.0</v>
      </c>
      <c r="E596" s="6">
        <v>12.0</v>
      </c>
      <c r="F596" s="6"/>
      <c r="G596" s="52">
        <v>46241.0</v>
      </c>
      <c r="H596" s="52"/>
      <c r="I596" s="49">
        <v>4560.0</v>
      </c>
    </row>
    <row r="597">
      <c r="A597" s="6">
        <v>609.0</v>
      </c>
      <c r="B597" s="50" t="str">
        <f>IFERROR(VLOOKUP($A597,EVENTO!$A$2:$C$4999,2,FALSE),"")</f>
        <v>CADASTRO</v>
      </c>
      <c r="C597" s="50" t="str">
        <f>IFERROR(VLOOKUP($A597,EVENTO!$A$2:$C$4999,3,FALSE),"")</f>
        <v>FAMA SOLUCOES EM RECUPERACAO DE CREDITO LTDA - 003/2025</v>
      </c>
      <c r="D597" s="51">
        <v>45803.0</v>
      </c>
      <c r="E597" s="6">
        <v>36.0</v>
      </c>
      <c r="F597" s="6">
        <v>36.0</v>
      </c>
      <c r="G597" s="52">
        <v>46899.0</v>
      </c>
      <c r="H597" s="52">
        <v>46899.0</v>
      </c>
      <c r="I597" s="49">
        <v>142000.0</v>
      </c>
    </row>
    <row r="598">
      <c r="A598" s="6">
        <v>610.0</v>
      </c>
      <c r="B598" s="50" t="str">
        <f>IFERROR(VLOOKUP($A598,EVENTO!$A$2:$C$4999,2,FALSE),"")</f>
        <v>CADASTRO</v>
      </c>
      <c r="C598" s="50" t="str">
        <f>IFERROR(VLOOKUP($A598,EVENTO!$A$2:$C$4999,3,FALSE),"")</f>
        <v>G&amp;T CONTROLLER LTDA ME - 2401.01</v>
      </c>
      <c r="D598" s="51">
        <v>45681.0</v>
      </c>
      <c r="E598" s="6">
        <v>12.0</v>
      </c>
      <c r="G598" s="52">
        <v>46046.0</v>
      </c>
      <c r="I598" s="49">
        <v>1908.0</v>
      </c>
    </row>
    <row r="599">
      <c r="A599" s="6">
        <v>611.0</v>
      </c>
      <c r="B599" s="50" t="str">
        <f>IFERROR(VLOOKUP($A599,EVENTO!$A$2:$C$4999,2,FALSE),"")</f>
        <v>CADASTRO</v>
      </c>
      <c r="C599" s="50" t="str">
        <f>IFERROR(VLOOKUP($A599,EVENTO!$A$2:$C$4999,3,FALSE),"")</f>
        <v>G&amp;T CONTROLLER LTDA ME - 0603.01</v>
      </c>
      <c r="D599" s="51">
        <v>45446.0</v>
      </c>
      <c r="E599" s="6">
        <v>12.0</v>
      </c>
      <c r="G599" s="52">
        <v>45811.0</v>
      </c>
      <c r="I599" s="49">
        <v>4200.0</v>
      </c>
    </row>
    <row r="600">
      <c r="A600" s="6">
        <v>612.0</v>
      </c>
      <c r="B600" s="50" t="str">
        <f>IFERROR(VLOOKUP($A600,EVENTO!$A$2:$C$4999,2,FALSE),"")</f>
        <v>CADASTRO</v>
      </c>
      <c r="C600" s="50" t="str">
        <f>IFERROR(VLOOKUP($A600,EVENTO!$A$2:$C$4999,3,FALSE),"")</f>
        <v>ÂMBITO PÚBLICO ASSESSORIA EM LICITACOES E GESTAO PUBLICA LTDA</v>
      </c>
      <c r="D600" s="51">
        <v>45538.0</v>
      </c>
      <c r="E600" s="6">
        <v>12.0</v>
      </c>
      <c r="G600" s="52">
        <v>45903.0</v>
      </c>
      <c r="I600" s="49">
        <v>3600.0</v>
      </c>
    </row>
    <row r="601">
      <c r="A601" s="6">
        <v>613.0</v>
      </c>
      <c r="B601" s="50" t="str">
        <f>IFERROR(VLOOKUP($A601,EVENTO!$A$2:$C$4999,2,FALSE),"")</f>
        <v>ADITIVO DE PRAZO</v>
      </c>
      <c r="C601" s="50" t="str">
        <f>IFERROR(VLOOKUP($A601,EVENTO!$A$2:$C$4999,3,FALSE),"")</f>
        <v>ÂMBITO PÚBLICO ASSESSORIA EM LICITACOES E GESTAO PUBLICA LTDA</v>
      </c>
      <c r="D601" s="51">
        <v>45903.0</v>
      </c>
      <c r="E601" s="6">
        <v>12.0</v>
      </c>
      <c r="G601" s="52">
        <v>46268.0</v>
      </c>
      <c r="I601" s="49">
        <v>3600.0</v>
      </c>
    </row>
    <row r="602">
      <c r="A602" s="6">
        <v>614.0</v>
      </c>
      <c r="B602" s="50" t="str">
        <f>IFERROR(VLOOKUP($A602,EVENTO!$A$2:$C$4999,2,FALSE),"")</f>
        <v>ADITIVO DE QUANTIDADE</v>
      </c>
      <c r="C602" s="50" t="str">
        <f>IFERROR(VLOOKUP($A602,EVENTO!$A$2:$C$4999,3,FALSE),"")</f>
        <v>FAMA SOLUCOES EM RECUPERACAO DE CREDITO LTDA - 003/2025</v>
      </c>
      <c r="D602" s="51">
        <v>45868.0</v>
      </c>
      <c r="E602" s="6">
        <v>36.0</v>
      </c>
      <c r="F602" s="6">
        <v>36.0</v>
      </c>
      <c r="G602" s="52">
        <v>46964.0</v>
      </c>
      <c r="H602" s="52">
        <v>46964.0</v>
      </c>
      <c r="I602" s="49">
        <v>8532.0</v>
      </c>
    </row>
    <row r="603">
      <c r="A603" s="6">
        <v>615.0</v>
      </c>
      <c r="B603" s="50" t="str">
        <f>IFERROR(VLOOKUP($A603,EVENTO!$A$2:$C$4999,2,FALSE),"")</f>
        <v>ADITIVO DE QUANTIDADE</v>
      </c>
      <c r="C603" s="50" t="str">
        <f>IFERROR(VLOOKUP($A603,EVENTO!$A$2:$C$4999,3,FALSE),"")</f>
        <v>FAMA SOLUCOES EM RECUPERACAO DE CREDITO LTDA - 003/2025</v>
      </c>
      <c r="D603" s="51">
        <v>45930.0</v>
      </c>
      <c r="E603" s="6">
        <v>36.0</v>
      </c>
      <c r="F603" s="6">
        <v>36.0</v>
      </c>
      <c r="G603" s="52">
        <v>47026.0</v>
      </c>
      <c r="H603" s="52">
        <v>47026.0</v>
      </c>
      <c r="I603" s="49">
        <v>39816.0</v>
      </c>
    </row>
    <row r="604">
      <c r="A604" s="6">
        <v>616.0</v>
      </c>
      <c r="B604" s="50" t="str">
        <f>IFERROR(VLOOKUP($A604,EVENTO!$A$2:$C$4999,2,FALSE),"")</f>
        <v>ADITIVO DE QUANTIDADE</v>
      </c>
      <c r="C604" s="50" t="str">
        <f>IFERROR(VLOOKUP($A604,EVENTO!$A$2:$C$4999,3,FALSE),"")</f>
        <v>FAMA SOLUCOES EM RECUPERACAO DE CREDITO LTDA - 003/2025</v>
      </c>
      <c r="D604" s="54">
        <v>45973.0</v>
      </c>
      <c r="E604" s="6">
        <v>36.0</v>
      </c>
      <c r="F604" s="6">
        <v>36.0</v>
      </c>
      <c r="G604" s="53">
        <v>47069.0</v>
      </c>
      <c r="H604" s="53">
        <v>47069.0</v>
      </c>
      <c r="I604" s="49">
        <v>11336.0</v>
      </c>
    </row>
    <row r="605">
      <c r="A605" s="6">
        <v>617.0</v>
      </c>
      <c r="B605" s="50" t="str">
        <f>IFERROR(VLOOKUP($A605,EVENTO!$A$2:$C$4999,2,FALSE),"")</f>
        <v>ADITIVO DE QUANTIDADE</v>
      </c>
      <c r="C605" s="50" t="str">
        <f>IFERROR(VLOOKUP($A605,EVENTO!$A$2:$C$4999,3,FALSE),"")</f>
        <v>ISG - CCC &amp; HUC - 106951-21</v>
      </c>
      <c r="D605" s="51">
        <v>46041.0</v>
      </c>
      <c r="F605" s="6">
        <v>60.0</v>
      </c>
      <c r="G605" s="53"/>
      <c r="H605" s="52">
        <v>46197.0</v>
      </c>
      <c r="I605" s="49">
        <v>2844.0</v>
      </c>
    </row>
    <row r="606">
      <c r="A606" s="6">
        <v>618.0</v>
      </c>
      <c r="B606" s="50" t="str">
        <f>IFERROR(VLOOKUP($A606,EVENTO!$A$2:$C$4999,2,FALSE),"")</f>
        <v>CADASTRO</v>
      </c>
      <c r="C606" s="50" t="str">
        <f>IFERROR(VLOOKUP($A606,EVENTO!$A$2:$C$4999,3,FALSE),"")</f>
        <v>CONEXAO CONSTRUTORA EMPREENDIMENTOS E SOLUCOES LTDA</v>
      </c>
      <c r="D606" s="54">
        <v>46016.0</v>
      </c>
      <c r="E606" s="6">
        <v>12.0</v>
      </c>
      <c r="G606" s="53">
        <v>46381.0</v>
      </c>
      <c r="H606" s="53"/>
      <c r="I606" s="49">
        <v>9276.0</v>
      </c>
    </row>
    <row r="607">
      <c r="A607" s="13">
        <v>619.0</v>
      </c>
      <c r="B607" s="14" t="str">
        <f>IFERROR(VLOOKUP($A607,EVENTO!$A$2:$C$4999,2,FALSE),"")</f>
        <v>ADITIVO DE QUANTIDADE</v>
      </c>
      <c r="C607" s="14" t="str">
        <f>IFERROR(VLOOKUP($A607,EVENTO!$A$2:$C$4999,3,FALSE),"")</f>
        <v>CONEXAO CONSTRUTORA EMPREENDIMENTOS E SOLUCOES LTDA</v>
      </c>
      <c r="D607" s="64">
        <v>46035.0</v>
      </c>
      <c r="E607" s="13">
        <v>12.0</v>
      </c>
      <c r="F607" s="14"/>
      <c r="G607" s="65">
        <v>46400.0</v>
      </c>
      <c r="H607" s="65"/>
      <c r="I607" s="66">
        <v>2388.0</v>
      </c>
      <c r="J607" s="14"/>
      <c r="K607" s="14"/>
      <c r="L607" s="14"/>
      <c r="M607" s="14"/>
      <c r="N607" s="14"/>
      <c r="O607" s="14"/>
      <c r="P607" s="14"/>
      <c r="Q607" s="14"/>
      <c r="R607" s="14"/>
      <c r="S607" s="14"/>
      <c r="T607" s="14"/>
      <c r="U607" s="14"/>
      <c r="V607" s="14"/>
      <c r="W607" s="14"/>
      <c r="X607" s="14"/>
      <c r="Y607" s="14"/>
      <c r="Z607" s="14"/>
      <c r="AA607" s="14"/>
      <c r="AB607" s="14"/>
    </row>
    <row r="608">
      <c r="A608" s="6">
        <v>620.0</v>
      </c>
      <c r="B608" s="50" t="str">
        <f>IFERROR(VLOOKUP($A608,EVENTO!$A$2:$C$4999,2,FALSE),"")</f>
        <v>CADASTRO</v>
      </c>
      <c r="C608" s="50" t="str">
        <f>IFERROR(VLOOKUP($A608,EVENTO!$A$2:$C$4999,3,FALSE),"")</f>
        <v>QUEIROZ EDUCACIONAL LTDA</v>
      </c>
      <c r="D608" s="51">
        <v>46032.0</v>
      </c>
      <c r="E608" s="6">
        <v>3.0</v>
      </c>
      <c r="G608" s="52">
        <v>46122.0</v>
      </c>
      <c r="H608" s="52"/>
      <c r="I608" s="49">
        <v>21480.0</v>
      </c>
    </row>
    <row r="609">
      <c r="A609" s="6">
        <v>621.0</v>
      </c>
      <c r="B609" s="50" t="str">
        <f>IFERROR(VLOOKUP($A609,EVENTO!$A$2:$C$4999,2,FALSE),"")</f>
        <v>CADASTRO</v>
      </c>
      <c r="C609" s="50" t="str">
        <f>IFERROR(VLOOKUP($A609,EVENTO!$A$2:$C$4999,3,FALSE),"")</f>
        <v>S Z SERVICOS COMERCIO E DISTRIBUICAO</v>
      </c>
      <c r="D609" s="54">
        <v>46016.0</v>
      </c>
      <c r="E609" s="6">
        <v>36.0</v>
      </c>
      <c r="F609" s="67"/>
      <c r="G609" s="53">
        <v>47112.0</v>
      </c>
      <c r="H609" s="53"/>
      <c r="I609" s="49">
        <v>29241.0</v>
      </c>
    </row>
    <row r="610">
      <c r="A610" s="6">
        <v>622.0</v>
      </c>
      <c r="B610" s="50" t="str">
        <f>IFERROR(VLOOKUP($A610,EVENTO!$A$2:$C$4999,2,FALSE),"")</f>
        <v>ADITIVO DE QUANTIDADE</v>
      </c>
      <c r="C610" s="50" t="str">
        <f>IFERROR(VLOOKUP($A610,EVENTO!$A$2:$C$4999,3,FALSE),"")</f>
        <v>S Z SERVICOS COMERCIO E DISTRIBUICAO</v>
      </c>
      <c r="D610" s="51">
        <v>46035.0</v>
      </c>
      <c r="E610" s="6">
        <v>36.0</v>
      </c>
      <c r="F610" s="52"/>
      <c r="G610" s="53">
        <v>46369.0</v>
      </c>
      <c r="H610" s="52"/>
      <c r="I610" s="49">
        <v>19494.0</v>
      </c>
    </row>
    <row r="611">
      <c r="A611" s="6">
        <v>623.0</v>
      </c>
      <c r="B611" s="50" t="str">
        <f>IFERROR(VLOOKUP($A611,EVENTO!$A$2:$C$4999,2,FALSE),"")</f>
        <v>CADASTRO</v>
      </c>
      <c r="C611" s="50" t="str">
        <f>IFERROR(VLOOKUP($A611,EVENTO!$A$2:$C$4999,3,FALSE),"")</f>
        <v>CASA TELES COMERCIO DE MOVEIS LTDA</v>
      </c>
      <c r="D611" s="54">
        <v>46021.0</v>
      </c>
      <c r="E611" s="6">
        <v>12.0</v>
      </c>
      <c r="F611" s="53"/>
      <c r="G611" s="53">
        <v>46386.0</v>
      </c>
      <c r="H611" s="53"/>
      <c r="I611" s="49">
        <v>2028.0</v>
      </c>
    </row>
    <row r="612">
      <c r="A612" s="6">
        <v>624.0</v>
      </c>
      <c r="B612" s="50" t="str">
        <f>IFERROR(VLOOKUP($A612,EVENTO!$A$2:$C$4999,2,FALSE),"")</f>
        <v>CADASTRO</v>
      </c>
      <c r="C612" s="50" t="str">
        <f>IFERROR(VLOOKUP($A612,EVENTO!$A$2:$C$4999,3,FALSE),"")</f>
        <v>Fundação Edson Queiroz</v>
      </c>
      <c r="D612" s="54">
        <v>45971.0</v>
      </c>
      <c r="E612" s="6">
        <v>1.0</v>
      </c>
      <c r="F612" s="53"/>
      <c r="G612" s="53">
        <v>45982.0</v>
      </c>
      <c r="H612" s="53"/>
      <c r="I612" s="49">
        <v>1200.0</v>
      </c>
    </row>
    <row r="613">
      <c r="A613" s="6">
        <v>625.0</v>
      </c>
      <c r="B613" s="50" t="str">
        <f>IFERROR(VLOOKUP($A613,EVENTO!$A$2:$C$4999,2,FALSE),"")</f>
        <v>CADASTRO</v>
      </c>
      <c r="C613" s="50" t="str">
        <f>IFERROR(VLOOKUP($A613,EVENTO!$A$2:$C$4999,3,FALSE),"")</f>
        <v>TORRES ASSESSORIA EM LICITAÇÕES E GESTÃO PUBLICA LTDA,</v>
      </c>
      <c r="D613" s="54">
        <v>45958.0</v>
      </c>
      <c r="E613" s="6">
        <v>6.0</v>
      </c>
      <c r="F613" s="52"/>
      <c r="G613" s="52">
        <v>46140.0</v>
      </c>
      <c r="H613" s="52"/>
      <c r="I613" s="49">
        <v>954.0</v>
      </c>
    </row>
    <row r="614">
      <c r="A614" s="6">
        <v>626.0</v>
      </c>
      <c r="B614" s="50" t="str">
        <f>IFERROR(VLOOKUP($A614,EVENTO!$A$2:$C$4999,2,FALSE),"")</f>
        <v>CADASTRO</v>
      </c>
      <c r="C614" s="50" t="str">
        <f>IFERROR(VLOOKUP($A614,EVENTO!$A$2:$C$4999,3,FALSE),"")</f>
        <v>COMERCIAL DE MEDICAMENTOS CAVALCANTE LTDA - FARMÁCIA PREMIUM</v>
      </c>
      <c r="D614" s="51">
        <v>46023.0</v>
      </c>
      <c r="E614" s="6">
        <v>12.0</v>
      </c>
      <c r="F614" s="53"/>
      <c r="G614" s="53">
        <v>46387.0</v>
      </c>
      <c r="H614" s="53"/>
      <c r="I614" s="49">
        <v>1440.0</v>
      </c>
    </row>
    <row r="615">
      <c r="A615" s="6">
        <v>627.0</v>
      </c>
      <c r="B615" s="50" t="str">
        <f>IFERROR(VLOOKUP($A615,EVENTO!$A$2:$C$4999,2,FALSE),"")</f>
        <v>CADASTRO</v>
      </c>
      <c r="C615" s="50" t="str">
        <f>IFERROR(VLOOKUP($A615,EVENTO!$A$2:$C$4999,3,FALSE),"")</f>
        <v>PREFEITURA MUNICIPAL DE TAUÁ - SECRETARIA DE GOVERNO</v>
      </c>
      <c r="D615" s="51">
        <v>46045.0</v>
      </c>
      <c r="E615" s="6">
        <v>12.0</v>
      </c>
      <c r="F615" s="6">
        <v>120.0</v>
      </c>
      <c r="G615" s="52">
        <v>46408.0</v>
      </c>
      <c r="H615" s="52">
        <v>49695.0</v>
      </c>
      <c r="I615" s="49">
        <v>31764.0</v>
      </c>
    </row>
    <row r="616">
      <c r="A616" s="6">
        <v>628.0</v>
      </c>
      <c r="B616" s="50" t="str">
        <f>IFERROR(VLOOKUP($A616,EVENTO!$A$2:$C$4999,2,FALSE),"")</f>
        <v>CADASTRO</v>
      </c>
      <c r="C616" s="50" t="str">
        <f>IFERROR(VLOOKUP($A616,EVENTO!$A$2:$C$4999,3,FALSE),"")</f>
        <v>SOCIEDADE PAULISTA DE MEDICINA VETERINÁRIA</v>
      </c>
      <c r="D616" s="51">
        <v>45301.0</v>
      </c>
      <c r="E616" s="6">
        <v>12.0</v>
      </c>
      <c r="G616" s="52">
        <v>46762.0</v>
      </c>
      <c r="H616" s="52"/>
      <c r="I616" s="49">
        <v>3000.0</v>
      </c>
    </row>
    <row r="617">
      <c r="A617" s="6">
        <v>629.0</v>
      </c>
      <c r="B617" s="50" t="str">
        <f>IFERROR(VLOOKUP($A617,EVENTO!$A$2:$C$4999,2,FALSE),"")</f>
        <v>ADITIVO DE PRAZO</v>
      </c>
      <c r="C617" s="50" t="str">
        <f>IFERROR(VLOOKUP($A617,EVENTO!$A$2:$C$4999,3,FALSE),"")</f>
        <v>SOCIEDADE PAULISTA DE MEDICINA VETERINÁRIA</v>
      </c>
      <c r="D617" s="51">
        <v>45667.0</v>
      </c>
      <c r="E617" s="6">
        <v>12.0</v>
      </c>
      <c r="G617" s="52">
        <v>46032.0</v>
      </c>
      <c r="I617" s="49">
        <v>3000.0</v>
      </c>
    </row>
    <row r="618">
      <c r="A618" s="6">
        <v>630.0</v>
      </c>
      <c r="B618" s="50" t="str">
        <f>IFERROR(VLOOKUP($A618,EVENTO!$A$2:$C$4999,2,FALSE),"")</f>
        <v>CADASTRO</v>
      </c>
      <c r="C618" s="50" t="str">
        <f>IFERROR(VLOOKUP($A618,EVENTO!$A$2:$C$4999,3,FALSE),"")</f>
        <v>FACULDADE CENTRO SUL LTDA</v>
      </c>
      <c r="D618" s="54">
        <v>45977.0</v>
      </c>
      <c r="E618" s="6">
        <v>1.0</v>
      </c>
      <c r="G618" s="53">
        <v>45982.0</v>
      </c>
      <c r="I618" s="49">
        <v>6250.0</v>
      </c>
    </row>
    <row r="619">
      <c r="A619" s="6">
        <v>631.0</v>
      </c>
      <c r="B619" s="50" t="str">
        <f>IFERROR(VLOOKUP($A619,EVENTO!$A$2:$C$4999,2,FALSE),"")</f>
        <v>CADASTRO</v>
      </c>
      <c r="C619" s="50" t="str">
        <f>IFERROR(VLOOKUP($A619,EVENTO!$A$2:$C$4999,3,FALSE),"")</f>
        <v>INSTITUTO DE SAUDE, EDUCACAO E CULTURA - ISEC</v>
      </c>
      <c r="D619" s="54">
        <v>45971.0</v>
      </c>
      <c r="E619" s="6">
        <v>1.0</v>
      </c>
      <c r="G619" s="53">
        <v>46001.0</v>
      </c>
      <c r="I619" s="49">
        <v>2500.0</v>
      </c>
    </row>
    <row r="620">
      <c r="A620" s="6">
        <v>632.0</v>
      </c>
      <c r="B620" s="50" t="str">
        <f>IFERROR(VLOOKUP($A620,EVENTO!$A$2:$C$4999,2,FALSE),"")</f>
        <v>CADASTRO</v>
      </c>
      <c r="C620" s="50" t="str">
        <f>IFERROR(VLOOKUP($A620,EVENTO!$A$2:$C$4999,3,FALSE),"")</f>
        <v>CEE - CENTRO DE EDUCACÃO ELIT LTDA</v>
      </c>
      <c r="D620" s="54">
        <v>46014.0</v>
      </c>
      <c r="E620" s="6">
        <v>1.0</v>
      </c>
      <c r="G620" s="52">
        <v>46045.0</v>
      </c>
      <c r="I620" s="49">
        <v>15500.0</v>
      </c>
    </row>
    <row r="621">
      <c r="A621" s="6">
        <v>633.0</v>
      </c>
      <c r="B621" s="50" t="str">
        <f>IFERROR(VLOOKUP($A621,EVENTO!$A$2:$C$4999,2,FALSE),"")</f>
        <v>CADASTRO</v>
      </c>
      <c r="C621" s="50" t="str">
        <f>IFERROR(VLOOKUP($A621,EVENTO!$A$2:$C$4999,3,FALSE),"")</f>
        <v>CASPE SERVIÇOS DE CONTABILIDADE PÚBLICA E EMPRESARIAL SS,</v>
      </c>
      <c r="D621" s="51">
        <v>46037.0</v>
      </c>
      <c r="E621" s="6">
        <v>1.0</v>
      </c>
      <c r="G621" s="52">
        <v>46055.0</v>
      </c>
      <c r="I621" s="49">
        <v>1096.0</v>
      </c>
    </row>
    <row r="622">
      <c r="A622" s="6">
        <v>634.0</v>
      </c>
      <c r="B622" s="50" t="str">
        <f>IFERROR(VLOOKUP($A622,EVENTO!$A$2:$C$4999,2,FALSE),"")</f>
        <v>CADASTRO</v>
      </c>
      <c r="C622" s="50" t="str">
        <f>IFERROR(VLOOKUP($A622,EVENTO!$A$2:$C$4999,3,FALSE),"")</f>
        <v>MN EMPREENDIMENTOS E SOLUÇÕES ADMINISTRATIVAS EIRELI</v>
      </c>
      <c r="D622" s="51">
        <v>45505.0</v>
      </c>
      <c r="E622" s="6">
        <v>5.0</v>
      </c>
      <c r="G622" s="53">
        <v>45657.0</v>
      </c>
      <c r="I622" s="49">
        <v>4825.0</v>
      </c>
    </row>
    <row r="623">
      <c r="A623" s="6">
        <v>635.0</v>
      </c>
      <c r="B623" s="50" t="str">
        <f>IFERROR(VLOOKUP($A623,EVENTO!$A$2:$C$4999,2,FALSE),"")</f>
        <v>ADITIVO DE PRAZO</v>
      </c>
      <c r="C623" s="50" t="str">
        <f>IFERROR(VLOOKUP($A623,EVENTO!$A$2:$C$4999,3,FALSE),"")</f>
        <v>MN EMPREENDIMENTOS E SOLUÇÕES ADMINISTRATIVAS EIRELI</v>
      </c>
      <c r="D623" s="51">
        <v>45658.0</v>
      </c>
      <c r="E623" s="6">
        <v>4.0</v>
      </c>
      <c r="G623" s="52">
        <v>45777.0</v>
      </c>
      <c r="I623" s="49">
        <v>3860.0</v>
      </c>
    </row>
    <row r="624">
      <c r="A624" s="6">
        <v>636.0</v>
      </c>
      <c r="B624" s="50" t="str">
        <f>IFERROR(VLOOKUP($A624,EVENTO!$A$2:$C$4999,2,FALSE),"")</f>
        <v>ADITIVO DE PRAZO</v>
      </c>
      <c r="C624" s="50" t="str">
        <f>IFERROR(VLOOKUP($A624,EVENTO!$A$2:$C$4999,3,FALSE),"")</f>
        <v>MN EMPREENDIMENTOS E SOLUÇÕES ADMINISTRATIVAS EIRELI</v>
      </c>
      <c r="D624" s="51">
        <v>45778.0</v>
      </c>
      <c r="E624" s="6">
        <v>8.0</v>
      </c>
      <c r="G624" s="53">
        <v>46022.0</v>
      </c>
      <c r="I624" s="49">
        <v>7720.0</v>
      </c>
    </row>
    <row r="625">
      <c r="A625" s="6">
        <v>637.0</v>
      </c>
      <c r="B625" s="50" t="str">
        <f>IFERROR(VLOOKUP($A625,EVENTO!$A$2:$C$4999,2,FALSE),"")</f>
        <v>ADITIVO DE PRAZO</v>
      </c>
      <c r="C625" s="50" t="str">
        <f>IFERROR(VLOOKUP($A625,EVENTO!$A$2:$C$4999,3,FALSE),"")</f>
        <v>MN EMPREENDIMENTOS E SOLUÇÕES ADMINISTRATIVAS EIRELI</v>
      </c>
      <c r="D625" s="51">
        <v>46023.0</v>
      </c>
      <c r="E625" s="6">
        <v>12.0</v>
      </c>
      <c r="G625" s="53">
        <v>46387.0</v>
      </c>
      <c r="I625" s="49">
        <v>11580.0</v>
      </c>
    </row>
    <row r="626">
      <c r="A626" s="6">
        <v>638.0</v>
      </c>
      <c r="B626" s="50" t="str">
        <f>IFERROR(VLOOKUP($A626,EVENTO!$A$2:$C$4999,2,FALSE),"")</f>
        <v>ADITIVO DE PRAZO</v>
      </c>
      <c r="C626" s="50" t="str">
        <f>IFERROR(VLOOKUP($A626,EVENTO!$A$2:$C$4999,3,FALSE),"")</f>
        <v>ISG - PRIMILAB</v>
      </c>
      <c r="D626" s="51">
        <v>46075.0</v>
      </c>
      <c r="E626" s="6">
        <v>12.0</v>
      </c>
      <c r="F626" s="68">
        <v>60.0</v>
      </c>
      <c r="G626" s="69">
        <v>46075.0</v>
      </c>
      <c r="H626" s="69">
        <v>46075.0</v>
      </c>
      <c r="I626" s="70">
        <v>2844.0</v>
      </c>
    </row>
    <row r="627">
      <c r="A627" s="6">
        <v>639.0</v>
      </c>
      <c r="B627" s="50" t="str">
        <f>IFERROR(VLOOKUP($A627,EVENTO!$A$2:$C$4999,2,FALSE),"")</f>
        <v>ADITIVO DE SUPRESSÃO</v>
      </c>
      <c r="C627" s="50" t="str">
        <f>IFERROR(VLOOKUP($A627,EVENTO!$A$2:$C$4999,3,FALSE),"")</f>
        <v>PREFEITURA MUNICIPAL DE TAUÁ - SECRETARIA DE GOVERNO</v>
      </c>
      <c r="D627" s="51">
        <v>46045.0</v>
      </c>
      <c r="F627" s="6">
        <v>120.0</v>
      </c>
      <c r="G627" s="52">
        <v>46399.0</v>
      </c>
      <c r="H627" s="52">
        <v>49686.0</v>
      </c>
      <c r="I627" s="49">
        <v>23823.0</v>
      </c>
    </row>
    <row r="628">
      <c r="A628" s="6">
        <v>640.0</v>
      </c>
      <c r="B628" s="50" t="str">
        <f>IFERROR(VLOOKUP($A628,EVENTO!$A$2:$C$4999,2,FALSE),"")</f>
        <v>CADASTRO</v>
      </c>
      <c r="C628" s="50" t="str">
        <f>IFERROR(VLOOKUP($A628,EVENTO!$A$2:$C$4999,3,FALSE),"")</f>
        <v>PREFEITURA MUNICIPAL DE TAUÁ - SECRETARIA DE DESENVOLVIMENTO RURAL E RECURSOS HIDRICOS</v>
      </c>
      <c r="D628" s="51">
        <v>46044.0</v>
      </c>
      <c r="E628" s="6">
        <v>12.0</v>
      </c>
      <c r="F628" s="6">
        <v>120.0</v>
      </c>
      <c r="G628" s="52">
        <v>46408.0</v>
      </c>
      <c r="H628" s="52">
        <v>49695.0</v>
      </c>
      <c r="I628" s="49">
        <v>33192.0</v>
      </c>
    </row>
    <row r="629">
      <c r="A629" s="6">
        <v>641.0</v>
      </c>
      <c r="B629" s="50" t="str">
        <f>IFERROR(VLOOKUP($A629,EVENTO!$A$2:$C$4999,2,FALSE),"")</f>
        <v>ADITIVO DE SUPRESSÃO</v>
      </c>
      <c r="C629" s="50" t="str">
        <f>IFERROR(VLOOKUP($A629,EVENTO!$A$2:$C$4999,3,FALSE),"")</f>
        <v>PREFEITURA MUNICIPAL DE TAUÁ - SECRETARIA DE DESENVOLVIMENTO RURAL E RECURSOS HIDRICOS</v>
      </c>
      <c r="D629" s="51">
        <v>46044.0</v>
      </c>
      <c r="F629" s="6">
        <v>120.0</v>
      </c>
      <c r="G629" s="52">
        <v>46408.0</v>
      </c>
      <c r="H629" s="52">
        <v>49695.0</v>
      </c>
      <c r="I629" s="49">
        <v>24894.0</v>
      </c>
    </row>
    <row r="630">
      <c r="A630" s="6">
        <v>642.0</v>
      </c>
      <c r="B630" s="50" t="str">
        <f>IFERROR(VLOOKUP($A630,EVENTO!$A$2:$C$4999,2,FALSE),"")</f>
        <v/>
      </c>
      <c r="C630" s="50" t="str">
        <f>IFERROR(VLOOKUP($A630,EVENTO!$A$2:$C$4999,3,FALSE),"")</f>
        <v/>
      </c>
      <c r="D630" s="51">
        <v>45687.0</v>
      </c>
      <c r="E630" s="6">
        <v>60.0</v>
      </c>
      <c r="F630" s="6">
        <v>120.0</v>
      </c>
      <c r="G630" s="52">
        <v>47513.0</v>
      </c>
      <c r="H630" s="52">
        <v>49339.0</v>
      </c>
      <c r="I630" s="49">
        <v>13344.0</v>
      </c>
    </row>
    <row r="631">
      <c r="A631" s="6">
        <v>643.0</v>
      </c>
      <c r="B631" s="50" t="str">
        <f>IFERROR(VLOOKUP($A631,EVENTO!$A$2:$C$4999,2,FALSE),"")</f>
        <v>CADASTRO</v>
      </c>
      <c r="C631" s="50" t="str">
        <f>IFERROR(VLOOKUP($A631,EVENTO!$A$2:$C$4999,3,FALSE),"")</f>
        <v>PREFEITURA MUNICIPAL DE AQUIRAZ - SECRETARIA DE ADMINISTRAÇÃO E PLANEJAMENTO</v>
      </c>
      <c r="D631" s="51">
        <v>45891.0</v>
      </c>
      <c r="E631" s="6">
        <v>12.0</v>
      </c>
      <c r="F631" s="6">
        <v>120.0</v>
      </c>
      <c r="G631" s="52">
        <v>46255.0</v>
      </c>
      <c r="H631" s="52">
        <v>49542.0</v>
      </c>
      <c r="I631" s="49">
        <v>123048.0</v>
      </c>
    </row>
    <row r="632">
      <c r="A632" s="6">
        <v>644.0</v>
      </c>
      <c r="B632" s="50" t="str">
        <f>IFERROR(VLOOKUP($A632,EVENTO!$A$2:$C$4999,2,FALSE),"")</f>
        <v>CADASTRO</v>
      </c>
      <c r="C632" s="50" t="str">
        <f>IFERROR(VLOOKUP($A632,EVENTO!$A$2:$C$4999,3,FALSE),"")</f>
        <v>PREFEITURA MUNICIPAL DE AQUIRAZ - SECRETARIA DE AGRICULTURA, PECUÁRIA, AQUICULTURA, PESCA E RECURSOS HÍDRICOS</v>
      </c>
      <c r="D632" s="51">
        <v>45891.0</v>
      </c>
      <c r="E632" s="6">
        <v>12.0</v>
      </c>
      <c r="F632" s="6">
        <v>120.0</v>
      </c>
      <c r="G632" s="52">
        <v>46255.0</v>
      </c>
      <c r="H632" s="52">
        <v>49542.0</v>
      </c>
      <c r="I632" s="49">
        <v>39828.0</v>
      </c>
    </row>
    <row r="633">
      <c r="A633" s="6">
        <v>645.0</v>
      </c>
      <c r="B633" s="50" t="str">
        <f>IFERROR(VLOOKUP($A633,EVENTO!$A$2:$C$4999,2,FALSE),"")</f>
        <v>CADASTRO</v>
      </c>
      <c r="C633" s="50" t="str">
        <f>IFERROR(VLOOKUP($A633,EVENTO!$A$2:$C$4999,3,FALSE),"")</f>
        <v>PREFEITURA MUNICIPAL DE AQUIRAZ - SECRETARIA DO TRABALHO E ASSISTÊNCIA SOCIAL</v>
      </c>
      <c r="D633" s="51">
        <v>45891.0</v>
      </c>
      <c r="E633" s="6">
        <v>12.0</v>
      </c>
      <c r="F633" s="6">
        <v>120.0</v>
      </c>
      <c r="G633" s="52">
        <v>46255.0</v>
      </c>
      <c r="H633" s="52">
        <v>49542.0</v>
      </c>
      <c r="I633" s="49">
        <v>260304.0</v>
      </c>
    </row>
    <row r="634">
      <c r="A634" s="6">
        <v>646.0</v>
      </c>
      <c r="B634" s="50" t="str">
        <f>IFERROR(VLOOKUP($A634,EVENTO!$A$2:$C$4999,2,FALSE),"")</f>
        <v>CADASTRO</v>
      </c>
      <c r="C634" s="50" t="str">
        <f>IFERROR(VLOOKUP($A634,EVENTO!$A$2:$C$4999,3,FALSE),"")</f>
        <v>PREFEITURA MUNICIPAL DE ACARAU - CONTROLADORIA GERAL DO MUNICÍPIO E OUVIDORIA</v>
      </c>
      <c r="D634" s="51">
        <v>45436.0</v>
      </c>
      <c r="E634" s="6">
        <v>12.0</v>
      </c>
      <c r="F634" s="6">
        <v>120.0</v>
      </c>
      <c r="G634" s="52">
        <v>45801.0</v>
      </c>
      <c r="H634" s="52">
        <v>49088.0</v>
      </c>
      <c r="I634" s="49">
        <v>30600.0</v>
      </c>
    </row>
    <row r="635">
      <c r="A635" s="6">
        <v>647.0</v>
      </c>
      <c r="B635" s="50" t="str">
        <f>IFERROR(VLOOKUP($A635,EVENTO!$A$2:$C$4999,2,FALSE),"")</f>
        <v>CADASTRO</v>
      </c>
      <c r="C635" s="50" t="str">
        <f>IFERROR(VLOOKUP($A635,EVENTO!$A$2:$C$4999,3,FALSE),"")</f>
        <v>CONSÓRCIO PÚBLICO DE SAÚDE DO MACIÇO DE BATURITÉ - CPSMB</v>
      </c>
      <c r="D635" s="51">
        <v>45666.0</v>
      </c>
      <c r="E635" s="6">
        <v>12.0</v>
      </c>
      <c r="F635" s="6">
        <v>120.0</v>
      </c>
      <c r="G635" s="53">
        <v>46022.0</v>
      </c>
      <c r="H635" s="53">
        <v>49674.0</v>
      </c>
      <c r="I635" s="49">
        <v>7200.0</v>
      </c>
    </row>
    <row r="636">
      <c r="A636" s="6">
        <v>648.0</v>
      </c>
      <c r="B636" s="50" t="str">
        <f>IFERROR(VLOOKUP($A636,EVENTO!$A$2:$C$4999,2,FALSE),"")</f>
        <v>CADASTRO</v>
      </c>
      <c r="C636" s="50" t="str">
        <f>IFERROR(VLOOKUP($A636,EVENTO!$A$2:$C$4999,3,FALSE),"")</f>
        <v>PREFEITURA MUNICIPAL DE AQUIRAZ - CONTROLADORIA GERAL DO MUNICIPIO</v>
      </c>
      <c r="D636" s="51">
        <v>45891.0</v>
      </c>
      <c r="E636" s="6">
        <v>12.0</v>
      </c>
      <c r="F636" s="6">
        <v>120.0</v>
      </c>
      <c r="G636" s="52">
        <v>46255.0</v>
      </c>
      <c r="H636" s="52">
        <v>49542.0</v>
      </c>
      <c r="I636" s="49">
        <v>30216.0</v>
      </c>
    </row>
    <row r="637">
      <c r="A637" s="6">
        <v>649.0</v>
      </c>
      <c r="B637" s="50" t="str">
        <f>IFERROR(VLOOKUP($A637,EVENTO!$A$2:$C$4999,2,FALSE),"")</f>
        <v>ADITIVO DE PRAZO</v>
      </c>
      <c r="C637" s="50" t="str">
        <f>IFERROR(VLOOKUP($A637,EVENTO!$A$2:$C$4999,3,FALSE),"")</f>
        <v>PREFEITURA MUNICIPAL DE ACARAU - CONTROLADORIA GERAL DO MUNICÍPIO E OUVIDORIA</v>
      </c>
      <c r="D637" s="51">
        <v>45802.0</v>
      </c>
      <c r="E637" s="6">
        <v>12.0</v>
      </c>
      <c r="F637" s="6">
        <v>120.0</v>
      </c>
      <c r="G637" s="52">
        <v>46166.0</v>
      </c>
      <c r="H637" s="52">
        <v>49088.0</v>
      </c>
      <c r="I637" s="49">
        <v>30600.0</v>
      </c>
    </row>
    <row r="638">
      <c r="A638" s="6">
        <v>650.0</v>
      </c>
      <c r="B638" s="50" t="str">
        <f>IFERROR(VLOOKUP($A638,EVENTO!$A$2:$C$4999,2,FALSE),"")</f>
        <v>CADASTRO</v>
      </c>
      <c r="C638" s="50" t="str">
        <f>IFERROR(VLOOKUP($A638,EVENTO!$A$2:$C$4999,3,FALSE),"")</f>
        <v>PREFEITURA MUNICIPAL DE AQUIRAZ - SECRETARIA DE CULTURA</v>
      </c>
      <c r="D638" s="51">
        <v>45891.0</v>
      </c>
      <c r="E638" s="6">
        <v>12.0</v>
      </c>
      <c r="F638" s="6">
        <v>120.0</v>
      </c>
      <c r="G638" s="52">
        <v>46255.0</v>
      </c>
      <c r="H638" s="52">
        <v>49542.0</v>
      </c>
      <c r="I638" s="49">
        <v>23616.0</v>
      </c>
    </row>
    <row r="639">
      <c r="A639" s="6">
        <v>651.0</v>
      </c>
      <c r="B639" s="50" t="str">
        <f>IFERROR(VLOOKUP($A639,EVENTO!$A$2:$C$4999,2,FALSE),"")</f>
        <v>CADASTRO</v>
      </c>
      <c r="C639" s="50" t="str">
        <f>IFERROR(VLOOKUP($A639,EVENTO!$A$2:$C$4999,3,FALSE),"")</f>
        <v>CONSÓRCIO PÚBLICO DE SAÚDE DA MICRORREGIÃO DE CAMOCIM-CPSMCAM</v>
      </c>
      <c r="D639" s="51">
        <v>45316.0</v>
      </c>
      <c r="E639" s="6">
        <v>12.0</v>
      </c>
      <c r="F639" s="6">
        <v>120.0</v>
      </c>
      <c r="G639" s="52">
        <v>45681.0</v>
      </c>
      <c r="H639" s="52">
        <v>48968.0</v>
      </c>
      <c r="I639" s="49">
        <v>11760.0</v>
      </c>
    </row>
    <row r="640">
      <c r="A640" s="6">
        <v>652.0</v>
      </c>
      <c r="B640" s="50" t="str">
        <f>IFERROR(VLOOKUP($A640,EVENTO!$A$2:$C$4999,2,FALSE),"")</f>
        <v>ADITIVO DE PRAZO</v>
      </c>
      <c r="C640" s="50" t="str">
        <f>IFERROR(VLOOKUP($A640,EVENTO!$A$2:$C$4999,3,FALSE),"")</f>
        <v>CONSÓRCIO PÚBLICO DE SAÚDE DA MICRORREGIÃO DE CAMOCIM-CPSMCAM</v>
      </c>
      <c r="D640" s="51">
        <v>45681.0</v>
      </c>
      <c r="E640" s="6">
        <v>12.0</v>
      </c>
      <c r="F640" s="6">
        <v>120.0</v>
      </c>
      <c r="G640" s="52">
        <v>46046.0</v>
      </c>
      <c r="H640" s="52">
        <v>48968.0</v>
      </c>
      <c r="I640" s="49">
        <v>11760.0</v>
      </c>
    </row>
    <row r="641">
      <c r="A641" s="6">
        <v>653.0</v>
      </c>
      <c r="B641" s="50" t="str">
        <f>IFERROR(VLOOKUP($A641,EVENTO!$A$2:$C$4999,2,FALSE),"")</f>
        <v>CADASTRO</v>
      </c>
      <c r="C641" s="50" t="str">
        <f>IFERROR(VLOOKUP($A641,EVENTO!$A$2:$C$4999,3,FALSE),"")</f>
        <v>PREFEITURA MUNICIPAL DE AQUIRAZ - SECRETARIA DE EDUCAÇÃO</v>
      </c>
      <c r="D641" s="51">
        <v>45891.0</v>
      </c>
      <c r="E641" s="6">
        <v>12.0</v>
      </c>
      <c r="F641" s="6">
        <v>120.0</v>
      </c>
      <c r="G641" s="52">
        <v>46255.0</v>
      </c>
      <c r="H641" s="52">
        <v>49542.0</v>
      </c>
      <c r="I641" s="49">
        <v>177060.0</v>
      </c>
    </row>
    <row r="642">
      <c r="A642" s="6">
        <v>654.0</v>
      </c>
      <c r="B642" s="50" t="str">
        <f>IFERROR(VLOOKUP($A642,EVENTO!$A$2:$C$4999,2,FALSE),"")</f>
        <v>CADASTRO</v>
      </c>
      <c r="C642" s="50" t="str">
        <f>IFERROR(VLOOKUP($A642,EVENTO!$A$2:$C$4999,3,FALSE),"")</f>
        <v>PREFEITURA MUNICIPAL DE AQUIRAZ - SECRETARIA DE ESPORTE, JUVENTUDE E LAZER</v>
      </c>
      <c r="D642" s="51">
        <v>45891.0</v>
      </c>
      <c r="E642" s="6">
        <v>12.0</v>
      </c>
      <c r="F642" s="6">
        <v>120.0</v>
      </c>
      <c r="G642" s="52">
        <v>46255.0</v>
      </c>
      <c r="H642" s="52">
        <v>49542.0</v>
      </c>
      <c r="I642" s="49">
        <v>41076.0</v>
      </c>
    </row>
    <row r="643">
      <c r="A643" s="6">
        <v>655.0</v>
      </c>
      <c r="B643" s="50" t="str">
        <f>IFERROR(VLOOKUP($A643,EVENTO!$A$2:$C$4999,2,FALSE),"")</f>
        <v>CADASTRO</v>
      </c>
      <c r="C643" s="50" t="str">
        <f>IFERROR(VLOOKUP($A643,EVENTO!$A$2:$C$4999,3,FALSE),"")</f>
        <v>PREFEITURA MUNICIPAL DE AQUIRAZ - SECRETARIA DE FINANÇAS</v>
      </c>
      <c r="D643" s="51">
        <v>45891.0</v>
      </c>
      <c r="E643" s="6">
        <v>12.0</v>
      </c>
      <c r="F643" s="6">
        <v>120.0</v>
      </c>
      <c r="G643" s="52">
        <v>46255.0</v>
      </c>
      <c r="H643" s="52">
        <v>49542.0</v>
      </c>
      <c r="I643" s="49">
        <v>139896.0</v>
      </c>
    </row>
    <row r="644">
      <c r="A644" s="6">
        <v>656.0</v>
      </c>
      <c r="B644" s="50" t="str">
        <f>IFERROR(VLOOKUP($A644,EVENTO!$A$2:$C$4999,2,FALSE),"")</f>
        <v>CADASTRO</v>
      </c>
      <c r="C644" s="50" t="str">
        <f>IFERROR(VLOOKUP($A644,EVENTO!$A$2:$C$4999,3,FALSE),"")</f>
        <v>CONSÓRCIO PÚBLICO DE SAÚDE DA MICRORREGIÃO DE CRATO – CPSMC</v>
      </c>
      <c r="D644" s="51">
        <v>45891.0</v>
      </c>
      <c r="E644" s="6">
        <v>12.0</v>
      </c>
      <c r="F644" s="6">
        <v>120.0</v>
      </c>
      <c r="G644" s="52">
        <v>46255.0</v>
      </c>
      <c r="H644" s="52">
        <v>49177.0</v>
      </c>
      <c r="I644" s="49">
        <v>40980.0</v>
      </c>
    </row>
    <row r="645">
      <c r="A645" s="6">
        <v>657.0</v>
      </c>
      <c r="B645" s="50" t="str">
        <f>IFERROR(VLOOKUP($A645,EVENTO!$A$2:$C$4999,2,FALSE),"")</f>
        <v>CADASTRO</v>
      </c>
      <c r="C645" s="50" t="str">
        <f>IFERROR(VLOOKUP($A645,EVENTO!$A$2:$C$4999,3,FALSE),"")</f>
        <v>PREFEITURA MUNICIPAL DE AQUIRAZ - GABINETE DO VICE PREFEITO</v>
      </c>
      <c r="D645" s="51">
        <v>45891.0</v>
      </c>
      <c r="E645" s="6">
        <v>12.0</v>
      </c>
      <c r="F645" s="6">
        <v>120.0</v>
      </c>
      <c r="G645" s="52">
        <v>46255.0</v>
      </c>
      <c r="H645" s="52">
        <v>49542.0</v>
      </c>
      <c r="I645" s="49">
        <v>10104.0</v>
      </c>
    </row>
    <row r="646">
      <c r="A646" s="6">
        <v>658.0</v>
      </c>
      <c r="B646" s="50" t="str">
        <f>IFERROR(VLOOKUP($A646,EVENTO!$A$2:$C$4999,2,FALSE),"")</f>
        <v>CADASTRO</v>
      </c>
      <c r="C646" s="50" t="str">
        <f>IFERROR(VLOOKUP($A646,EVENTO!$A$2:$C$4999,3,FALSE),"")</f>
        <v>PREFEITURA MUNICIPAL DE AQUIRAZ - SECRETARIA DO GABINETE DO PREFEITO</v>
      </c>
      <c r="D646" s="51">
        <v>45891.0</v>
      </c>
      <c r="E646" s="6">
        <v>12.0</v>
      </c>
      <c r="F646" s="6">
        <v>120.0</v>
      </c>
      <c r="G646" s="52">
        <v>46255.0</v>
      </c>
      <c r="H646" s="52">
        <v>49542.0</v>
      </c>
      <c r="I646" s="49">
        <v>158616.0</v>
      </c>
    </row>
    <row r="647">
      <c r="A647" s="6">
        <v>659.0</v>
      </c>
      <c r="B647" s="50" t="str">
        <f>IFERROR(VLOOKUP($A647,EVENTO!$A$2:$C$4999,2,FALSE),"")</f>
        <v>CADASTRO</v>
      </c>
      <c r="C647" s="50" t="str">
        <f>IFERROR(VLOOKUP($A647,EVENTO!$A$2:$C$4999,3,FALSE),"")</f>
        <v>PREFEITURA MUNICIPAL DE ICÓ - SECRETARIA DO TRABALHO E ASSISTÊNCIA SOCIAL </v>
      </c>
      <c r="D647" s="51">
        <v>44684.0</v>
      </c>
      <c r="E647" s="6">
        <v>12.0</v>
      </c>
      <c r="F647" s="6">
        <v>48.0</v>
      </c>
      <c r="G647" s="52">
        <v>45048.0</v>
      </c>
      <c r="H647" s="52">
        <v>46144.0</v>
      </c>
      <c r="I647" s="49">
        <v>42360.0</v>
      </c>
    </row>
    <row r="648">
      <c r="A648" s="6">
        <v>661.0</v>
      </c>
      <c r="B648" s="50" t="str">
        <f>IFERROR(VLOOKUP($A648,EVENTO!$A$2:$C$4999,2,FALSE),"")</f>
        <v>CADASTRO</v>
      </c>
      <c r="C648" s="50" t="str">
        <f>IFERROR(VLOOKUP($A648,EVENTO!$A$2:$C$4999,3,FALSE),"")</f>
        <v>PREFEITURA MUNICIPAL DE AQUIRAZ - HOSPITAL GERAL MANOEL ASSUNÇÃO PIRES</v>
      </c>
      <c r="D648" s="51">
        <v>45891.0</v>
      </c>
      <c r="E648" s="6">
        <v>12.0</v>
      </c>
      <c r="F648" s="6">
        <v>120.0</v>
      </c>
      <c r="G648" s="52">
        <v>46255.0</v>
      </c>
      <c r="H648" s="52">
        <v>49542.0</v>
      </c>
      <c r="I648" s="49">
        <v>30996.0</v>
      </c>
    </row>
    <row r="649">
      <c r="A649" s="6">
        <v>660.0</v>
      </c>
      <c r="B649" s="50" t="str">
        <f>IFERROR(VLOOKUP($A649,EVENTO!$A$2:$C$4999,2,FALSE),"")</f>
        <v>ADITIVO DE PRAZO</v>
      </c>
      <c r="C649" s="50" t="str">
        <f>IFERROR(VLOOKUP($A649,EVENTO!$A$2:$C$4999,3,FALSE),"")</f>
        <v>PREFEITURA MUNICIPAL DE ICÓ - SECRETARIA DO TRABALHO E ASSISTÊNCIA SOCIAL </v>
      </c>
      <c r="D649" s="51">
        <v>45050.0</v>
      </c>
      <c r="E649" s="6">
        <v>12.0</v>
      </c>
      <c r="F649" s="6">
        <v>48.0</v>
      </c>
      <c r="G649" s="52">
        <v>45415.0</v>
      </c>
      <c r="H649" s="52">
        <v>46144.0</v>
      </c>
      <c r="I649" s="49">
        <v>42360.0</v>
      </c>
    </row>
    <row r="650">
      <c r="A650" s="6">
        <v>662.0</v>
      </c>
      <c r="B650" s="50" t="str">
        <f>IFERROR(VLOOKUP($A650,EVENTO!$A$2:$C$4999,2,FALSE),"")</f>
        <v>ADITIVO DE PRAZO</v>
      </c>
      <c r="C650" s="50" t="str">
        <f>IFERROR(VLOOKUP($A650,EVENTO!$A$2:$C$4999,3,FALSE),"")</f>
        <v>PREFEITURA MUNICIPAL DE ICÓ - SECRETARIA DO TRABALHO E ASSISTÊNCIA SOCIAL </v>
      </c>
      <c r="D650" s="51">
        <v>45415.0</v>
      </c>
      <c r="E650" s="6">
        <v>12.0</v>
      </c>
      <c r="F650" s="6">
        <v>48.0</v>
      </c>
      <c r="G650" s="52">
        <v>45780.0</v>
      </c>
      <c r="H650" s="52">
        <v>46144.0</v>
      </c>
      <c r="I650" s="49">
        <v>42360.0</v>
      </c>
    </row>
    <row r="651">
      <c r="A651" s="6">
        <v>663.0</v>
      </c>
      <c r="B651" s="50" t="str">
        <f>IFERROR(VLOOKUP($A651,EVENTO!$A$2:$C$4999,2,FALSE),"")</f>
        <v>ADITIVO DE PRAZO</v>
      </c>
      <c r="C651" s="50" t="str">
        <f>IFERROR(VLOOKUP($A651,EVENTO!$A$2:$C$4999,3,FALSE),"")</f>
        <v>PREFEITURA MUNICIPAL DE ICÓ - SECRETARIA DO TRABALHO E ASSISTÊNCIA SOCIAL </v>
      </c>
      <c r="D651" s="51">
        <v>45780.0</v>
      </c>
      <c r="E651" s="6">
        <v>12.0</v>
      </c>
      <c r="F651" s="6">
        <v>48.0</v>
      </c>
      <c r="G651" s="52">
        <v>46145.0</v>
      </c>
      <c r="H651" s="52">
        <v>46083.0</v>
      </c>
      <c r="I651" s="49">
        <v>42360.0</v>
      </c>
    </row>
    <row r="652">
      <c r="A652" s="6">
        <v>664.0</v>
      </c>
      <c r="B652" s="50" t="str">
        <f>IFERROR(VLOOKUP($A652,EVENTO!$A$2:$C$4999,2,FALSE),"")</f>
        <v>CADASTRO</v>
      </c>
      <c r="C652" s="50" t="str">
        <f>IFERROR(VLOOKUP($A652,EVENTO!$A$2:$C$4999,3,FALSE),"")</f>
        <v>PREFEITURA MUNICIPAL DE AQUIRAZ - SECRETARIA DE MEIO AMBIENTE E DESENVOLVIMENTO URBANO</v>
      </c>
      <c r="D652" s="51">
        <v>45891.0</v>
      </c>
      <c r="E652" s="6">
        <v>12.0</v>
      </c>
      <c r="F652" s="6">
        <v>120.0</v>
      </c>
      <c r="G652" s="52">
        <v>46255.0</v>
      </c>
      <c r="H652" s="52">
        <v>49542.0</v>
      </c>
      <c r="I652" s="49">
        <v>108480.0</v>
      </c>
    </row>
    <row r="653">
      <c r="A653" s="6">
        <v>665.0</v>
      </c>
      <c r="B653" s="50" t="str">
        <f>IFERROR(VLOOKUP($A653,EVENTO!$A$2:$C$4999,2,FALSE),"")</f>
        <v>CADASTRO</v>
      </c>
      <c r="C653" s="50" t="str">
        <f>IFERROR(VLOOKUP($A653,EVENTO!$A$2:$C$4999,3,FALSE),"")</f>
        <v>PREFEITURA MUNICIPAL DE ICÓ - SECRETARIA DE EDUCAÇÃO</v>
      </c>
      <c r="D653" s="51">
        <v>44684.0</v>
      </c>
      <c r="E653" s="6">
        <v>12.0</v>
      </c>
      <c r="F653" s="6">
        <v>48.0</v>
      </c>
      <c r="G653" s="52">
        <v>45049.0</v>
      </c>
      <c r="H653" s="52">
        <v>46145.0</v>
      </c>
      <c r="I653" s="49">
        <v>80880.0</v>
      </c>
    </row>
    <row r="654">
      <c r="A654" s="6">
        <v>666.0</v>
      </c>
      <c r="B654" s="50" t="str">
        <f>IFERROR(VLOOKUP($A654,EVENTO!$A$2:$C$4999,2,FALSE),"")</f>
        <v>CADASTRO</v>
      </c>
      <c r="C654" s="50" t="str">
        <f>IFERROR(VLOOKUP($A654,EVENTO!$A$2:$C$4999,3,FALSE),"")</f>
        <v>PREFEITURA MUNICIPAL DE AQUIRAZ - PROCURADORIA GERAL DO MUNICIPIO</v>
      </c>
      <c r="D654" s="51">
        <v>45891.0</v>
      </c>
      <c r="E654" s="6">
        <v>12.0</v>
      </c>
      <c r="F654" s="6">
        <v>120.0</v>
      </c>
      <c r="G654" s="52">
        <v>46255.0</v>
      </c>
      <c r="H654" s="52">
        <v>49542.0</v>
      </c>
      <c r="I654" s="49">
        <v>34440.0</v>
      </c>
    </row>
    <row r="655">
      <c r="A655" s="6">
        <v>667.0</v>
      </c>
      <c r="B655" s="50" t="str">
        <f>IFERROR(VLOOKUP($A655,EVENTO!$A$2:$C$4999,2,FALSE),"")</f>
        <v>ADITIVO DE PRAZO</v>
      </c>
      <c r="C655" s="50" t="str">
        <f>IFERROR(VLOOKUP($A655,EVENTO!$A$2:$C$4999,3,FALSE),"")</f>
        <v>PREFEITURA MUNICIPAL DE ICÓ - SECRETARIA DE EDUCAÇÃO</v>
      </c>
      <c r="D655" s="51">
        <v>45050.0</v>
      </c>
      <c r="E655" s="6">
        <v>12.0</v>
      </c>
      <c r="F655" s="6">
        <v>48.0</v>
      </c>
      <c r="G655" s="52">
        <v>45415.0</v>
      </c>
      <c r="H655" s="52">
        <v>46145.0</v>
      </c>
      <c r="I655" s="49">
        <v>80880.0</v>
      </c>
    </row>
    <row r="656">
      <c r="A656" s="6">
        <v>668.0</v>
      </c>
      <c r="B656" s="50" t="str">
        <f>IFERROR(VLOOKUP($A656,EVENTO!$A$2:$C$4999,2,FALSE),"")</f>
        <v>ADITIVO DE PRAZO</v>
      </c>
      <c r="C656" s="50" t="str">
        <f>IFERROR(VLOOKUP($A656,EVENTO!$A$2:$C$4999,3,FALSE),"")</f>
        <v>PREFEITURA MUNICIPAL DE ICÓ - SECRETARIA DE EDUCAÇÃO</v>
      </c>
      <c r="D656" s="51">
        <v>45415.0</v>
      </c>
      <c r="E656" s="6">
        <v>12.0</v>
      </c>
      <c r="F656" s="6">
        <v>48.0</v>
      </c>
      <c r="G656" s="52">
        <v>45780.0</v>
      </c>
      <c r="H656" s="52">
        <v>46145.0</v>
      </c>
      <c r="I656" s="49">
        <v>80880.0</v>
      </c>
    </row>
    <row r="657">
      <c r="A657" s="6">
        <v>669.0</v>
      </c>
      <c r="B657" s="50" t="str">
        <f>IFERROR(VLOOKUP($A657,EVENTO!$A$2:$C$4999,2,FALSE),"")</f>
        <v>ADITIVO DE PRAZO</v>
      </c>
      <c r="C657" s="50" t="str">
        <f>IFERROR(VLOOKUP($A657,EVENTO!$A$2:$C$4999,3,FALSE),"")</f>
        <v>PREFEITURA MUNICIPAL DE ICÓ - SECRETARIA DE EDUCAÇÃO</v>
      </c>
      <c r="D657" s="51">
        <v>45780.0</v>
      </c>
      <c r="E657" s="6">
        <v>12.0</v>
      </c>
      <c r="F657" s="6">
        <v>48.0</v>
      </c>
      <c r="G657" s="52">
        <v>46145.0</v>
      </c>
      <c r="H657" s="52">
        <v>46145.0</v>
      </c>
      <c r="I657" s="49">
        <v>80880.0</v>
      </c>
    </row>
    <row r="658">
      <c r="A658" s="6">
        <v>670.0</v>
      </c>
      <c r="B658" s="50" t="str">
        <f>IFERROR(VLOOKUP($A658,EVENTO!$A$2:$C$4999,2,FALSE),"")</f>
        <v>CADASTRO</v>
      </c>
      <c r="C658" s="50" t="str">
        <f>IFERROR(VLOOKUP($A658,EVENTO!$A$2:$C$4999,3,FALSE),"")</f>
        <v>PREFEITURA MUNICIPAL DE ICÓ - SECRETARIA DE ADMINISTRAÇÃO E FINANÇAS </v>
      </c>
      <c r="D658" s="51">
        <v>44684.0</v>
      </c>
      <c r="E658" s="6">
        <v>12.0</v>
      </c>
      <c r="F658" s="6">
        <v>48.0</v>
      </c>
      <c r="G658" s="52">
        <v>45049.0</v>
      </c>
      <c r="H658" s="52">
        <v>46145.0</v>
      </c>
      <c r="I658" s="49">
        <v>230160.0</v>
      </c>
    </row>
    <row r="659">
      <c r="A659" s="6">
        <v>671.0</v>
      </c>
      <c r="B659" s="50" t="str">
        <f>IFERROR(VLOOKUP($A659,EVENTO!$A$2:$C$4999,2,FALSE),"")</f>
        <v>ADITIVO DE PRAZO</v>
      </c>
      <c r="C659" s="50" t="str">
        <f>IFERROR(VLOOKUP($A659,EVENTO!$A$2:$C$4999,3,FALSE),"")</f>
        <v>PREFEITURA MUNICIPAL DE ICÓ - SECRETARIA DE ADMINISTRAÇÃO E FINANÇAS </v>
      </c>
      <c r="D659" s="51">
        <v>45050.0</v>
      </c>
      <c r="E659" s="6">
        <v>12.0</v>
      </c>
      <c r="F659" s="6">
        <v>48.0</v>
      </c>
      <c r="G659" s="52">
        <v>45415.0</v>
      </c>
      <c r="H659" s="52">
        <v>46145.0</v>
      </c>
      <c r="I659" s="49">
        <v>230160.0</v>
      </c>
    </row>
    <row r="660">
      <c r="A660" s="6">
        <v>672.0</v>
      </c>
      <c r="B660" s="50" t="str">
        <f>IFERROR(VLOOKUP($A660,EVENTO!$A$2:$C$4999,2,FALSE),"")</f>
        <v>ADITIVO DE PRAZO</v>
      </c>
      <c r="C660" s="50" t="str">
        <f>IFERROR(VLOOKUP($A660,EVENTO!$A$2:$C$4999,3,FALSE),"")</f>
        <v>PREFEITURA MUNICIPAL DE ICÓ - SECRETARIA DE ADMINISTRAÇÃO E FINANÇAS </v>
      </c>
      <c r="D660" s="51">
        <v>45415.0</v>
      </c>
      <c r="E660" s="6">
        <v>12.0</v>
      </c>
      <c r="F660" s="6">
        <v>48.0</v>
      </c>
      <c r="G660" s="52">
        <v>45780.0</v>
      </c>
      <c r="H660" s="52">
        <v>46145.0</v>
      </c>
      <c r="I660" s="49">
        <v>230160.0</v>
      </c>
    </row>
    <row r="661">
      <c r="A661" s="6">
        <v>673.0</v>
      </c>
      <c r="B661" s="50" t="str">
        <f>IFERROR(VLOOKUP($A661,EVENTO!$A$2:$C$4999,2,FALSE),"")</f>
        <v>ADITIVO DE PRAZO</v>
      </c>
      <c r="C661" s="50" t="str">
        <f>IFERROR(VLOOKUP($A661,EVENTO!$A$2:$C$4999,3,FALSE),"")</f>
        <v>PREFEITURA MUNICIPAL DE ICÓ - SECRETARIA DE ADMINISTRAÇÃO E FINANÇAS </v>
      </c>
      <c r="D661" s="51">
        <v>45780.0</v>
      </c>
      <c r="E661" s="6">
        <v>12.0</v>
      </c>
      <c r="F661" s="6">
        <v>48.0</v>
      </c>
      <c r="G661" s="52">
        <v>46145.0</v>
      </c>
      <c r="H661" s="52">
        <v>46145.0</v>
      </c>
      <c r="I661" s="49">
        <v>230160.0</v>
      </c>
    </row>
    <row r="662">
      <c r="A662" s="6">
        <v>674.0</v>
      </c>
      <c r="B662" s="50" t="str">
        <f>IFERROR(VLOOKUP($A662,EVENTO!$A$2:$C$4999,2,FALSE),"")</f>
        <v>CADASTRO</v>
      </c>
      <c r="C662" s="50" t="str">
        <f>IFERROR(VLOOKUP($A662,EVENTO!$A$2:$C$4999,3,FALSE),"")</f>
        <v>PREFEITURA MUNICIPAL DE ICÓ - SERVIÇO AUTÔNOMO DE ÁGUA E ESGOTO – SAAE</v>
      </c>
      <c r="D662" s="51">
        <v>44684.0</v>
      </c>
      <c r="E662" s="6">
        <v>12.0</v>
      </c>
      <c r="F662" s="6">
        <v>48.0</v>
      </c>
      <c r="G662" s="52">
        <v>45049.0</v>
      </c>
      <c r="H662" s="52">
        <v>46145.0</v>
      </c>
      <c r="I662" s="49">
        <v>55200.0</v>
      </c>
    </row>
    <row r="663">
      <c r="A663" s="6">
        <v>675.0</v>
      </c>
      <c r="B663" s="50" t="str">
        <f>IFERROR(VLOOKUP($A663,EVENTO!$A$2:$C$4999,2,FALSE),"")</f>
        <v>ADITIVO DE PRAZO</v>
      </c>
      <c r="C663" s="50" t="str">
        <f>IFERROR(VLOOKUP($A663,EVENTO!$A$2:$C$4999,3,FALSE),"")</f>
        <v>PREFEITURA MUNICIPAL DE ICÓ - SERVIÇO AUTÔNOMO DE ÁGUA E ESGOTO – SAAE</v>
      </c>
      <c r="D663" s="51">
        <v>45049.0</v>
      </c>
      <c r="E663" s="6">
        <v>12.0</v>
      </c>
      <c r="F663" s="6">
        <v>48.0</v>
      </c>
      <c r="G663" s="52">
        <v>45415.0</v>
      </c>
      <c r="H663" s="52">
        <v>46145.0</v>
      </c>
      <c r="I663" s="49">
        <v>55200.0</v>
      </c>
    </row>
    <row r="664">
      <c r="A664" s="6">
        <v>676.0</v>
      </c>
      <c r="B664" s="50" t="str">
        <f>IFERROR(VLOOKUP($A664,EVENTO!$A$2:$C$4999,2,FALSE),"")</f>
        <v>ADITIVO DE PRAZO</v>
      </c>
      <c r="C664" s="50" t="str">
        <f>IFERROR(VLOOKUP($A664,EVENTO!$A$2:$C$4999,3,FALSE),"")</f>
        <v>PREFEITURA MUNICIPAL DE ICÓ - SERVIÇO AUTÔNOMO DE ÁGUA E ESGOTO – SAAE</v>
      </c>
      <c r="D664" s="51">
        <v>45415.0</v>
      </c>
      <c r="E664" s="6">
        <v>12.0</v>
      </c>
      <c r="F664" s="6">
        <v>48.0</v>
      </c>
      <c r="G664" s="52">
        <v>45780.0</v>
      </c>
      <c r="H664" s="52">
        <v>46145.0</v>
      </c>
      <c r="I664" s="49">
        <v>55200.0</v>
      </c>
    </row>
    <row r="665">
      <c r="A665" s="6">
        <v>677.0</v>
      </c>
      <c r="B665" s="50" t="str">
        <f>IFERROR(VLOOKUP($A665,EVENTO!$A$2:$C$4999,2,FALSE),"")</f>
        <v>ADITIVO DE PRAZO</v>
      </c>
      <c r="C665" s="50" t="str">
        <f>IFERROR(VLOOKUP($A665,EVENTO!$A$2:$C$4999,3,FALSE),"")</f>
        <v>PREFEITURA MUNICIPAL DE ICÓ - SERVIÇO AUTÔNOMO DE ÁGUA E ESGOTO – SAAE</v>
      </c>
      <c r="D665" s="51">
        <v>45780.0</v>
      </c>
      <c r="E665" s="6">
        <v>12.0</v>
      </c>
      <c r="F665" s="6">
        <v>48.0</v>
      </c>
      <c r="G665" s="52">
        <v>46145.0</v>
      </c>
      <c r="H665" s="52">
        <v>46145.0</v>
      </c>
      <c r="I665" s="49">
        <v>55200.0</v>
      </c>
    </row>
    <row r="666">
      <c r="A666" s="6">
        <v>678.0</v>
      </c>
      <c r="B666" s="50" t="str">
        <f>IFERROR(VLOOKUP($A666,EVENTO!$A$2:$C$4999,2,FALSE),"")</f>
        <v>ADITIVO DE PRAZO</v>
      </c>
      <c r="C666" s="50" t="str">
        <f>IFERROR(VLOOKUP($A666,EVENTO!$A$2:$C$4999,3,FALSE),"")</f>
        <v>SECRETARIA MUNICIPAL DE INFORMAÇÃO E TECNOLOGIA - SEMIT</v>
      </c>
      <c r="D666" s="51">
        <v>46054.0</v>
      </c>
      <c r="E666" s="6">
        <v>12.0</v>
      </c>
      <c r="F666" s="6">
        <v>60.0</v>
      </c>
      <c r="G666" s="52">
        <v>46419.0</v>
      </c>
      <c r="H666" s="52">
        <v>47150.0</v>
      </c>
      <c r="I666" s="49">
        <v>233214.36</v>
      </c>
    </row>
    <row r="667">
      <c r="A667" s="6">
        <v>679.0</v>
      </c>
      <c r="B667" s="50" t="str">
        <f>IFERROR(VLOOKUP($A667,EVENTO!$A$2:$C$4999,2,FALSE),"")</f>
        <v>CADASTRO</v>
      </c>
      <c r="C667" s="50" t="str">
        <f>IFERROR(VLOOKUP($A667,EVENTO!$A$2:$C$4999,3,FALSE),"")</f>
        <v>PREFEITURA MUNICIPAL DE ICÓ - SECRETARIA DE SAUDE</v>
      </c>
      <c r="D667" s="51">
        <v>44684.0</v>
      </c>
      <c r="E667" s="6">
        <v>12.0</v>
      </c>
      <c r="F667" s="6">
        <v>48.0</v>
      </c>
      <c r="G667" s="52">
        <v>45049.0</v>
      </c>
      <c r="H667" s="52">
        <v>46145.0</v>
      </c>
      <c r="I667" s="49">
        <v>55200.0</v>
      </c>
    </row>
    <row r="668">
      <c r="A668" s="6">
        <v>680.0</v>
      </c>
      <c r="B668" s="50" t="str">
        <f>IFERROR(VLOOKUP($A668,EVENTO!$A$2:$C$4999,2,FALSE),"")</f>
        <v>ADITIVO DE PRAZO</v>
      </c>
      <c r="C668" s="50" t="str">
        <f>IFERROR(VLOOKUP($A668,EVENTO!$A$2:$C$4999,3,FALSE),"")</f>
        <v>PREFEITURA MUNICIPAL DE ICÓ - SECRETARIA DE SAUDE</v>
      </c>
      <c r="D668" s="51">
        <v>45050.0</v>
      </c>
      <c r="E668" s="6">
        <v>12.0</v>
      </c>
      <c r="F668" s="6">
        <v>48.0</v>
      </c>
      <c r="G668" s="52">
        <v>45415.0</v>
      </c>
      <c r="H668" s="52">
        <v>46145.0</v>
      </c>
      <c r="I668" s="49">
        <v>55200.0</v>
      </c>
    </row>
    <row r="669">
      <c r="A669" s="6">
        <v>681.0</v>
      </c>
      <c r="B669" s="50" t="str">
        <f>IFERROR(VLOOKUP($A669,EVENTO!$A$2:$C$4999,2,FALSE),"")</f>
        <v>ADITIVO DE PRAZO</v>
      </c>
      <c r="C669" s="50" t="str">
        <f>IFERROR(VLOOKUP($A669,EVENTO!$A$2:$C$4999,3,FALSE),"")</f>
        <v>PREFEITURA MUNICIPAL DE ICÓ - SECRETARIA DE SAUDE</v>
      </c>
      <c r="D669" s="51">
        <v>45415.0</v>
      </c>
      <c r="E669" s="6">
        <v>12.0</v>
      </c>
      <c r="F669" s="6">
        <v>48.0</v>
      </c>
      <c r="G669" s="52">
        <v>45780.0</v>
      </c>
      <c r="H669" s="52">
        <v>46145.0</v>
      </c>
      <c r="I669" s="49">
        <v>55200.0</v>
      </c>
    </row>
    <row r="670">
      <c r="A670" s="6">
        <v>682.0</v>
      </c>
      <c r="B670" s="50" t="str">
        <f>IFERROR(VLOOKUP($A670,EVENTO!$A$2:$C$4999,2,FALSE),"")</f>
        <v>ADITIVO DE PRAZO</v>
      </c>
      <c r="C670" s="50" t="str">
        <f>IFERROR(VLOOKUP($A670,EVENTO!$A$2:$C$4999,3,FALSE),"")</f>
        <v>PREFEITURA MUNICIPAL DE ICÓ - SECRETARIA DE SAUDE</v>
      </c>
      <c r="D670" s="51">
        <v>45780.0</v>
      </c>
      <c r="E670" s="6">
        <v>12.0</v>
      </c>
      <c r="F670" s="6">
        <v>48.0</v>
      </c>
      <c r="G670" s="52">
        <v>46145.0</v>
      </c>
      <c r="H670" s="52">
        <v>46145.0</v>
      </c>
      <c r="I670" s="49">
        <v>55200.0</v>
      </c>
    </row>
    <row r="671">
      <c r="A671" s="6">
        <v>683.0</v>
      </c>
      <c r="B671" s="50" t="str">
        <f>IFERROR(VLOOKUP($A671,EVENTO!$A$2:$C$4999,2,FALSE),"")</f>
        <v>CADASTRO</v>
      </c>
      <c r="C671" s="50" t="str">
        <f>IFERROR(VLOOKUP($A671,EVENTO!$A$2:$C$4999,3,FALSE),"")</f>
        <v>PREFEITURA MUNICIPAL DE ITATIRA - SECRETARIA DE ADMINISTRACAO E FINANCAS</v>
      </c>
      <c r="D671" s="51">
        <v>45394.0</v>
      </c>
      <c r="E671" s="6">
        <v>12.0</v>
      </c>
      <c r="F671" s="6">
        <v>120.0</v>
      </c>
      <c r="G671" s="52">
        <v>45759.0</v>
      </c>
      <c r="H671" s="52">
        <v>49046.0</v>
      </c>
      <c r="I671" s="49">
        <v>41940.0</v>
      </c>
    </row>
    <row r="672">
      <c r="A672" s="6">
        <v>684.0</v>
      </c>
      <c r="B672" s="50" t="str">
        <f>IFERROR(VLOOKUP($A672,EVENTO!$A$2:$C$4999,2,FALSE),"")</f>
        <v>CADASTRO</v>
      </c>
      <c r="C672" s="50" t="str">
        <f>IFERROR(VLOOKUP($A672,EVENTO!$A$2:$C$4999,3,FALSE),"")</f>
        <v>PREFEITURA MUNICIPAL DE AQUIRAZ - SECRETARIA DE SAÚDE</v>
      </c>
      <c r="D672" s="51">
        <v>45891.0</v>
      </c>
      <c r="E672" s="6">
        <v>12.0</v>
      </c>
      <c r="F672" s="6">
        <v>120.0</v>
      </c>
      <c r="G672" s="52">
        <v>46255.0</v>
      </c>
      <c r="H672" s="52">
        <v>49542.0</v>
      </c>
      <c r="I672" s="49">
        <v>344784.0</v>
      </c>
    </row>
    <row r="673">
      <c r="A673" s="6">
        <v>685.0</v>
      </c>
      <c r="B673" s="50" t="str">
        <f>IFERROR(VLOOKUP($A673,EVENTO!$A$2:$C$4999,2,FALSE),"")</f>
        <v>ADITIVO DE PRAZO</v>
      </c>
      <c r="C673" s="50" t="str">
        <f>IFERROR(VLOOKUP($A673,EVENTO!$A$2:$C$4999,3,FALSE),"")</f>
        <v>PREFEITURA MUNICIPAL DE ITATIRA - SECRETARIA DE ADMINISTRACAO E FINANCAS</v>
      </c>
      <c r="D673" s="51">
        <v>45760.0</v>
      </c>
      <c r="E673" s="6">
        <v>12.0</v>
      </c>
      <c r="F673" s="6">
        <v>120.0</v>
      </c>
      <c r="G673" s="52">
        <v>46124.0</v>
      </c>
      <c r="H673" s="52">
        <v>49046.0</v>
      </c>
      <c r="I673" s="49">
        <v>41940.0</v>
      </c>
    </row>
    <row r="674">
      <c r="A674" s="6">
        <v>686.0</v>
      </c>
      <c r="B674" s="50" t="str">
        <f>IFERROR(VLOOKUP($A674,EVENTO!$A$2:$C$4999,2,FALSE),"")</f>
        <v>CADASTRO</v>
      </c>
      <c r="C674" s="50" t="str">
        <f>IFERROR(VLOOKUP($A674,EVENTO!$A$2:$C$4999,3,FALSE),"")</f>
        <v>PREFEITURA MUNICIPAL DE ITATIRA - FUNDO MUNICIPAL DE EDUCAÇÃO</v>
      </c>
      <c r="D674" s="51">
        <v>45394.0</v>
      </c>
      <c r="E674" s="6">
        <v>12.0</v>
      </c>
      <c r="F674" s="6">
        <v>120.0</v>
      </c>
      <c r="G674" s="52">
        <v>45394.0</v>
      </c>
      <c r="H674" s="52">
        <v>49046.0</v>
      </c>
      <c r="I674" s="49">
        <v>60960.0</v>
      </c>
    </row>
    <row r="675">
      <c r="A675" s="6">
        <v>687.0</v>
      </c>
      <c r="B675" s="50" t="str">
        <f>IFERROR(VLOOKUP($A675,EVENTO!$A$2:$C$4999,2,FALSE),"")</f>
        <v>CADASTRO</v>
      </c>
      <c r="C675" s="50" t="str">
        <f>IFERROR(VLOOKUP($A675,EVENTO!$A$2:$C$4999,3,FALSE),"")</f>
        <v>PREFEITURA MUNICIPAL DE AQUIRAZ - SECRETARIA DE SEGURANÇA PÚBLICA E DEFESA CIVIL (GUARDA CIVIL)</v>
      </c>
      <c r="D675" s="51">
        <v>45891.0</v>
      </c>
      <c r="E675" s="6">
        <v>12.0</v>
      </c>
      <c r="F675" s="6">
        <v>120.0</v>
      </c>
      <c r="G675" s="52">
        <v>46255.0</v>
      </c>
      <c r="H675" s="52">
        <v>49542.0</v>
      </c>
      <c r="I675" s="49">
        <v>48084.0</v>
      </c>
    </row>
    <row r="676">
      <c r="A676" s="6">
        <v>688.0</v>
      </c>
      <c r="B676" s="50" t="str">
        <f>IFERROR(VLOOKUP($A676,EVENTO!$A$2:$C$4999,2,FALSE),"")</f>
        <v>ADITIVO DE PRAZO</v>
      </c>
      <c r="C676" s="50" t="str">
        <f>IFERROR(VLOOKUP($A676,EVENTO!$A$2:$C$4999,3,FALSE),"")</f>
        <v>PREFEITURA MUNICIPAL DE ITATIRA - FUNDO MUNICIPAL DE EDUCAÇÃO</v>
      </c>
      <c r="D676" s="51">
        <v>45760.0</v>
      </c>
      <c r="E676" s="6">
        <v>12.0</v>
      </c>
      <c r="F676" s="6">
        <v>120.0</v>
      </c>
      <c r="G676" s="52">
        <v>46124.0</v>
      </c>
      <c r="H676" s="52">
        <v>49046.0</v>
      </c>
      <c r="I676" s="49">
        <v>60960.0</v>
      </c>
    </row>
    <row r="677">
      <c r="A677" s="6">
        <v>689.0</v>
      </c>
      <c r="B677" s="50" t="str">
        <f>IFERROR(VLOOKUP($A677,EVENTO!$A$2:$C$4999,2,FALSE),"")</f>
        <v>CADASTRO</v>
      </c>
      <c r="C677" s="50" t="str">
        <f>IFERROR(VLOOKUP($A677,EVENTO!$A$2:$C$4999,3,FALSE),"")</f>
        <v>PREFEITURA MUNICIPAL DE AQUIRAZ - SECRETARIA DE SERVIÇOS PÚBLICOS</v>
      </c>
      <c r="D677" s="51">
        <v>45891.0</v>
      </c>
      <c r="E677" s="6">
        <v>12.0</v>
      </c>
      <c r="F677" s="6">
        <v>120.0</v>
      </c>
      <c r="G677" s="52">
        <v>46255.0</v>
      </c>
      <c r="H677" s="52">
        <v>49542.0</v>
      </c>
      <c r="I677" s="49">
        <v>105504.0</v>
      </c>
    </row>
    <row r="678">
      <c r="A678" s="6">
        <v>690.0</v>
      </c>
      <c r="B678" s="50" t="str">
        <f>IFERROR(VLOOKUP($A678,EVENTO!$A$2:$C$4999,2,FALSE),"")</f>
        <v>CADASTRO</v>
      </c>
      <c r="C678" s="50" t="str">
        <f>IFERROR(VLOOKUP($A678,EVENTO!$A$2:$C$4999,3,FALSE),"")</f>
        <v>PREFEITURA MUNICIPAL DE ITATIRA -  FUNDO MUNICIPAL DE SAUDE</v>
      </c>
      <c r="D678" s="51">
        <v>45394.0</v>
      </c>
      <c r="E678" s="6">
        <v>12.0</v>
      </c>
      <c r="F678" s="6">
        <v>120.0</v>
      </c>
      <c r="G678" s="52">
        <v>45759.0</v>
      </c>
      <c r="H678" s="52">
        <v>49046.0</v>
      </c>
      <c r="I678" s="49">
        <v>24600.0</v>
      </c>
    </row>
    <row r="679">
      <c r="A679" s="6">
        <v>691.0</v>
      </c>
      <c r="B679" s="50" t="str">
        <f>IFERROR(VLOOKUP($A679,EVENTO!$A$2:$C$4999,2,FALSE),"")</f>
        <v>ADITIVO DE PRAZO</v>
      </c>
      <c r="C679" s="50" t="str">
        <f>IFERROR(VLOOKUP($A679,EVENTO!$A$2:$C$4999,3,FALSE),"")</f>
        <v>PREFEITURA MUNICIPAL DE ITATIRA -  FUNDO MUNICIPAL DE SAUDE</v>
      </c>
      <c r="D679" s="51">
        <v>46125.0</v>
      </c>
      <c r="E679" s="6">
        <v>12.0</v>
      </c>
      <c r="F679" s="6">
        <v>120.0</v>
      </c>
      <c r="G679" s="52">
        <v>46124.0</v>
      </c>
      <c r="H679" s="52">
        <v>49046.0</v>
      </c>
      <c r="I679" s="49">
        <v>24600.0</v>
      </c>
    </row>
    <row r="680">
      <c r="A680" s="6">
        <v>692.0</v>
      </c>
      <c r="B680" s="50" t="str">
        <f>IFERROR(VLOOKUP($A680,EVENTO!$A$2:$C$4999,2,FALSE),"")</f>
        <v>CADASTRO</v>
      </c>
      <c r="C680" s="50" t="str">
        <f>IFERROR(VLOOKUP($A680,EVENTO!$A$2:$C$4999,3,FALSE),"")</f>
        <v>PREFEITURA MUNICIPAL DE AQUIRAZ - SECRETARIA MUNICIPAL DE TRÂNSITO E TRANSPORTE URBANO — SMTT</v>
      </c>
      <c r="D680" s="51">
        <v>45891.0</v>
      </c>
      <c r="E680" s="6">
        <v>12.0</v>
      </c>
      <c r="F680" s="6">
        <v>120.0</v>
      </c>
      <c r="G680" s="52">
        <v>46255.0</v>
      </c>
      <c r="H680" s="52">
        <v>49542.0</v>
      </c>
      <c r="I680" s="49">
        <v>51984.0</v>
      </c>
    </row>
    <row r="681">
      <c r="A681" s="6">
        <v>693.0</v>
      </c>
      <c r="B681" s="50" t="str">
        <f>IFERROR(VLOOKUP($A681,EVENTO!$A$2:$C$4999,2,FALSE),"")</f>
        <v>CADASTRO</v>
      </c>
      <c r="C681" s="50" t="str">
        <f>IFERROR(VLOOKUP($A681,EVENTO!$A$2:$C$4999,3,FALSE),"")</f>
        <v>FAMA SOLUCOES EM RECUPERACAO DE CREDITO LTDA - 006/2025</v>
      </c>
      <c r="D681" s="51">
        <v>45833.0</v>
      </c>
      <c r="E681" s="6">
        <v>36.0</v>
      </c>
      <c r="G681" s="52">
        <v>46929.0</v>
      </c>
      <c r="I681" s="49">
        <v>15480.0</v>
      </c>
    </row>
    <row r="682">
      <c r="A682" s="6">
        <v>694.0</v>
      </c>
      <c r="B682" s="50" t="str">
        <f>IFERROR(VLOOKUP($A682,EVENTO!$A$2:$C$4999,2,FALSE),"")</f>
        <v>CADASTRO</v>
      </c>
      <c r="C682" s="50" t="str">
        <f>IFERROR(VLOOKUP($A682,EVENTO!$A$2:$C$4999,3,FALSE),"")</f>
        <v>PREFEITURA. MUNICIPAL DE AQUIRAZ - SECRETARIA DE TURISMO</v>
      </c>
      <c r="D682" s="51">
        <v>45891.0</v>
      </c>
      <c r="E682" s="6">
        <v>12.0</v>
      </c>
      <c r="F682" s="6">
        <v>120.0</v>
      </c>
      <c r="G682" s="52">
        <v>46255.0</v>
      </c>
      <c r="H682" s="52">
        <v>49542.0</v>
      </c>
      <c r="I682" s="49">
        <v>27888.0</v>
      </c>
    </row>
    <row r="683">
      <c r="A683" s="6">
        <v>695.0</v>
      </c>
      <c r="B683" s="50" t="str">
        <f>IFERROR(VLOOKUP($A683,EVENTO!$A$2:$C$4999,2,FALSE),"")</f>
        <v>ADITIVO DE QUANTIDADE</v>
      </c>
      <c r="C683" s="50" t="str">
        <f>IFERROR(VLOOKUP($A683,EVENTO!$A$2:$C$4999,3,FALSE),"")</f>
        <v>FAMA SOLUCOES EM RECUPERACAO DE CREDITO LTDA - 006/2025</v>
      </c>
      <c r="D683" s="51">
        <v>45855.0</v>
      </c>
      <c r="E683" s="6">
        <v>36.0</v>
      </c>
      <c r="G683" s="52">
        <v>45855.0</v>
      </c>
      <c r="I683" s="49">
        <v>7740.0</v>
      </c>
    </row>
    <row r="684">
      <c r="A684" s="6">
        <v>696.0</v>
      </c>
      <c r="B684" s="50" t="str">
        <f>IFERROR(VLOOKUP($A684,EVENTO!$A$2:$C$4999,2,FALSE),"")</f>
        <v>CADASTRO</v>
      </c>
      <c r="C684" s="50" t="str">
        <f>IFERROR(VLOOKUP($A684,EVENTO!$A$2:$C$4999,3,FALSE),"")</f>
        <v>PREFEITURA MUNICIPAL DE CAMOCIM - SAÚDE - 2025.10.08.001</v>
      </c>
      <c r="D684" s="51">
        <v>46024.0</v>
      </c>
      <c r="E684" s="6">
        <v>12.0</v>
      </c>
      <c r="F684" s="6">
        <v>120.0</v>
      </c>
      <c r="G684" s="52">
        <v>46388.0</v>
      </c>
      <c r="H684" s="52">
        <v>49675.0</v>
      </c>
      <c r="I684" s="49">
        <v>124462.56</v>
      </c>
    </row>
    <row r="685">
      <c r="A685" s="6">
        <v>697.0</v>
      </c>
      <c r="B685" s="50" t="str">
        <f>IFERROR(VLOOKUP($A685,EVENTO!$A$2:$C$4999,2,FALSE),"")</f>
        <v>CADASTRO</v>
      </c>
      <c r="C685" s="50" t="str">
        <f>IFERROR(VLOOKUP($A685,EVENTO!$A$2:$C$4999,3,FALSE),"")</f>
        <v>CLAREAR COMÉRCIO E SERVIÇOS DE MÃO DE OBRA LTDA,</v>
      </c>
      <c r="D685" s="51">
        <v>45170.0</v>
      </c>
      <c r="E685" s="6">
        <v>24.0</v>
      </c>
      <c r="G685" s="52">
        <v>45901.0</v>
      </c>
      <c r="I685" s="49">
        <v>14976.0</v>
      </c>
    </row>
    <row r="686">
      <c r="A686" s="6">
        <v>698.0</v>
      </c>
      <c r="B686" s="50" t="str">
        <f>IFERROR(VLOOKUP($A686,EVENTO!$A$2:$C$4999,2,FALSE),"")</f>
        <v>ADITIVO DE SUPRESSÃO E QUANTIDADE</v>
      </c>
      <c r="C686" s="50" t="str">
        <f>IFERROR(VLOOKUP($A686,EVENTO!$A$2:$C$4999,3,FALSE),"")</f>
        <v>CLAREAR COMÉRCIO E SERVIÇOS DE MÃO DE OBRA LTDA,</v>
      </c>
      <c r="D686" s="54">
        <v>45230.0</v>
      </c>
      <c r="E686" s="6">
        <v>24.0</v>
      </c>
      <c r="G686" s="52">
        <v>45901.0</v>
      </c>
      <c r="I686" s="49">
        <v>16284.0</v>
      </c>
    </row>
    <row r="687">
      <c r="A687" s="6">
        <v>699.0</v>
      </c>
      <c r="B687" s="50" t="str">
        <f>IFERROR(VLOOKUP($A687,EVENTO!$A$2:$C$4999,2,FALSE),"")</f>
        <v>ADITIVO DE PRAZO</v>
      </c>
      <c r="C687" s="50" t="str">
        <f>IFERROR(VLOOKUP($A687,EVENTO!$A$2:$C$4999,3,FALSE),"")</f>
        <v>CLAREAR COMÉRCIO E SERVIÇOS DE MÃO DE OBRA LTDA,</v>
      </c>
      <c r="D687" s="51">
        <v>45910.0</v>
      </c>
      <c r="E687" s="6">
        <v>24.0</v>
      </c>
      <c r="G687" s="52">
        <v>46640.0</v>
      </c>
      <c r="I687" s="49">
        <v>16992.0</v>
      </c>
    </row>
    <row r="688">
      <c r="A688" s="6">
        <v>700.0</v>
      </c>
      <c r="B688" s="50" t="str">
        <f>IFERROR(VLOOKUP($A688,EVENTO!$A$2:$C$4999,2,FALSE),"")</f>
        <v>CADASTRO</v>
      </c>
      <c r="C688" s="50" t="str">
        <f>IFERROR(VLOOKUP($A688,EVENTO!$A$2:$C$4999,3,FALSE),"")</f>
        <v>JOANA D ARC CLAUDIO BRASIL DODO,</v>
      </c>
      <c r="D688" s="51">
        <v>45681.0</v>
      </c>
      <c r="E688" s="6">
        <v>12.0</v>
      </c>
      <c r="G688" s="52">
        <v>46046.0</v>
      </c>
      <c r="I688" s="49">
        <v>9072.0</v>
      </c>
    </row>
    <row r="689">
      <c r="A689" s="6">
        <v>701.0</v>
      </c>
      <c r="B689" s="50" t="str">
        <f>IFERROR(VLOOKUP($A689,EVENTO!$A$2:$C$4999,2,FALSE),"")</f>
        <v>CADASTRO</v>
      </c>
      <c r="C689" s="50" t="str">
        <f>IFERROR(VLOOKUP($A689,EVENTO!$A$2:$C$4999,3,FALSE),"")</f>
        <v>CÉLEBRE CONTABILIDADE E ASSESSORIA S/S LTDA,</v>
      </c>
      <c r="D689" s="51">
        <v>45427.0</v>
      </c>
      <c r="E689" s="6">
        <v>12.0</v>
      </c>
      <c r="G689" s="52">
        <v>45792.0</v>
      </c>
      <c r="I689" s="49">
        <v>2508.0</v>
      </c>
    </row>
    <row r="690">
      <c r="A690" s="6">
        <v>702.0</v>
      </c>
      <c r="B690" s="50" t="str">
        <f>IFERROR(VLOOKUP($A690,EVENTO!$A$2:$C$4999,2,FALSE),"")</f>
        <v>ADITIVO DE PRAZO</v>
      </c>
      <c r="C690" s="50" t="str">
        <f>IFERROR(VLOOKUP($A690,EVENTO!$A$2:$C$4999,3,FALSE),"")</f>
        <v>CÉLEBRE CONTABILIDADE E ASSESSORIA S/S LTDA,</v>
      </c>
      <c r="D690" s="51">
        <v>45792.0</v>
      </c>
      <c r="E690" s="6">
        <v>12.0</v>
      </c>
      <c r="G690" s="52">
        <v>46157.0</v>
      </c>
      <c r="I690" s="49">
        <v>2508.0</v>
      </c>
    </row>
    <row r="691">
      <c r="A691" s="6">
        <v>703.0</v>
      </c>
      <c r="B691" s="50" t="str">
        <f>IFERROR(VLOOKUP($A691,EVENTO!$A$2:$C$4999,2,FALSE),"")</f>
        <v>CADASTRO</v>
      </c>
      <c r="C691" s="50" t="str">
        <f>IFERROR(VLOOKUP($A691,EVENTO!$A$2:$C$4999,3,FALSE),"")</f>
        <v>R 2 LOGISTICA E TRANSPORTES LTDA,</v>
      </c>
      <c r="D691" s="51">
        <v>45691.0</v>
      </c>
      <c r="E691" s="6">
        <v>12.0</v>
      </c>
      <c r="F691" s="52"/>
      <c r="G691" s="52">
        <v>46066.0</v>
      </c>
      <c r="I691" s="49">
        <v>1788.0</v>
      </c>
    </row>
    <row r="692">
      <c r="A692" s="6">
        <v>704.0</v>
      </c>
      <c r="B692" s="50" t="str">
        <f>IFERROR(VLOOKUP($A692,EVENTO!$A$2:$C$4999,2,FALSE),"")</f>
        <v>CADASTRO</v>
      </c>
      <c r="C692" s="50" t="str">
        <f>IFERROR(VLOOKUP($A692,EVENTO!$A$2:$C$4999,3,FALSE),"")</f>
        <v>COMPANHIA DE INFRAESTRUTURA, TECNOLOGIA E INOVACAO(CITI),</v>
      </c>
      <c r="D692" s="51">
        <v>45372.0</v>
      </c>
      <c r="E692" s="6">
        <v>12.0</v>
      </c>
      <c r="G692" s="52">
        <v>45737.0</v>
      </c>
      <c r="I692" s="49">
        <v>19680.0</v>
      </c>
    </row>
    <row r="693">
      <c r="A693" s="6">
        <v>705.0</v>
      </c>
      <c r="B693" s="50" t="str">
        <f>IFERROR(VLOOKUP($A693,EVENTO!$A$2:$C$4999,2,FALSE),"")</f>
        <v>ADITIVO DE SUPRESSÃO E QUANTIDADE</v>
      </c>
      <c r="C693" s="50" t="str">
        <f>IFERROR(VLOOKUP($A693,EVENTO!$A$2:$C$4999,3,FALSE),"")</f>
        <v>COMPANHIA DE INFRAESTRUTURA, TECNOLOGIA E INOVACAO(CITI),</v>
      </c>
      <c r="D693" s="51">
        <v>45848.0</v>
      </c>
      <c r="E693" s="6">
        <v>12.0</v>
      </c>
      <c r="G693" s="52">
        <v>45848.0</v>
      </c>
      <c r="I693" s="49">
        <v>6628.0</v>
      </c>
    </row>
    <row r="694">
      <c r="A694" s="6">
        <v>706.0</v>
      </c>
      <c r="B694" s="50" t="str">
        <f>IFERROR(VLOOKUP($A694,EVENTO!$A$2:$C$4999,2,FALSE),"")</f>
        <v>CADASTRO</v>
      </c>
      <c r="C694" s="50" t="str">
        <f>IFERROR(VLOOKUP($A694,EVENTO!$A$2:$C$4999,3,FALSE),"")</f>
        <v>ACG CONSTRUÇÕES E CONSERVAÇÃO AMBIENTAL LTDA,</v>
      </c>
      <c r="D694" s="51">
        <v>45524.0</v>
      </c>
      <c r="E694" s="6">
        <v>12.0</v>
      </c>
      <c r="G694" s="52">
        <v>45889.0</v>
      </c>
      <c r="I694" s="49">
        <v>1032.0</v>
      </c>
    </row>
    <row r="695">
      <c r="A695" s="6">
        <v>707.0</v>
      </c>
      <c r="B695" s="50" t="str">
        <f>IFERROR(VLOOKUP($A695,EVENTO!$A$2:$C$4999,2,FALSE),"")</f>
        <v>CADASTRO</v>
      </c>
      <c r="C695" s="50" t="str">
        <f>IFERROR(VLOOKUP($A695,EVENTO!$A$2:$C$4999,3,FALSE),"")</f>
        <v>ESCRITORIO DE REPRESENTAÇÃO DO MINISTÉRIO DAS RELAÇÕES EXTERIORES</v>
      </c>
      <c r="D695" s="51">
        <v>45687.0</v>
      </c>
      <c r="E695" s="6">
        <v>60.0</v>
      </c>
      <c r="F695" s="6">
        <v>120.0</v>
      </c>
      <c r="G695" s="52">
        <v>47513.0</v>
      </c>
      <c r="H695" s="52">
        <v>49339.0</v>
      </c>
      <c r="I695" s="49">
        <v>13344.0</v>
      </c>
    </row>
    <row r="696">
      <c r="A696" s="6">
        <v>708.0</v>
      </c>
      <c r="B696" s="50" t="str">
        <f>IFERROR(VLOOKUP($A696,EVENTO!$A$2:$C$4999,2,FALSE),"")</f>
        <v>CADASTRO</v>
      </c>
      <c r="C696" s="50" t="str">
        <f>IFERROR(VLOOKUP($A696,EVENTO!$A$2:$C$4999,3,FALSE),"")</f>
        <v>GOVERNO MUNICIPAL DE URUOCA - FUNDEB- FUNDO DES.DA EDUCACAO BASICA E VAL MAGIST</v>
      </c>
      <c r="D696" s="51">
        <v>45860.0</v>
      </c>
      <c r="E696" s="6">
        <v>12.0</v>
      </c>
      <c r="F696" s="6">
        <v>120.0</v>
      </c>
      <c r="G696" s="52">
        <v>46225.0</v>
      </c>
      <c r="H696" s="52">
        <v>49512.0</v>
      </c>
      <c r="I696" s="49">
        <v>12537.6</v>
      </c>
    </row>
    <row r="697">
      <c r="A697" s="6">
        <v>709.0</v>
      </c>
      <c r="B697" s="50" t="str">
        <f>IFERROR(VLOOKUP($A697,EVENTO!$A$2:$C$4999,2,FALSE),"")</f>
        <v>ADITIVO MODIFICAÇÃO DE ITEM</v>
      </c>
      <c r="C697" s="50" t="str">
        <f>IFERROR(VLOOKUP($A697,EVENTO!$A$2:$C$4999,3,FALSE),"")</f>
        <v>GOVERNO MUNICIPAL DE URUOCA - FUNDEB- FUNDO DES.DA EDUCACAO BASICA E VAL MAGIST</v>
      </c>
      <c r="D697" s="51">
        <v>45890.0</v>
      </c>
      <c r="E697" s="6">
        <v>12.0</v>
      </c>
      <c r="F697" s="6">
        <v>120.0</v>
      </c>
      <c r="G697" s="52">
        <v>46225.0</v>
      </c>
      <c r="H697" s="52">
        <v>49512.0</v>
      </c>
      <c r="I697" s="49">
        <v>12537.6</v>
      </c>
    </row>
    <row r="698">
      <c r="A698" s="6">
        <v>710.0</v>
      </c>
      <c r="B698" s="50" t="str">
        <f>IFERROR(VLOOKUP($A698,EVENTO!$A$2:$C$4999,2,FALSE),"")</f>
        <v>CADASTRO</v>
      </c>
      <c r="C698" s="50" t="str">
        <f>IFERROR(VLOOKUP($A698,EVENTO!$A$2:$C$4999,3,FALSE),"")</f>
        <v>GOVERNO MUNICIPAL DE URUOCA - FUNDO MUNICIPAL DE ASSISTENCIA SOCIAL E CIDADANIA</v>
      </c>
      <c r="D698" s="51">
        <v>45860.0</v>
      </c>
      <c r="E698" s="6">
        <v>12.0</v>
      </c>
      <c r="F698" s="6">
        <v>120.0</v>
      </c>
      <c r="G698" s="52">
        <v>46225.0</v>
      </c>
      <c r="H698" s="52">
        <v>49512.0</v>
      </c>
      <c r="I698" s="49">
        <v>4269.0</v>
      </c>
    </row>
    <row r="699">
      <c r="A699" s="6">
        <v>711.0</v>
      </c>
      <c r="B699" s="50" t="str">
        <f>IFERROR(VLOOKUP($A699,EVENTO!$A$2:$C$4999,2,FALSE),"")</f>
        <v>ADITIVO DE REAJUSTE E QUANTIDADE</v>
      </c>
      <c r="C699" s="50" t="str">
        <f>IFERROR(VLOOKUP($A699,EVENTO!$A$2:$C$4999,3,FALSE),"")</f>
        <v>GOVERNO MUNICIPAL DE URUOCA - FUNDO MUNICIPAL DE ASSISTENCIA SOCIAL E CIDADANIA</v>
      </c>
      <c r="D699" s="51">
        <v>45890.0</v>
      </c>
      <c r="E699" s="6">
        <v>12.0</v>
      </c>
      <c r="F699" s="6">
        <v>120.0</v>
      </c>
      <c r="G699" s="52">
        <v>46225.0</v>
      </c>
      <c r="H699" s="52">
        <v>49512.0</v>
      </c>
      <c r="I699" s="49">
        <v>4269.0</v>
      </c>
    </row>
    <row r="700">
      <c r="A700" s="6">
        <v>712.0</v>
      </c>
      <c r="B700" s="50" t="str">
        <f>IFERROR(VLOOKUP($A700,EVENTO!$A$2:$C$4999,2,FALSE),"")</f>
        <v>CADASTRO</v>
      </c>
      <c r="C700" s="50" t="str">
        <f>IFERROR(VLOOKUP($A700,EVENTO!$A$2:$C$4999,3,FALSE),"")</f>
        <v> PREFEITURA MUNICIPAL DE URUOCA - GESTÃO DE CONTRATO </v>
      </c>
      <c r="D700" s="51">
        <v>45860.0</v>
      </c>
      <c r="E700" s="6">
        <v>12.0</v>
      </c>
      <c r="F700" s="6">
        <v>120.0</v>
      </c>
      <c r="G700" s="52">
        <v>46225.0</v>
      </c>
      <c r="H700" s="52">
        <v>49512.0</v>
      </c>
      <c r="I700" s="49">
        <v>5178.0</v>
      </c>
    </row>
    <row r="701">
      <c r="A701" s="6">
        <v>713.0</v>
      </c>
      <c r="B701" s="50" t="str">
        <f>IFERROR(VLOOKUP($A701,EVENTO!$A$2:$C$4999,2,FALSE),"")</f>
        <v>ADITIVO MODIFICAÇÃO DE ITEM</v>
      </c>
      <c r="C701" s="50" t="str">
        <f>IFERROR(VLOOKUP($A701,EVENTO!$A$2:$C$4999,3,FALSE),"")</f>
        <v> PREFEITURA MUNICIPAL DE URUOCA - GESTÃO DE CONTRATO </v>
      </c>
      <c r="D701" s="51">
        <v>45891.0</v>
      </c>
      <c r="E701" s="6">
        <v>12.0</v>
      </c>
      <c r="F701" s="6">
        <v>120.0</v>
      </c>
      <c r="G701" s="52">
        <v>46225.0</v>
      </c>
      <c r="H701" s="52">
        <v>49512.0</v>
      </c>
      <c r="I701" s="49">
        <v>5178.0</v>
      </c>
    </row>
    <row r="702">
      <c r="A702" s="6">
        <v>714.0</v>
      </c>
      <c r="B702" s="50" t="str">
        <f>IFERROR(VLOOKUP($A702,EVENTO!$A$2:$C$4999,2,FALSE),"")</f>
        <v>CADASTRO</v>
      </c>
      <c r="C702" s="50" t="str">
        <f>IFERROR(VLOOKUP($A702,EVENTO!$A$2:$C$4999,3,FALSE),"")</f>
        <v>GOVERNO MUNICIPAL DE URUOCA - FUNDO MUNICIPAL DE SAÚDE </v>
      </c>
      <c r="D702" s="51">
        <v>45860.0</v>
      </c>
      <c r="E702" s="6">
        <v>12.0</v>
      </c>
      <c r="F702" s="6">
        <v>120.0</v>
      </c>
      <c r="G702" s="52">
        <v>46225.0</v>
      </c>
      <c r="H702" s="52">
        <v>49512.0</v>
      </c>
      <c r="I702" s="49">
        <v>7767.0</v>
      </c>
    </row>
    <row r="703">
      <c r="A703" s="6">
        <v>715.0</v>
      </c>
      <c r="B703" s="50" t="str">
        <f>IFERROR(VLOOKUP($A703,EVENTO!$A$2:$C$4999,2,FALSE),"")</f>
        <v>ADITIVO MODIFICAÇÃO DE ITEM</v>
      </c>
      <c r="C703" s="50" t="str">
        <f>IFERROR(VLOOKUP($A703,EVENTO!$A$2:$C$4999,3,FALSE),"")</f>
        <v>GOVERNO MUNICIPAL DE URUOCA - FUNDO MUNICIPAL DE SAÚDE </v>
      </c>
      <c r="D703" s="51">
        <v>45890.0</v>
      </c>
      <c r="E703" s="6">
        <v>12.0</v>
      </c>
      <c r="F703" s="6">
        <v>120.0</v>
      </c>
      <c r="G703" s="52">
        <v>46225.0</v>
      </c>
      <c r="H703" s="52">
        <v>49512.0</v>
      </c>
      <c r="I703" s="49">
        <v>7767.0</v>
      </c>
    </row>
    <row r="704">
      <c r="A704" s="6">
        <v>716.0</v>
      </c>
      <c r="B704" s="50" t="str">
        <f>IFERROR(VLOOKUP($A704,EVENTO!$A$2:$C$4999,2,FALSE),"")</f>
        <v>CADASTRO</v>
      </c>
      <c r="C704" s="50" t="str">
        <f>IFERROR(VLOOKUP($A704,EVENTO!$A$2:$C$4999,3,FALSE),"")</f>
        <v>GOVERNO MUNICIPAL DE URUOCA - FUNDO MUNICIPAL DE EDUCAÇÃO </v>
      </c>
      <c r="D704" s="51">
        <v>45860.0</v>
      </c>
      <c r="E704" s="6">
        <v>12.0</v>
      </c>
      <c r="F704" s="6">
        <v>120.0</v>
      </c>
      <c r="G704" s="52">
        <v>46225.0</v>
      </c>
      <c r="H704" s="52">
        <v>49512.0</v>
      </c>
      <c r="I704" s="49">
        <v>30248.4</v>
      </c>
    </row>
    <row r="705">
      <c r="A705" s="6">
        <v>717.0</v>
      </c>
      <c r="B705" s="50" t="str">
        <f>IFERROR(VLOOKUP($A705,EVENTO!$A$2:$C$4999,2,FALSE),"")</f>
        <v>ADITIVO MODIFICAÇÃO DE ITEM</v>
      </c>
      <c r="C705" s="50" t="str">
        <f>IFERROR(VLOOKUP($A705,EVENTO!$A$2:$C$4999,3,FALSE),"")</f>
        <v>GOVERNO MUNICIPAL DE URUOCA - FUNDO MUNICIPAL DE EDUCAÇÃO </v>
      </c>
      <c r="D705" s="51">
        <v>45890.0</v>
      </c>
      <c r="E705" s="6">
        <v>12.0</v>
      </c>
      <c r="F705" s="6">
        <v>120.0</v>
      </c>
      <c r="G705" s="52">
        <v>46225.0</v>
      </c>
      <c r="H705" s="52">
        <v>49512.0</v>
      </c>
      <c r="I705" s="49">
        <v>30248.4</v>
      </c>
    </row>
    <row r="706">
      <c r="A706" s="6">
        <v>720.0</v>
      </c>
      <c r="B706" s="50" t="str">
        <f>IFERROR(VLOOKUP($A706,EVENTO!$A$2:$C$4999,2,FALSE),"")</f>
        <v>CADASTRO</v>
      </c>
      <c r="C706" s="50" t="str">
        <f>IFERROR(VLOOKUP($A706,EVENTO!$A$2:$C$4999,3,FALSE),"")</f>
        <v>GOVER DO ESTADO DO CEARÁ - SECRETARIA DA PROTEÇÃO ANIMAL – SEPA</v>
      </c>
      <c r="D706" s="54">
        <v>45953.0</v>
      </c>
      <c r="E706" s="6">
        <v>12.0</v>
      </c>
      <c r="F706" s="6">
        <v>120.0</v>
      </c>
      <c r="G706" s="53">
        <v>46318.0</v>
      </c>
      <c r="H706" s="53">
        <v>49605.0</v>
      </c>
      <c r="I706" s="49">
        <v>39729.16</v>
      </c>
    </row>
    <row r="707">
      <c r="A707" s="6">
        <v>721.0</v>
      </c>
      <c r="B707" s="50" t="str">
        <f>IFERROR(VLOOKUP($A707,EVENTO!$A$2:$C$4999,2,FALSE),"")</f>
        <v>CADASTRO</v>
      </c>
      <c r="C707" s="50" t="str">
        <f>IFERROR(VLOOKUP($A707,EVENTO!$A$2:$C$4999,3,FALSE),"")</f>
        <v>ASSOCIACAO DE PROTECAO E ASSISTENCIA A MAT E INFANCIA - ISV - Contrato 1</v>
      </c>
      <c r="D707" s="51">
        <v>45901.0</v>
      </c>
      <c r="E707" s="6">
        <v>4.0</v>
      </c>
      <c r="G707" s="53">
        <v>46022.0</v>
      </c>
      <c r="I707" s="49">
        <v>30010.84</v>
      </c>
    </row>
    <row r="708">
      <c r="A708" s="6">
        <v>722.0</v>
      </c>
      <c r="B708" s="50" t="str">
        <f>IFERROR(VLOOKUP($A708,EVENTO!$A$2:$C$4999,2,FALSE),"")</f>
        <v>CADASTRO</v>
      </c>
      <c r="C708" s="50" t="str">
        <f>IFERROR(VLOOKUP($A708,EVENTO!$A$2:$C$4999,3,FALSE),"")</f>
        <v>ASSOCIACAO DE PROTECAO E ASSISTENCIA A MAT E INFANCIA - ISV - (Contrato 2 substituiu o Contrato 1)</v>
      </c>
      <c r="D708" s="51">
        <v>45901.0</v>
      </c>
      <c r="E708" s="6">
        <v>4.0</v>
      </c>
      <c r="G708" s="53">
        <v>46022.0</v>
      </c>
      <c r="I708" s="49">
        <v>34598.76</v>
      </c>
    </row>
    <row r="709">
      <c r="A709" s="6">
        <v>723.0</v>
      </c>
      <c r="B709" s="50" t="str">
        <f>IFERROR(VLOOKUP($A709,EVENTO!$A$2:$C$4999,2,FALSE),"")</f>
        <v>ADITIVO DE PRAZO</v>
      </c>
      <c r="C709" s="50" t="str">
        <f>IFERROR(VLOOKUP($A709,EVENTO!$A$2:$C$4999,3,FALSE),"")</f>
        <v>ASSOCIACAO DE PROTECAO E ASSISTENCIA A MAT E INFANCIA - ISV - (Contrato 2 substituiu o Contrato 1)</v>
      </c>
      <c r="D709" s="51">
        <v>46023.0</v>
      </c>
      <c r="E709" s="6">
        <v>12.0</v>
      </c>
      <c r="G709" s="53">
        <v>46387.0</v>
      </c>
      <c r="I709" s="49">
        <v>25949.07</v>
      </c>
    </row>
    <row r="710">
      <c r="A710" s="6">
        <v>724.0</v>
      </c>
      <c r="B710" s="50" t="str">
        <f>IFERROR(VLOOKUP($A710,EVENTO!$A$2:$C$4999,2,FALSE),"")</f>
        <v>CADASTRO</v>
      </c>
      <c r="C710" s="50" t="str">
        <f>IFERROR(VLOOKUP($A710,EVENTO!$A$2:$C$4999,3,FALSE),"")</f>
        <v>CONSELHO REGIONAL DE CONTABILIDADE DO CEARÁ,</v>
      </c>
      <c r="D710" s="51">
        <v>45932.0</v>
      </c>
      <c r="E710" s="6">
        <v>12.0</v>
      </c>
      <c r="F710" s="6">
        <v>120.0</v>
      </c>
      <c r="G710" s="52">
        <v>46296.0</v>
      </c>
      <c r="H710" s="52">
        <v>49584.0</v>
      </c>
      <c r="I710" s="49">
        <v>24381.84</v>
      </c>
    </row>
    <row r="711">
      <c r="A711" s="6">
        <v>725.0</v>
      </c>
      <c r="B711" s="50" t="str">
        <f>IFERROR(VLOOKUP($A711,EVENTO!$A$2:$C$4999,2,FALSE),"")</f>
        <v>ADITIVO DE PRAZO</v>
      </c>
      <c r="C711" s="50" t="str">
        <f>IFERROR(VLOOKUP($A711,EVENTO!$A$2:$C$4999,3,FALSE),"")</f>
        <v>MUNICÍPIO DE CRATO - SECRETARIA DE EDUCAÇÃO</v>
      </c>
      <c r="D711" s="51">
        <v>46038.0</v>
      </c>
      <c r="E711" s="6">
        <v>12.0</v>
      </c>
      <c r="G711" s="52">
        <v>46403.0</v>
      </c>
      <c r="I711" s="49">
        <v>21199.92</v>
      </c>
    </row>
    <row r="712">
      <c r="A712" s="6">
        <v>726.0</v>
      </c>
      <c r="B712" s="50" t="str">
        <f>IFERROR(VLOOKUP($A712,EVENTO!$A$2:$C$4999,2,FALSE),"")</f>
        <v>CADASTRO</v>
      </c>
      <c r="C712" s="50" t="str">
        <f>IFERROR(VLOOKUP($A712,EVENTO!$A$2:$C$4999,3,FALSE),"")</f>
        <v>PREFEITURA MUNICIPAL DE FORTALEZA - SECRETARIA MUNICIPAL DO ESPORTE E LAZER </v>
      </c>
      <c r="D712" s="51">
        <v>46393.0</v>
      </c>
      <c r="E712" s="6">
        <v>12.0</v>
      </c>
      <c r="F712" s="6">
        <v>120.0</v>
      </c>
      <c r="G712" s="52">
        <v>46393.0</v>
      </c>
      <c r="H712" s="52">
        <v>50046.0</v>
      </c>
      <c r="I712" s="49">
        <v>31838.64</v>
      </c>
    </row>
    <row r="713">
      <c r="A713" s="6">
        <v>727.0</v>
      </c>
      <c r="B713" s="50" t="str">
        <f>IFERROR(VLOOKUP($A713,EVENTO!$A$2:$C$4999,2,FALSE),"")</f>
        <v>CADASTRO</v>
      </c>
      <c r="C713" s="50" t="str">
        <f>IFERROR(VLOOKUP($A713,EVENTO!$A$2:$C$4999,3,FALSE),"")</f>
        <v>MULTINTEGRADA LTDA</v>
      </c>
      <c r="D713" s="51">
        <v>45393.0</v>
      </c>
      <c r="E713" s="6">
        <v>12.0</v>
      </c>
      <c r="G713" s="52">
        <v>45759.0</v>
      </c>
      <c r="I713" s="49">
        <v>779448.0</v>
      </c>
    </row>
    <row r="714">
      <c r="A714" s="6">
        <v>728.0</v>
      </c>
      <c r="B714" s="50" t="str">
        <f>IFERROR(VLOOKUP($A714,EVENTO!$A$2:$C$4999,2,FALSE),"")</f>
        <v>CADASTRO</v>
      </c>
      <c r="C714" s="50" t="str">
        <f>IFERROR(VLOOKUP($A714,EVENTO!$A$2:$C$4999,3,FALSE),"")</f>
        <v>SUPERINTENDÊNCIA DE OBRAS DO PLANO DE DESENVOLVIMENTO DO ESTADO - SUPLAN</v>
      </c>
      <c r="D714" s="51">
        <v>45440.0</v>
      </c>
      <c r="E714" s="6">
        <v>36.0</v>
      </c>
      <c r="F714" s="11">
        <v>48.0</v>
      </c>
      <c r="G714" s="52">
        <v>46170.0</v>
      </c>
      <c r="H714" s="52">
        <v>46535.0</v>
      </c>
      <c r="I714" s="49">
        <v>7164.0</v>
      </c>
    </row>
    <row r="715">
      <c r="A715" s="6">
        <v>729.0</v>
      </c>
      <c r="B715" s="50" t="str">
        <f>IFERROR(VLOOKUP($A715,EVENTO!$A$2:$C$4999,2,FALSE),"")</f>
        <v>ADITIVO DE QUANTIDADE</v>
      </c>
      <c r="C715" s="50" t="str">
        <f>IFERROR(VLOOKUP($A715,EVENTO!$A$2:$C$4999,3,FALSE),"")</f>
        <v>MULTINTEGRADA LTDA</v>
      </c>
      <c r="D715" s="51">
        <v>45439.0</v>
      </c>
      <c r="E715" s="6">
        <v>12.0</v>
      </c>
      <c r="G715" s="52">
        <v>45804.0</v>
      </c>
      <c r="I715" s="49">
        <v>142728.0</v>
      </c>
    </row>
    <row r="716">
      <c r="A716" s="6">
        <v>730.0</v>
      </c>
      <c r="B716" s="50" t="str">
        <f>IFERROR(VLOOKUP($A716,EVENTO!$A$2:$C$4999,2,FALSE),"")</f>
        <v>ADITIVO DE QUANTIDADE</v>
      </c>
      <c r="C716" s="50" t="str">
        <f>IFERROR(VLOOKUP($A716,EVENTO!$A$2:$C$4999,3,FALSE),"")</f>
        <v>MULTINTEGRADA LTDA</v>
      </c>
      <c r="D716" s="51">
        <v>45496.0</v>
      </c>
      <c r="E716" s="6">
        <v>9.0</v>
      </c>
      <c r="G716" s="52">
        <v>45759.0</v>
      </c>
      <c r="I716" s="49">
        <v>452286.0</v>
      </c>
    </row>
    <row r="717">
      <c r="A717" s="6">
        <v>731.0</v>
      </c>
      <c r="B717" s="50" t="str">
        <f>IFERROR(VLOOKUP($A717,EVENTO!$A$2:$C$4999,2,FALSE),"")</f>
        <v>ADITIVO DE PRAZO</v>
      </c>
      <c r="C717" s="50" t="str">
        <f>IFERROR(VLOOKUP($A717,EVENTO!$A$2:$C$4999,3,FALSE),"")</f>
        <v>MULTINTEGRADA LTDA</v>
      </c>
      <c r="D717" s="51">
        <v>45757.0</v>
      </c>
      <c r="E717" s="6">
        <v>12.0</v>
      </c>
      <c r="G717" s="52">
        <v>46122.0</v>
      </c>
      <c r="I717" s="49">
        <v>1525224.0</v>
      </c>
    </row>
    <row r="718">
      <c r="A718" s="6">
        <v>732.0</v>
      </c>
      <c r="B718" s="50" t="str">
        <f>IFERROR(VLOOKUP($A718,EVENTO!$A$2:$C$4999,2,FALSE),"")</f>
        <v>ADITIVO DE PRAZO</v>
      </c>
      <c r="C718" s="50" t="str">
        <f>IFERROR(VLOOKUP($A718,EVENTO!$A$2:$C$4999,3,FALSE),"")</f>
        <v>MUNICIPIO DE GRANJA - CÂMARA MUNICIPAL DE GRANJA </v>
      </c>
      <c r="D718" s="54">
        <v>46021.0</v>
      </c>
      <c r="E718" s="6">
        <v>12.0</v>
      </c>
      <c r="G718" s="53">
        <v>46387.0</v>
      </c>
      <c r="I718" s="49">
        <v>6720.0</v>
      </c>
    </row>
    <row r="719">
      <c r="A719" s="6">
        <v>544.0</v>
      </c>
      <c r="B719" s="50" t="str">
        <f>IFERROR(VLOOKUP($A719,EVENTO!$A$2:$C$4999,2,FALSE),"")</f>
        <v>ADITIVO DE REAJUSTE E QUANTIDADE</v>
      </c>
      <c r="C719" s="50" t="str">
        <f>IFERROR(VLOOKUP($A719,EVENTO!$A$2:$C$4999,3,FALSE),"")</f>
        <v>CREF</v>
      </c>
      <c r="D719" s="54">
        <v>45947.0</v>
      </c>
      <c r="E719" s="6">
        <v>12.0</v>
      </c>
      <c r="F719" s="6">
        <v>60.0</v>
      </c>
      <c r="G719" s="53">
        <v>46312.0</v>
      </c>
      <c r="H719" s="53">
        <v>49227.0</v>
      </c>
      <c r="I719" s="49">
        <v>8188.0</v>
      </c>
    </row>
    <row r="720">
      <c r="A720" s="11"/>
      <c r="B720" s="50" t="str">
        <f>IFERROR(VLOOKUP($A720,EVENTO!$A$2:$C$4999,2,FALSE),"")</f>
        <v/>
      </c>
      <c r="C720" s="50" t="str">
        <f>IFERROR(VLOOKUP($A720,EVENTO!$A$2:$C$4999,3,FALSE),"")</f>
        <v/>
      </c>
      <c r="D720" s="71"/>
      <c r="I720" s="49"/>
    </row>
    <row r="721">
      <c r="A721" s="11"/>
      <c r="B721" s="50" t="str">
        <f>IFERROR(VLOOKUP($A721,EVENTO!$A$2:$C$4999,2,FALSE),"")</f>
        <v/>
      </c>
      <c r="C721" s="50" t="str">
        <f>IFERROR(VLOOKUP($A721,EVENTO!$A$2:$C$4999,3,FALSE),"")</f>
        <v/>
      </c>
      <c r="D721" s="71"/>
      <c r="I721" s="49"/>
    </row>
    <row r="722">
      <c r="A722" s="11"/>
      <c r="B722" s="50" t="str">
        <f>IFERROR(VLOOKUP($A722,EVENTO!$A$2:$C$4999,2,FALSE),"")</f>
        <v/>
      </c>
      <c r="C722" s="50" t="str">
        <f>IFERROR(VLOOKUP($A722,EVENTO!$A$2:$C$4999,3,FALSE),"")</f>
        <v/>
      </c>
      <c r="D722" s="71"/>
      <c r="I722" s="49"/>
    </row>
    <row r="723">
      <c r="A723" s="11"/>
      <c r="B723" s="50" t="str">
        <f>IFERROR(VLOOKUP($A723,EVENTO!$A$2:$C$4999,2,FALSE),"")</f>
        <v/>
      </c>
      <c r="C723" s="50" t="str">
        <f>IFERROR(VLOOKUP($A723,EVENTO!$A$2:$C$4999,3,FALSE),"")</f>
        <v/>
      </c>
      <c r="D723" s="71"/>
      <c r="I723" s="49"/>
    </row>
    <row r="724">
      <c r="A724" s="11"/>
      <c r="B724" s="50" t="str">
        <f>IFERROR(VLOOKUP($A724,EVENTO!$A$2:$C$4999,2,FALSE),"")</f>
        <v/>
      </c>
      <c r="C724" s="50" t="str">
        <f>IFERROR(VLOOKUP($A724,EVENTO!$A$2:$C$4999,3,FALSE),"")</f>
        <v/>
      </c>
      <c r="D724" s="71"/>
      <c r="I724" s="49"/>
    </row>
    <row r="725">
      <c r="A725" s="11"/>
      <c r="B725" s="50" t="str">
        <f>IFERROR(VLOOKUP($A725,EVENTO!$A$2:$C$4999,2,FALSE),"")</f>
        <v/>
      </c>
      <c r="C725" s="50" t="str">
        <f>IFERROR(VLOOKUP($A725,EVENTO!$A$2:$C$4999,3,FALSE),"")</f>
        <v/>
      </c>
      <c r="D725" s="71"/>
      <c r="I725" s="49"/>
    </row>
    <row r="726">
      <c r="A726" s="11"/>
      <c r="B726" s="50" t="str">
        <f>IFERROR(VLOOKUP($A726,EVENTO!$A$2:$C$4999,2,FALSE),"")</f>
        <v/>
      </c>
      <c r="C726" s="50" t="str">
        <f>IFERROR(VLOOKUP($A726,EVENTO!$A$2:$C$4999,3,FALSE),"")</f>
        <v/>
      </c>
      <c r="D726" s="71"/>
      <c r="I726" s="49"/>
    </row>
    <row r="727">
      <c r="A727" s="11"/>
      <c r="B727" s="50" t="str">
        <f>IFERROR(VLOOKUP($A727,EVENTO!$A$2:$C$4999,2,FALSE),"")</f>
        <v/>
      </c>
      <c r="C727" s="50" t="str">
        <f>IFERROR(VLOOKUP($A727,EVENTO!$A$2:$C$4999,3,FALSE),"")</f>
        <v/>
      </c>
      <c r="D727" s="71"/>
      <c r="I727" s="49"/>
    </row>
    <row r="728">
      <c r="A728" s="11"/>
      <c r="B728" s="50" t="str">
        <f>IFERROR(VLOOKUP($A728,EVENTO!$A$2:$C$4999,2,FALSE),"")</f>
        <v/>
      </c>
      <c r="C728" s="50" t="str">
        <f>IFERROR(VLOOKUP($A728,EVENTO!$A$2:$C$4999,3,FALSE),"")</f>
        <v/>
      </c>
      <c r="D728" s="71"/>
      <c r="I728" s="49"/>
    </row>
    <row r="729">
      <c r="A729" s="11"/>
      <c r="B729" s="50" t="str">
        <f>IFERROR(VLOOKUP($A729,EVENTO!$A$2:$C$4999,2,FALSE),"")</f>
        <v/>
      </c>
      <c r="C729" s="50" t="str">
        <f>IFERROR(VLOOKUP($A729,EVENTO!$A$2:$C$4999,3,FALSE),"")</f>
        <v/>
      </c>
      <c r="D729" s="71"/>
      <c r="I729" s="49"/>
    </row>
    <row r="730">
      <c r="A730" s="11"/>
      <c r="B730" s="50" t="str">
        <f>IFERROR(VLOOKUP($A730,EVENTO!$A$2:$C$4999,2,FALSE),"")</f>
        <v/>
      </c>
      <c r="C730" s="50" t="str">
        <f>IFERROR(VLOOKUP($A730,EVENTO!$A$2:$C$4999,3,FALSE),"")</f>
        <v/>
      </c>
      <c r="D730" s="71"/>
      <c r="I730" s="49"/>
    </row>
    <row r="731">
      <c r="A731" s="11"/>
      <c r="B731" s="50" t="str">
        <f>IFERROR(VLOOKUP($A731,EVENTO!$A$2:$C$4999,2,FALSE),"")</f>
        <v/>
      </c>
      <c r="C731" s="50" t="str">
        <f>IFERROR(VLOOKUP($A731,EVENTO!$A$2:$C$4999,3,FALSE),"")</f>
        <v/>
      </c>
      <c r="D731" s="71"/>
      <c r="I731" s="49"/>
    </row>
    <row r="732">
      <c r="A732" s="11"/>
      <c r="B732" s="50" t="str">
        <f>IFERROR(VLOOKUP($A732,EVENTO!$A$2:$C$4999,2,FALSE),"")</f>
        <v/>
      </c>
      <c r="C732" s="50" t="str">
        <f>IFERROR(VLOOKUP($A732,EVENTO!$A$2:$C$4999,3,FALSE),"")</f>
        <v/>
      </c>
      <c r="D732" s="71"/>
      <c r="I732" s="49"/>
    </row>
    <row r="733">
      <c r="A733" s="11"/>
      <c r="B733" s="50" t="str">
        <f>IFERROR(VLOOKUP($A733,EVENTO!$A$2:$C$4999,2,FALSE),"")</f>
        <v/>
      </c>
      <c r="C733" s="50" t="str">
        <f>IFERROR(VLOOKUP($A733,EVENTO!$A$2:$C$4999,3,FALSE),"")</f>
        <v/>
      </c>
      <c r="D733" s="71"/>
      <c r="I733" s="49"/>
    </row>
    <row r="734">
      <c r="A734" s="11"/>
      <c r="B734" s="50" t="str">
        <f>IFERROR(VLOOKUP($A734,EVENTO!$A$2:$C$4999,2,FALSE),"")</f>
        <v/>
      </c>
      <c r="C734" s="50" t="str">
        <f>IFERROR(VLOOKUP($A734,EVENTO!$A$2:$C$4999,3,FALSE),"")</f>
        <v/>
      </c>
      <c r="D734" s="71"/>
      <c r="I734" s="49"/>
    </row>
    <row r="735">
      <c r="A735" s="11"/>
      <c r="B735" s="50" t="str">
        <f>IFERROR(VLOOKUP($A735,EVENTO!$A$2:$C$4999,2,FALSE),"")</f>
        <v/>
      </c>
      <c r="C735" s="50" t="str">
        <f>IFERROR(VLOOKUP($A735,EVENTO!$A$2:$C$4999,3,FALSE),"")</f>
        <v/>
      </c>
      <c r="D735" s="71"/>
      <c r="I735" s="49"/>
    </row>
    <row r="736">
      <c r="A736" s="11"/>
      <c r="B736" s="50" t="str">
        <f>IFERROR(VLOOKUP($A736,EVENTO!$A$2:$C$4999,2,FALSE),"")</f>
        <v/>
      </c>
      <c r="C736" s="50" t="str">
        <f>IFERROR(VLOOKUP($A736,EVENTO!$A$2:$C$4999,3,FALSE),"")</f>
        <v/>
      </c>
      <c r="D736" s="71"/>
      <c r="I736" s="49"/>
    </row>
    <row r="737">
      <c r="A737" s="11"/>
      <c r="B737" s="50" t="str">
        <f>IFERROR(VLOOKUP($A737,EVENTO!$A$2:$C$4999,2,FALSE),"")</f>
        <v/>
      </c>
      <c r="C737" s="50" t="str">
        <f>IFERROR(VLOOKUP($A737,EVENTO!$A$2:$C$4999,3,FALSE),"")</f>
        <v/>
      </c>
      <c r="D737" s="71"/>
      <c r="I737" s="49"/>
    </row>
    <row r="738">
      <c r="A738" s="11"/>
      <c r="B738" s="50" t="str">
        <f>IFERROR(VLOOKUP($A738,EVENTO!$A$2:$C$4999,2,FALSE),"")</f>
        <v/>
      </c>
      <c r="C738" s="50" t="str">
        <f>IFERROR(VLOOKUP($A738,EVENTO!$A$2:$C$4999,3,FALSE),"")</f>
        <v/>
      </c>
      <c r="D738" s="71"/>
      <c r="I738" s="49"/>
    </row>
    <row r="739">
      <c r="A739" s="11"/>
      <c r="B739" s="50" t="str">
        <f>IFERROR(VLOOKUP($A739,EVENTO!$A$2:$C$4999,2,FALSE),"")</f>
        <v/>
      </c>
      <c r="C739" s="50" t="str">
        <f>IFERROR(VLOOKUP($A739,EVENTO!$A$2:$C$4999,3,FALSE),"")</f>
        <v/>
      </c>
      <c r="D739" s="71"/>
      <c r="I739" s="49"/>
    </row>
    <row r="740">
      <c r="A740" s="11"/>
      <c r="B740" s="50" t="str">
        <f>IFERROR(VLOOKUP($A740,EVENTO!$A$2:$C$4999,2,FALSE),"")</f>
        <v/>
      </c>
      <c r="C740" s="50" t="str">
        <f>IFERROR(VLOOKUP($A740,EVENTO!$A$2:$C$4999,3,FALSE),"")</f>
        <v/>
      </c>
      <c r="D740" s="71"/>
      <c r="I740" s="49"/>
    </row>
    <row r="741">
      <c r="A741" s="11"/>
      <c r="B741" s="50" t="str">
        <f>IFERROR(VLOOKUP($A741,EVENTO!$A$2:$C$4999,2,FALSE),"")</f>
        <v/>
      </c>
      <c r="C741" s="50" t="str">
        <f>IFERROR(VLOOKUP($A741,EVENTO!$A$2:$C$4999,3,FALSE),"")</f>
        <v/>
      </c>
      <c r="D741" s="71"/>
      <c r="I741" s="49"/>
    </row>
    <row r="742">
      <c r="A742" s="11"/>
      <c r="B742" s="50" t="str">
        <f>IFERROR(VLOOKUP($A742,EVENTO!$A$2:$C$4999,2,FALSE),"")</f>
        <v/>
      </c>
      <c r="C742" s="50" t="str">
        <f>IFERROR(VLOOKUP($A742,EVENTO!$A$2:$C$4999,3,FALSE),"")</f>
        <v/>
      </c>
      <c r="D742" s="71"/>
      <c r="I742" s="49"/>
    </row>
    <row r="743">
      <c r="A743" s="11"/>
      <c r="B743" s="50" t="str">
        <f>IFERROR(VLOOKUP($A743,EVENTO!$A$2:$C$4999,2,FALSE),"")</f>
        <v/>
      </c>
      <c r="C743" s="50" t="str">
        <f>IFERROR(VLOOKUP($A743,EVENTO!$A$2:$C$4999,3,FALSE),"")</f>
        <v/>
      </c>
      <c r="D743" s="71"/>
      <c r="I743" s="49"/>
    </row>
    <row r="744">
      <c r="A744" s="11"/>
      <c r="B744" s="50" t="str">
        <f>IFERROR(VLOOKUP($A744,EVENTO!$A$2:$C$4999,2,FALSE),"")</f>
        <v/>
      </c>
      <c r="C744" s="50" t="str">
        <f>IFERROR(VLOOKUP($A744,EVENTO!$A$2:$C$4999,3,FALSE),"")</f>
        <v/>
      </c>
      <c r="D744" s="71"/>
      <c r="I744" s="49"/>
    </row>
    <row r="745">
      <c r="A745" s="11"/>
      <c r="B745" s="50" t="str">
        <f>IFERROR(VLOOKUP($A745,EVENTO!$A$2:$C$4999,2,FALSE),"")</f>
        <v/>
      </c>
      <c r="C745" s="50" t="str">
        <f>IFERROR(VLOOKUP($A745,EVENTO!$A$2:$C$4999,3,FALSE),"")</f>
        <v/>
      </c>
      <c r="D745" s="71"/>
      <c r="I745" s="49"/>
    </row>
    <row r="746">
      <c r="A746" s="11"/>
      <c r="B746" s="50" t="str">
        <f>IFERROR(VLOOKUP($A746,EVENTO!$A$2:$C$4999,2,FALSE),"")</f>
        <v/>
      </c>
      <c r="C746" s="50" t="str">
        <f>IFERROR(VLOOKUP($A746,EVENTO!$A$2:$C$4999,3,FALSE),"")</f>
        <v/>
      </c>
      <c r="D746" s="71"/>
      <c r="I746" s="49"/>
    </row>
    <row r="747">
      <c r="A747" s="11"/>
      <c r="B747" s="50" t="str">
        <f>IFERROR(VLOOKUP($A747,EVENTO!$A$2:$C$4999,2,FALSE),"")</f>
        <v/>
      </c>
      <c r="C747" s="50" t="str">
        <f>IFERROR(VLOOKUP($A747,EVENTO!$A$2:$C$4999,3,FALSE),"")</f>
        <v/>
      </c>
      <c r="D747" s="71"/>
      <c r="I747" s="49"/>
    </row>
    <row r="748">
      <c r="A748" s="11"/>
      <c r="B748" s="50" t="str">
        <f>IFERROR(VLOOKUP($A748,EVENTO!$A$2:$C$4999,2,FALSE),"")</f>
        <v/>
      </c>
      <c r="C748" s="50" t="str">
        <f>IFERROR(VLOOKUP($A748,EVENTO!$A$2:$C$4999,3,FALSE),"")</f>
        <v/>
      </c>
      <c r="D748" s="71"/>
      <c r="I748" s="49"/>
    </row>
    <row r="749">
      <c r="A749" s="11"/>
      <c r="B749" s="50" t="str">
        <f>IFERROR(VLOOKUP($A749,EVENTO!$A$2:$C$4999,2,FALSE),"")</f>
        <v/>
      </c>
      <c r="C749" s="50" t="str">
        <f>IFERROR(VLOOKUP($A749,EVENTO!$A$2:$C$4999,3,FALSE),"")</f>
        <v/>
      </c>
      <c r="D749" s="71"/>
      <c r="I749" s="49"/>
    </row>
    <row r="750">
      <c r="A750" s="11"/>
      <c r="B750" s="50" t="str">
        <f>IFERROR(VLOOKUP($A750,EVENTO!$A$2:$C$4999,2,FALSE),"")</f>
        <v/>
      </c>
      <c r="C750" s="50" t="str">
        <f>IFERROR(VLOOKUP($A750,EVENTO!$A$2:$C$4999,3,FALSE),"")</f>
        <v/>
      </c>
      <c r="D750" s="71"/>
      <c r="I750" s="49"/>
    </row>
    <row r="751">
      <c r="A751" s="11"/>
      <c r="B751" s="50" t="str">
        <f>IFERROR(VLOOKUP($A751,EVENTO!$A$2:$C$4999,2,FALSE),"")</f>
        <v/>
      </c>
      <c r="C751" s="50" t="str">
        <f>IFERROR(VLOOKUP($A751,EVENTO!$A$2:$C$4999,3,FALSE),"")</f>
        <v/>
      </c>
      <c r="D751" s="71"/>
      <c r="I751" s="49"/>
    </row>
    <row r="752">
      <c r="A752" s="11"/>
      <c r="B752" s="50" t="str">
        <f>IFERROR(VLOOKUP($A752,EVENTO!$A$2:$C$4999,2,FALSE),"")</f>
        <v/>
      </c>
      <c r="C752" s="50" t="str">
        <f>IFERROR(VLOOKUP($A752,EVENTO!$A$2:$C$4999,3,FALSE),"")</f>
        <v/>
      </c>
      <c r="D752" s="71"/>
      <c r="I752" s="49"/>
    </row>
    <row r="753">
      <c r="A753" s="11"/>
      <c r="B753" s="50" t="str">
        <f>IFERROR(VLOOKUP($A753,EVENTO!$A$2:$C$4999,2,FALSE),"")</f>
        <v/>
      </c>
      <c r="C753" s="50" t="str">
        <f>IFERROR(VLOOKUP($A753,EVENTO!$A$2:$C$4999,3,FALSE),"")</f>
        <v/>
      </c>
      <c r="D753" s="71"/>
      <c r="I753" s="49"/>
    </row>
    <row r="754">
      <c r="A754" s="11"/>
      <c r="B754" s="50" t="str">
        <f>IFERROR(VLOOKUP($A754,EVENTO!$A$2:$C$4999,2,FALSE),"")</f>
        <v/>
      </c>
      <c r="C754" s="50" t="str">
        <f>IFERROR(VLOOKUP($A754,EVENTO!$A$2:$C$4999,3,FALSE),"")</f>
        <v/>
      </c>
      <c r="D754" s="71"/>
      <c r="I754" s="49"/>
    </row>
    <row r="755">
      <c r="A755" s="11"/>
      <c r="B755" s="50" t="str">
        <f>IFERROR(VLOOKUP($A755,EVENTO!$A$2:$C$4999,2,FALSE),"")</f>
        <v/>
      </c>
      <c r="C755" s="50" t="str">
        <f>IFERROR(VLOOKUP($A755,EVENTO!$A$2:$C$4999,3,FALSE),"")</f>
        <v/>
      </c>
      <c r="D755" s="71"/>
      <c r="I755" s="49"/>
    </row>
    <row r="756">
      <c r="A756" s="11"/>
      <c r="B756" s="50" t="str">
        <f>IFERROR(VLOOKUP($A756,EVENTO!$A$2:$C$4999,2,FALSE),"")</f>
        <v/>
      </c>
      <c r="C756" s="50" t="str">
        <f>IFERROR(VLOOKUP($A756,EVENTO!$A$2:$C$4999,3,FALSE),"")</f>
        <v/>
      </c>
      <c r="D756" s="71"/>
      <c r="I756" s="49"/>
    </row>
    <row r="757">
      <c r="A757" s="11"/>
      <c r="B757" s="50" t="str">
        <f>IFERROR(VLOOKUP($A757,EVENTO!$A$2:$C$4999,2,FALSE),"")</f>
        <v/>
      </c>
      <c r="C757" s="50" t="str">
        <f>IFERROR(VLOOKUP($A757,EVENTO!$A$2:$C$4999,3,FALSE),"")</f>
        <v/>
      </c>
      <c r="D757" s="71"/>
      <c r="I757" s="49"/>
    </row>
    <row r="758">
      <c r="A758" s="11"/>
      <c r="B758" s="50" t="str">
        <f>IFERROR(VLOOKUP($A758,EVENTO!$A$2:$C$4999,2,FALSE),"")</f>
        <v/>
      </c>
      <c r="C758" s="50" t="str">
        <f>IFERROR(VLOOKUP($A758,EVENTO!$A$2:$C$4999,3,FALSE),"")</f>
        <v/>
      </c>
      <c r="D758" s="71"/>
      <c r="I758" s="49"/>
    </row>
    <row r="759">
      <c r="A759" s="11"/>
      <c r="B759" s="50" t="str">
        <f>IFERROR(VLOOKUP($A759,EVENTO!$A$2:$C$4999,2,FALSE),"")</f>
        <v/>
      </c>
      <c r="C759" s="50" t="str">
        <f>IFERROR(VLOOKUP($A759,EVENTO!$A$2:$C$4999,3,FALSE),"")</f>
        <v/>
      </c>
      <c r="D759" s="71"/>
      <c r="I759" s="49"/>
    </row>
    <row r="760">
      <c r="A760" s="11"/>
      <c r="B760" s="50" t="str">
        <f>IFERROR(VLOOKUP($A760,EVENTO!$A$2:$C$4999,2,FALSE),"")</f>
        <v/>
      </c>
      <c r="C760" s="50" t="str">
        <f>IFERROR(VLOOKUP($A760,EVENTO!$A$2:$C$4999,3,FALSE),"")</f>
        <v/>
      </c>
      <c r="D760" s="71"/>
      <c r="I760" s="49"/>
    </row>
    <row r="761">
      <c r="A761" s="11"/>
      <c r="B761" s="50" t="str">
        <f>IFERROR(VLOOKUP($A761,EVENTO!$A$2:$C$4999,2,FALSE),"")</f>
        <v/>
      </c>
      <c r="C761" s="50" t="str">
        <f>IFERROR(VLOOKUP($A761,EVENTO!$A$2:$C$4999,3,FALSE),"")</f>
        <v/>
      </c>
      <c r="D761" s="71"/>
      <c r="I761" s="49"/>
    </row>
    <row r="762">
      <c r="A762" s="11"/>
      <c r="B762" s="50" t="str">
        <f>IFERROR(VLOOKUP($A762,EVENTO!$A$2:$C$4999,2,FALSE),"")</f>
        <v/>
      </c>
      <c r="C762" s="50" t="str">
        <f>IFERROR(VLOOKUP($A762,EVENTO!$A$2:$C$4999,3,FALSE),"")</f>
        <v/>
      </c>
      <c r="D762" s="71"/>
      <c r="I762" s="49"/>
    </row>
    <row r="763">
      <c r="A763" s="11"/>
      <c r="B763" s="50" t="str">
        <f>IFERROR(VLOOKUP($A763,EVENTO!$A$2:$C$4999,2,FALSE),"")</f>
        <v/>
      </c>
      <c r="C763" s="50" t="str">
        <f>IFERROR(VLOOKUP($A763,EVENTO!$A$2:$C$4999,3,FALSE),"")</f>
        <v/>
      </c>
      <c r="D763" s="71"/>
      <c r="I763" s="49"/>
    </row>
    <row r="764">
      <c r="A764" s="11"/>
      <c r="B764" s="50" t="str">
        <f>IFERROR(VLOOKUP($A764,EVENTO!$A$2:$C$4999,2,FALSE),"")</f>
        <v/>
      </c>
      <c r="C764" s="50" t="str">
        <f>IFERROR(VLOOKUP($A764,EVENTO!$A$2:$C$4999,3,FALSE),"")</f>
        <v/>
      </c>
      <c r="D764" s="71"/>
      <c r="I764" s="49"/>
    </row>
    <row r="765">
      <c r="A765" s="11"/>
      <c r="B765" s="50" t="str">
        <f>IFERROR(VLOOKUP($A765,EVENTO!$A$2:$C$4999,2,FALSE),"")</f>
        <v/>
      </c>
      <c r="C765" s="50" t="str">
        <f>IFERROR(VLOOKUP($A765,EVENTO!$A$2:$C$4999,3,FALSE),"")</f>
        <v/>
      </c>
      <c r="D765" s="71"/>
      <c r="I765" s="49"/>
    </row>
    <row r="766">
      <c r="A766" s="11"/>
      <c r="B766" s="50" t="str">
        <f>IFERROR(VLOOKUP($A766,EVENTO!$A$2:$C$4999,2,FALSE),"")</f>
        <v/>
      </c>
      <c r="C766" s="50" t="str">
        <f>IFERROR(VLOOKUP($A766,EVENTO!$A$2:$C$4999,3,FALSE),"")</f>
        <v/>
      </c>
      <c r="D766" s="71"/>
      <c r="I766" s="49"/>
    </row>
    <row r="767">
      <c r="A767" s="11"/>
      <c r="B767" s="50" t="str">
        <f>IFERROR(VLOOKUP($A767,EVENTO!$A$2:$C$4999,2,FALSE),"")</f>
        <v/>
      </c>
      <c r="C767" s="50" t="str">
        <f>IFERROR(VLOOKUP($A767,EVENTO!$A$2:$C$4999,3,FALSE),"")</f>
        <v/>
      </c>
      <c r="D767" s="71"/>
      <c r="I767" s="49"/>
    </row>
    <row r="768">
      <c r="A768" s="11"/>
      <c r="B768" s="50" t="str">
        <f>IFERROR(VLOOKUP($A768,EVENTO!$A$2:$C$4999,2,FALSE),"")</f>
        <v/>
      </c>
      <c r="C768" s="50" t="str">
        <f>IFERROR(VLOOKUP($A768,EVENTO!$A$2:$C$4999,3,FALSE),"")</f>
        <v/>
      </c>
      <c r="D768" s="71"/>
      <c r="I768" s="49"/>
    </row>
    <row r="769">
      <c r="A769" s="11"/>
      <c r="B769" s="50" t="str">
        <f>IFERROR(VLOOKUP($A769,EVENTO!$A$2:$C$4999,2,FALSE),"")</f>
        <v/>
      </c>
      <c r="C769" s="50" t="str">
        <f>IFERROR(VLOOKUP($A769,EVENTO!$A$2:$C$4999,3,FALSE),"")</f>
        <v/>
      </c>
      <c r="D769" s="71"/>
      <c r="I769" s="49"/>
    </row>
    <row r="770">
      <c r="A770" s="11"/>
      <c r="B770" s="50" t="str">
        <f>IFERROR(VLOOKUP($A770,EVENTO!$A$2:$C$4999,2,FALSE),"")</f>
        <v/>
      </c>
      <c r="C770" s="50" t="str">
        <f>IFERROR(VLOOKUP($A770,EVENTO!$A$2:$C$4999,3,FALSE),"")</f>
        <v/>
      </c>
      <c r="D770" s="71"/>
      <c r="I770" s="49"/>
    </row>
    <row r="771">
      <c r="A771" s="11"/>
      <c r="B771" s="50" t="str">
        <f>IFERROR(VLOOKUP($A771,EVENTO!$A$2:$C$4999,2,FALSE),"")</f>
        <v/>
      </c>
      <c r="C771" s="50" t="str">
        <f>IFERROR(VLOOKUP($A771,EVENTO!$A$2:$C$4999,3,FALSE),"")</f>
        <v/>
      </c>
      <c r="D771" s="71"/>
      <c r="I771" s="49"/>
    </row>
    <row r="772">
      <c r="A772" s="11"/>
      <c r="B772" s="50" t="str">
        <f>IFERROR(VLOOKUP($A772,EVENTO!$A$2:$C$4999,2,FALSE),"")</f>
        <v/>
      </c>
      <c r="C772" s="50" t="str">
        <f>IFERROR(VLOOKUP($A772,EVENTO!$A$2:$C$4999,3,FALSE),"")</f>
        <v/>
      </c>
      <c r="D772" s="71"/>
      <c r="I772" s="49"/>
    </row>
    <row r="773">
      <c r="A773" s="11"/>
      <c r="B773" s="50" t="str">
        <f>IFERROR(VLOOKUP($A773,EVENTO!$A$2:$C$4999,2,FALSE),"")</f>
        <v/>
      </c>
      <c r="C773" s="50" t="str">
        <f>IFERROR(VLOOKUP($A773,EVENTO!$A$2:$C$4999,3,FALSE),"")</f>
        <v/>
      </c>
      <c r="D773" s="71"/>
      <c r="I773" s="49"/>
    </row>
    <row r="774">
      <c r="A774" s="11"/>
      <c r="B774" s="50" t="str">
        <f>IFERROR(VLOOKUP($A774,EVENTO!$A$2:$C$4999,2,FALSE),"")</f>
        <v/>
      </c>
      <c r="C774" s="50" t="str">
        <f>IFERROR(VLOOKUP($A774,EVENTO!$A$2:$C$4999,3,FALSE),"")</f>
        <v/>
      </c>
      <c r="D774" s="71"/>
      <c r="I774" s="49"/>
    </row>
    <row r="775">
      <c r="A775" s="11"/>
      <c r="B775" s="50" t="str">
        <f>IFERROR(VLOOKUP($A775,EVENTO!$A$2:$C$4999,2,FALSE),"")</f>
        <v/>
      </c>
      <c r="C775" s="50" t="str">
        <f>IFERROR(VLOOKUP($A775,EVENTO!$A$2:$C$4999,3,FALSE),"")</f>
        <v/>
      </c>
      <c r="D775" s="71"/>
      <c r="I775" s="49"/>
    </row>
    <row r="776">
      <c r="A776" s="11"/>
      <c r="B776" s="50" t="str">
        <f>IFERROR(VLOOKUP($A776,EVENTO!$A$2:$C$4999,2,FALSE),"")</f>
        <v/>
      </c>
      <c r="C776" s="50" t="str">
        <f>IFERROR(VLOOKUP($A776,EVENTO!$A$2:$C$4999,3,FALSE),"")</f>
        <v/>
      </c>
      <c r="D776" s="71"/>
      <c r="I776" s="49"/>
    </row>
    <row r="777">
      <c r="A777" s="11"/>
      <c r="B777" s="50" t="str">
        <f>IFERROR(VLOOKUP($A777,EVENTO!$A$2:$C$4999,2,FALSE),"")</f>
        <v/>
      </c>
      <c r="C777" s="50" t="str">
        <f>IFERROR(VLOOKUP($A777,EVENTO!$A$2:$C$4999,3,FALSE),"")</f>
        <v/>
      </c>
      <c r="D777" s="71"/>
      <c r="I777" s="49"/>
    </row>
    <row r="778">
      <c r="A778" s="11"/>
      <c r="B778" s="50" t="str">
        <f>IFERROR(VLOOKUP($A778,EVENTO!$A$2:$C$4999,2,FALSE),"")</f>
        <v/>
      </c>
      <c r="C778" s="50" t="str">
        <f>IFERROR(VLOOKUP($A778,EVENTO!$A$2:$C$4999,3,FALSE),"")</f>
        <v/>
      </c>
      <c r="D778" s="71"/>
      <c r="I778" s="49"/>
    </row>
    <row r="779">
      <c r="A779" s="11"/>
      <c r="B779" s="50" t="str">
        <f>IFERROR(VLOOKUP($A779,EVENTO!$A$2:$C$4999,2,FALSE),"")</f>
        <v/>
      </c>
      <c r="C779" s="50" t="str">
        <f>IFERROR(VLOOKUP($A779,EVENTO!$A$2:$C$4999,3,FALSE),"")</f>
        <v/>
      </c>
      <c r="D779" s="71"/>
      <c r="I779" s="49"/>
    </row>
    <row r="780">
      <c r="A780" s="11"/>
      <c r="B780" s="50" t="str">
        <f>IFERROR(VLOOKUP($A780,EVENTO!$A$2:$C$4999,2,FALSE),"")</f>
        <v/>
      </c>
      <c r="C780" s="50" t="str">
        <f>IFERROR(VLOOKUP($A780,EVENTO!$A$2:$C$4999,3,FALSE),"")</f>
        <v/>
      </c>
      <c r="D780" s="71"/>
      <c r="I780" s="49"/>
    </row>
    <row r="781">
      <c r="A781" s="11"/>
      <c r="B781" s="50" t="str">
        <f>IFERROR(VLOOKUP($A781,EVENTO!$A$2:$C$4999,2,FALSE),"")</f>
        <v/>
      </c>
      <c r="C781" s="50" t="str">
        <f>IFERROR(VLOOKUP($A781,EVENTO!$A$2:$C$4999,3,FALSE),"")</f>
        <v/>
      </c>
      <c r="D781" s="71"/>
      <c r="I781" s="49"/>
    </row>
    <row r="782">
      <c r="A782" s="11"/>
      <c r="B782" s="50" t="str">
        <f>IFERROR(VLOOKUP($A782,EVENTO!$A$2:$C$4999,2,FALSE),"")</f>
        <v/>
      </c>
      <c r="C782" s="50" t="str">
        <f>IFERROR(VLOOKUP($A782,EVENTO!$A$2:$C$4999,3,FALSE),"")</f>
        <v/>
      </c>
      <c r="D782" s="71"/>
      <c r="I782" s="49"/>
    </row>
    <row r="783">
      <c r="A783" s="11"/>
      <c r="B783" s="50" t="str">
        <f>IFERROR(VLOOKUP($A783,EVENTO!$A$2:$C$4999,2,FALSE),"")</f>
        <v/>
      </c>
      <c r="C783" s="50" t="str">
        <f>IFERROR(VLOOKUP($A783,EVENTO!$A$2:$C$4999,3,FALSE),"")</f>
        <v/>
      </c>
      <c r="D783" s="71"/>
      <c r="I783" s="49"/>
    </row>
    <row r="784">
      <c r="A784" s="11"/>
      <c r="B784" s="50" t="str">
        <f>IFERROR(VLOOKUP($A784,EVENTO!$A$2:$C$4999,2,FALSE),"")</f>
        <v/>
      </c>
      <c r="C784" s="50" t="str">
        <f>IFERROR(VLOOKUP($A784,EVENTO!$A$2:$C$4999,3,FALSE),"")</f>
        <v/>
      </c>
      <c r="D784" s="71"/>
      <c r="I784" s="49"/>
    </row>
    <row r="785">
      <c r="A785" s="11"/>
      <c r="B785" s="50" t="str">
        <f>IFERROR(VLOOKUP($A785,EVENTO!$A$2:$C$4999,2,FALSE),"")</f>
        <v/>
      </c>
      <c r="C785" s="50" t="str">
        <f>IFERROR(VLOOKUP($A785,EVENTO!$A$2:$C$4999,3,FALSE),"")</f>
        <v/>
      </c>
      <c r="D785" s="71"/>
      <c r="I785" s="49"/>
    </row>
    <row r="786">
      <c r="A786" s="11"/>
      <c r="B786" s="50" t="str">
        <f>IFERROR(VLOOKUP($A786,EVENTO!$A$2:$C$4999,2,FALSE),"")</f>
        <v/>
      </c>
      <c r="C786" s="50" t="str">
        <f>IFERROR(VLOOKUP($A786,EVENTO!$A$2:$C$4999,3,FALSE),"")</f>
        <v/>
      </c>
      <c r="D786" s="71"/>
      <c r="I786" s="49"/>
    </row>
    <row r="787">
      <c r="A787" s="11"/>
      <c r="B787" s="50" t="str">
        <f>IFERROR(VLOOKUP($A787,EVENTO!$A$2:$C$4999,2,FALSE),"")</f>
        <v/>
      </c>
      <c r="C787" s="50" t="str">
        <f>IFERROR(VLOOKUP($A787,EVENTO!$A$2:$C$4999,3,FALSE),"")</f>
        <v/>
      </c>
      <c r="D787" s="71"/>
      <c r="I787" s="49"/>
    </row>
    <row r="788">
      <c r="A788" s="11"/>
      <c r="B788" s="50" t="str">
        <f>IFERROR(VLOOKUP($A788,EVENTO!$A$2:$C$4999,2,FALSE),"")</f>
        <v/>
      </c>
      <c r="C788" s="50" t="str">
        <f>IFERROR(VLOOKUP($A788,EVENTO!$A$2:$C$4999,3,FALSE),"")</f>
        <v/>
      </c>
      <c r="D788" s="71"/>
      <c r="I788" s="49"/>
    </row>
    <row r="789">
      <c r="A789" s="11"/>
      <c r="B789" s="50" t="str">
        <f>IFERROR(VLOOKUP($A789,EVENTO!$A$2:$C$4999,2,FALSE),"")</f>
        <v/>
      </c>
      <c r="C789" s="50" t="str">
        <f>IFERROR(VLOOKUP($A789,EVENTO!$A$2:$C$4999,3,FALSE),"")</f>
        <v/>
      </c>
      <c r="D789" s="71"/>
      <c r="I789" s="49"/>
    </row>
    <row r="790">
      <c r="A790" s="11"/>
      <c r="B790" s="50" t="str">
        <f>IFERROR(VLOOKUP($A790,EVENTO!$A$2:$C$4999,2,FALSE),"")</f>
        <v/>
      </c>
      <c r="C790" s="50" t="str">
        <f>IFERROR(VLOOKUP($A790,EVENTO!$A$2:$C$4999,3,FALSE),"")</f>
        <v/>
      </c>
      <c r="D790" s="71"/>
      <c r="I790" s="49"/>
    </row>
    <row r="791">
      <c r="A791" s="11"/>
      <c r="B791" s="50" t="str">
        <f>IFERROR(VLOOKUP($A791,EVENTO!$A$2:$C$4999,2,FALSE),"")</f>
        <v/>
      </c>
      <c r="C791" s="50" t="str">
        <f>IFERROR(VLOOKUP($A791,EVENTO!$A$2:$C$4999,3,FALSE),"")</f>
        <v/>
      </c>
      <c r="D791" s="71"/>
      <c r="I791" s="49"/>
    </row>
    <row r="792">
      <c r="A792" s="11"/>
      <c r="B792" s="50" t="str">
        <f>IFERROR(VLOOKUP($A792,EVENTO!$A$2:$C$4999,2,FALSE),"")</f>
        <v/>
      </c>
      <c r="C792" s="50" t="str">
        <f>IFERROR(VLOOKUP($A792,EVENTO!$A$2:$C$4999,3,FALSE),"")</f>
        <v/>
      </c>
      <c r="D792" s="71"/>
      <c r="I792" s="49"/>
    </row>
    <row r="793">
      <c r="A793" s="11"/>
      <c r="B793" s="50" t="str">
        <f>IFERROR(VLOOKUP($A793,EVENTO!$A$2:$C$4999,2,FALSE),"")</f>
        <v/>
      </c>
      <c r="C793" s="50" t="str">
        <f>IFERROR(VLOOKUP($A793,EVENTO!$A$2:$C$4999,3,FALSE),"")</f>
        <v/>
      </c>
      <c r="D793" s="71"/>
      <c r="I793" s="49"/>
    </row>
    <row r="794">
      <c r="A794" s="11"/>
      <c r="B794" s="50" t="str">
        <f>IFERROR(VLOOKUP($A794,EVENTO!$A$2:$C$4999,2,FALSE),"")</f>
        <v/>
      </c>
      <c r="C794" s="50" t="str">
        <f>IFERROR(VLOOKUP($A794,EVENTO!$A$2:$C$4999,3,FALSE),"")</f>
        <v/>
      </c>
      <c r="D794" s="71"/>
      <c r="I794" s="49"/>
    </row>
    <row r="795">
      <c r="A795" s="11"/>
      <c r="B795" s="50" t="str">
        <f>IFERROR(VLOOKUP($A795,EVENTO!$A$2:$C$4999,2,FALSE),"")</f>
        <v/>
      </c>
      <c r="C795" s="50" t="str">
        <f>IFERROR(VLOOKUP($A795,EVENTO!$A$2:$C$4999,3,FALSE),"")</f>
        <v/>
      </c>
      <c r="D795" s="71"/>
      <c r="I795" s="49"/>
    </row>
    <row r="796">
      <c r="A796" s="11"/>
      <c r="B796" s="50" t="str">
        <f>IFERROR(VLOOKUP($A796,EVENTO!$A$2:$C$4999,2,FALSE),"")</f>
        <v/>
      </c>
      <c r="C796" s="50" t="str">
        <f>IFERROR(VLOOKUP($A796,EVENTO!$A$2:$C$4999,3,FALSE),"")</f>
        <v/>
      </c>
      <c r="D796" s="71"/>
      <c r="I796" s="49"/>
    </row>
    <row r="797">
      <c r="A797" s="11"/>
      <c r="B797" s="50" t="str">
        <f>IFERROR(VLOOKUP($A797,EVENTO!$A$2:$C$4999,2,FALSE),"")</f>
        <v/>
      </c>
      <c r="C797" s="50" t="str">
        <f>IFERROR(VLOOKUP($A797,EVENTO!$A$2:$C$4999,3,FALSE),"")</f>
        <v/>
      </c>
      <c r="D797" s="71"/>
      <c r="I797" s="49"/>
    </row>
    <row r="798">
      <c r="A798" s="11"/>
      <c r="B798" s="50" t="str">
        <f>IFERROR(VLOOKUP($A798,EVENTO!$A$2:$C$4999,2,FALSE),"")</f>
        <v/>
      </c>
      <c r="C798" s="50" t="str">
        <f>IFERROR(VLOOKUP($A798,EVENTO!$A$2:$C$4999,3,FALSE),"")</f>
        <v/>
      </c>
      <c r="D798" s="71"/>
      <c r="I798" s="49"/>
    </row>
    <row r="799">
      <c r="A799" s="11"/>
      <c r="B799" s="50" t="str">
        <f>IFERROR(VLOOKUP($A799,EVENTO!$A$2:$C$4999,2,FALSE),"")</f>
        <v/>
      </c>
      <c r="C799" s="50" t="str">
        <f>IFERROR(VLOOKUP($A799,EVENTO!$A$2:$C$4999,3,FALSE),"")</f>
        <v/>
      </c>
      <c r="D799" s="71"/>
      <c r="I799" s="49"/>
    </row>
    <row r="800">
      <c r="A800" s="11"/>
      <c r="B800" s="50" t="str">
        <f>IFERROR(VLOOKUP($A800,EVENTO!$A$2:$C$4999,2,FALSE),"")</f>
        <v/>
      </c>
      <c r="C800" s="50" t="str">
        <f>IFERROR(VLOOKUP($A800,EVENTO!$A$2:$C$4999,3,FALSE),"")</f>
        <v/>
      </c>
      <c r="D800" s="71"/>
      <c r="I800" s="49"/>
    </row>
    <row r="801">
      <c r="A801" s="11"/>
      <c r="B801" s="50" t="str">
        <f>IFERROR(VLOOKUP($A801,EVENTO!$A$2:$C$4999,2,FALSE),"")</f>
        <v/>
      </c>
      <c r="C801" s="50" t="str">
        <f>IFERROR(VLOOKUP($A801,EVENTO!$A$2:$C$4999,3,FALSE),"")</f>
        <v/>
      </c>
      <c r="D801" s="71"/>
      <c r="I801" s="49"/>
    </row>
    <row r="802">
      <c r="A802" s="11"/>
      <c r="B802" s="50" t="str">
        <f>IFERROR(VLOOKUP($A802,EVENTO!$A$2:$C$4999,2,FALSE),"")</f>
        <v/>
      </c>
      <c r="C802" s="50" t="str">
        <f>IFERROR(VLOOKUP($A802,EVENTO!$A$2:$C$4999,3,FALSE),"")</f>
        <v/>
      </c>
      <c r="D802" s="71"/>
      <c r="I802" s="49"/>
    </row>
    <row r="803">
      <c r="A803" s="11"/>
      <c r="B803" s="50" t="str">
        <f>IFERROR(VLOOKUP($A803,EVENTO!$A$2:$C$4999,2,FALSE),"")</f>
        <v/>
      </c>
      <c r="C803" s="50" t="str">
        <f>IFERROR(VLOOKUP($A803,EVENTO!$A$2:$C$4999,3,FALSE),"")</f>
        <v/>
      </c>
      <c r="D803" s="71"/>
      <c r="I803" s="49"/>
    </row>
    <row r="804">
      <c r="A804" s="11"/>
      <c r="B804" s="50" t="str">
        <f>IFERROR(VLOOKUP($A804,EVENTO!$A$2:$C$4999,2,FALSE),"")</f>
        <v/>
      </c>
      <c r="C804" s="50" t="str">
        <f>IFERROR(VLOOKUP($A804,EVENTO!$A$2:$C$4999,3,FALSE),"")</f>
        <v/>
      </c>
      <c r="D804" s="71"/>
      <c r="I804" s="49"/>
    </row>
    <row r="805">
      <c r="A805" s="11"/>
      <c r="B805" s="50" t="str">
        <f>IFERROR(VLOOKUP($A805,EVENTO!$A$2:$C$4999,2,FALSE),"")</f>
        <v/>
      </c>
      <c r="C805" s="50" t="str">
        <f>IFERROR(VLOOKUP($A805,EVENTO!$A$2:$C$4999,3,FALSE),"")</f>
        <v/>
      </c>
      <c r="D805" s="71"/>
      <c r="I805" s="49"/>
    </row>
    <row r="806">
      <c r="A806" s="11"/>
      <c r="B806" s="50" t="str">
        <f>IFERROR(VLOOKUP($A806,EVENTO!$A$2:$C$4999,2,FALSE),"")</f>
        <v/>
      </c>
      <c r="C806" s="50" t="str">
        <f>IFERROR(VLOOKUP($A806,EVENTO!$A$2:$C$4999,3,FALSE),"")</f>
        <v/>
      </c>
      <c r="D806" s="71"/>
      <c r="I806" s="49"/>
    </row>
    <row r="807">
      <c r="A807" s="11"/>
      <c r="B807" s="50" t="str">
        <f>IFERROR(VLOOKUP($A807,EVENTO!$A$2:$C$4999,2,FALSE),"")</f>
        <v/>
      </c>
      <c r="C807" s="50" t="str">
        <f>IFERROR(VLOOKUP($A807,EVENTO!$A$2:$C$4999,3,FALSE),"")</f>
        <v/>
      </c>
      <c r="D807" s="71"/>
      <c r="I807" s="49"/>
    </row>
    <row r="808">
      <c r="A808" s="11"/>
      <c r="B808" s="50" t="str">
        <f>IFERROR(VLOOKUP($A808,EVENTO!$A$2:$C$4999,2,FALSE),"")</f>
        <v/>
      </c>
      <c r="C808" s="50" t="str">
        <f>IFERROR(VLOOKUP($A808,EVENTO!$A$2:$C$4999,3,FALSE),"")</f>
        <v/>
      </c>
      <c r="D808" s="71"/>
      <c r="I808" s="49"/>
    </row>
    <row r="809">
      <c r="A809" s="11"/>
      <c r="B809" s="50" t="str">
        <f>IFERROR(VLOOKUP($A809,EVENTO!$A$2:$C$4999,2,FALSE),"")</f>
        <v/>
      </c>
      <c r="C809" s="50" t="str">
        <f>IFERROR(VLOOKUP($A809,EVENTO!$A$2:$C$4999,3,FALSE),"")</f>
        <v/>
      </c>
      <c r="D809" s="71"/>
      <c r="I809" s="49"/>
    </row>
    <row r="810">
      <c r="A810" s="11"/>
      <c r="B810" s="50" t="str">
        <f>IFERROR(VLOOKUP($A810,EVENTO!$A$2:$C$4999,2,FALSE),"")</f>
        <v/>
      </c>
      <c r="C810" s="50" t="str">
        <f>IFERROR(VLOOKUP($A810,EVENTO!$A$2:$C$4999,3,FALSE),"")</f>
        <v/>
      </c>
      <c r="D810" s="71"/>
      <c r="I810" s="49"/>
    </row>
    <row r="811">
      <c r="A811" s="11"/>
      <c r="B811" s="50" t="str">
        <f>IFERROR(VLOOKUP($A811,EVENTO!$A$2:$C$4999,2,FALSE),"")</f>
        <v/>
      </c>
      <c r="C811" s="50" t="str">
        <f>IFERROR(VLOOKUP($A811,EVENTO!$A$2:$C$4999,3,FALSE),"")</f>
        <v/>
      </c>
      <c r="D811" s="71"/>
      <c r="I811" s="49"/>
    </row>
    <row r="812">
      <c r="A812" s="11"/>
      <c r="B812" s="50" t="str">
        <f>IFERROR(VLOOKUP($A812,EVENTO!$A$2:$C$4999,2,FALSE),"")</f>
        <v/>
      </c>
      <c r="C812" s="50" t="str">
        <f>IFERROR(VLOOKUP($A812,EVENTO!$A$2:$C$4999,3,FALSE),"")</f>
        <v/>
      </c>
      <c r="D812" s="71"/>
      <c r="I812" s="49"/>
    </row>
    <row r="813">
      <c r="A813" s="11"/>
      <c r="B813" s="50" t="str">
        <f>IFERROR(VLOOKUP($A813,EVENTO!$A$2:$C$4999,2,FALSE),"")</f>
        <v/>
      </c>
      <c r="C813" s="50" t="str">
        <f>IFERROR(VLOOKUP($A813,EVENTO!$A$2:$C$4999,3,FALSE),"")</f>
        <v/>
      </c>
      <c r="D813" s="71"/>
      <c r="I813" s="49"/>
    </row>
    <row r="814">
      <c r="A814" s="11"/>
      <c r="B814" s="50" t="str">
        <f>IFERROR(VLOOKUP($A814,EVENTO!$A$2:$C$4999,2,FALSE),"")</f>
        <v/>
      </c>
      <c r="C814" s="50" t="str">
        <f>IFERROR(VLOOKUP($A814,EVENTO!$A$2:$C$4999,3,FALSE),"")</f>
        <v/>
      </c>
      <c r="D814" s="71"/>
      <c r="I814" s="49"/>
    </row>
    <row r="815">
      <c r="A815" s="11"/>
      <c r="B815" s="50" t="str">
        <f>IFERROR(VLOOKUP($A815,EVENTO!$A$2:$C$4999,2,FALSE),"")</f>
        <v/>
      </c>
      <c r="C815" s="50" t="str">
        <f>IFERROR(VLOOKUP($A815,EVENTO!$A$2:$C$4999,3,FALSE),"")</f>
        <v/>
      </c>
      <c r="D815" s="71"/>
      <c r="I815" s="49"/>
    </row>
    <row r="816">
      <c r="A816" s="11"/>
      <c r="B816" s="50" t="str">
        <f>IFERROR(VLOOKUP($A816,EVENTO!$A$2:$C$4999,2,FALSE),"")</f>
        <v/>
      </c>
      <c r="C816" s="50" t="str">
        <f>IFERROR(VLOOKUP($A816,EVENTO!$A$2:$C$4999,3,FALSE),"")</f>
        <v/>
      </c>
      <c r="D816" s="71"/>
      <c r="I816" s="49"/>
    </row>
    <row r="817">
      <c r="A817" s="11"/>
      <c r="B817" s="50" t="str">
        <f>IFERROR(VLOOKUP($A817,EVENTO!$A$2:$C$4999,2,FALSE),"")</f>
        <v/>
      </c>
      <c r="C817" s="50" t="str">
        <f>IFERROR(VLOOKUP($A817,EVENTO!$A$2:$C$4999,3,FALSE),"")</f>
        <v/>
      </c>
      <c r="D817" s="71"/>
      <c r="I817" s="49"/>
    </row>
    <row r="818">
      <c r="A818" s="11"/>
      <c r="B818" s="50" t="str">
        <f>IFERROR(VLOOKUP($A818,EVENTO!$A$2:$C$4999,2,FALSE),"")</f>
        <v/>
      </c>
      <c r="C818" s="50" t="str">
        <f>IFERROR(VLOOKUP($A818,EVENTO!$A$2:$C$4999,3,FALSE),"")</f>
        <v/>
      </c>
      <c r="D818" s="71"/>
      <c r="I818" s="49"/>
    </row>
    <row r="819">
      <c r="A819" s="11"/>
      <c r="B819" s="50" t="str">
        <f>IFERROR(VLOOKUP($A819,EVENTO!$A$2:$C$4999,2,FALSE),"")</f>
        <v/>
      </c>
      <c r="C819" s="50" t="str">
        <f>IFERROR(VLOOKUP($A819,EVENTO!$A$2:$C$4999,3,FALSE),"")</f>
        <v/>
      </c>
      <c r="D819" s="71"/>
      <c r="I819" s="49"/>
    </row>
    <row r="820">
      <c r="A820" s="11"/>
      <c r="B820" s="50" t="str">
        <f>IFERROR(VLOOKUP($A820,EVENTO!$A$2:$C$4999,2,FALSE),"")</f>
        <v/>
      </c>
      <c r="C820" s="50" t="str">
        <f>IFERROR(VLOOKUP($A820,EVENTO!$A$2:$C$4999,3,FALSE),"")</f>
        <v/>
      </c>
      <c r="D820" s="71"/>
      <c r="I820" s="49"/>
    </row>
    <row r="821">
      <c r="A821" s="11"/>
      <c r="B821" s="50" t="str">
        <f>IFERROR(VLOOKUP($A821,EVENTO!$A$2:$C$4999,2,FALSE),"")</f>
        <v/>
      </c>
      <c r="C821" s="50" t="str">
        <f>IFERROR(VLOOKUP($A821,EVENTO!$A$2:$C$4999,3,FALSE),"")</f>
        <v/>
      </c>
      <c r="D821" s="71"/>
      <c r="I821" s="49"/>
    </row>
    <row r="822">
      <c r="A822" s="11"/>
      <c r="B822" s="50" t="str">
        <f>IFERROR(VLOOKUP($A822,EVENTO!$A$2:$C$4999,2,FALSE),"")</f>
        <v/>
      </c>
      <c r="C822" s="50" t="str">
        <f>IFERROR(VLOOKUP($A822,EVENTO!$A$2:$C$4999,3,FALSE),"")</f>
        <v/>
      </c>
      <c r="D822" s="71"/>
      <c r="I822" s="49"/>
    </row>
    <row r="823">
      <c r="A823" s="11"/>
      <c r="B823" s="50" t="str">
        <f>IFERROR(VLOOKUP($A823,EVENTO!$A$2:$C$4999,2,FALSE),"")</f>
        <v/>
      </c>
      <c r="C823" s="50" t="str">
        <f>IFERROR(VLOOKUP($A823,EVENTO!$A$2:$C$4999,3,FALSE),"")</f>
        <v/>
      </c>
      <c r="D823" s="71"/>
      <c r="I823" s="49"/>
    </row>
    <row r="824">
      <c r="A824" s="11"/>
      <c r="B824" s="50" t="str">
        <f>IFERROR(VLOOKUP($A824,EVENTO!$A$2:$C$4999,2,FALSE),"")</f>
        <v/>
      </c>
      <c r="C824" s="50" t="str">
        <f>IFERROR(VLOOKUP($A824,EVENTO!$A$2:$C$4999,3,FALSE),"")</f>
        <v/>
      </c>
      <c r="D824" s="71"/>
      <c r="I824" s="49"/>
    </row>
    <row r="825">
      <c r="A825" s="11"/>
      <c r="B825" s="50" t="str">
        <f>IFERROR(VLOOKUP($A825,EVENTO!$A$2:$C$4999,2,FALSE),"")</f>
        <v/>
      </c>
      <c r="C825" s="50" t="str">
        <f>IFERROR(VLOOKUP($A825,EVENTO!$A$2:$C$4999,3,FALSE),"")</f>
        <v/>
      </c>
      <c r="D825" s="71"/>
      <c r="I825" s="49"/>
    </row>
    <row r="826">
      <c r="A826" s="11"/>
      <c r="B826" s="50" t="str">
        <f>IFERROR(VLOOKUP($A826,EVENTO!$A$2:$C$4999,2,FALSE),"")</f>
        <v/>
      </c>
      <c r="C826" s="50" t="str">
        <f>IFERROR(VLOOKUP($A826,EVENTO!$A$2:$C$4999,3,FALSE),"")</f>
        <v/>
      </c>
      <c r="D826" s="71"/>
      <c r="I826" s="49"/>
    </row>
    <row r="827">
      <c r="A827" s="11"/>
      <c r="B827" s="50" t="str">
        <f>IFERROR(VLOOKUP($A827,EVENTO!$A$2:$C$4999,2,FALSE),"")</f>
        <v/>
      </c>
      <c r="C827" s="50" t="str">
        <f>IFERROR(VLOOKUP($A827,EVENTO!$A$2:$C$4999,3,FALSE),"")</f>
        <v/>
      </c>
      <c r="D827" s="71"/>
      <c r="I827" s="49"/>
    </row>
    <row r="828">
      <c r="A828" s="11"/>
      <c r="B828" s="50" t="str">
        <f>IFERROR(VLOOKUP($A828,EVENTO!$A$2:$C$4999,2,FALSE),"")</f>
        <v/>
      </c>
      <c r="C828" s="50" t="str">
        <f>IFERROR(VLOOKUP($A828,EVENTO!$A$2:$C$4999,3,FALSE),"")</f>
        <v/>
      </c>
      <c r="D828" s="71"/>
      <c r="I828" s="49"/>
    </row>
    <row r="829">
      <c r="A829" s="11"/>
      <c r="B829" s="50" t="str">
        <f>IFERROR(VLOOKUP($A829,EVENTO!$A$2:$C$4999,2,FALSE),"")</f>
        <v/>
      </c>
      <c r="C829" s="50" t="str">
        <f>IFERROR(VLOOKUP($A829,EVENTO!$A$2:$C$4999,3,FALSE),"")</f>
        <v/>
      </c>
      <c r="D829" s="71"/>
      <c r="I829" s="49"/>
    </row>
    <row r="830">
      <c r="A830" s="11"/>
      <c r="B830" s="50" t="str">
        <f>IFERROR(VLOOKUP($A830,EVENTO!$A$2:$C$4999,2,FALSE),"")</f>
        <v/>
      </c>
      <c r="C830" s="50" t="str">
        <f>IFERROR(VLOOKUP($A830,EVENTO!$A$2:$C$4999,3,FALSE),"")</f>
        <v/>
      </c>
      <c r="D830" s="71"/>
      <c r="I830" s="49"/>
    </row>
    <row r="831">
      <c r="A831" s="11"/>
      <c r="B831" s="50" t="str">
        <f>IFERROR(VLOOKUP($A831,EVENTO!$A$2:$C$4999,2,FALSE),"")</f>
        <v/>
      </c>
      <c r="C831" s="50" t="str">
        <f>IFERROR(VLOOKUP($A831,EVENTO!$A$2:$C$4999,3,FALSE),"")</f>
        <v/>
      </c>
      <c r="D831" s="71"/>
      <c r="I831" s="49"/>
    </row>
    <row r="832">
      <c r="A832" s="11"/>
      <c r="B832" s="50" t="str">
        <f>IFERROR(VLOOKUP($A832,EVENTO!$A$2:$C$4999,2,FALSE),"")</f>
        <v/>
      </c>
      <c r="C832" s="50" t="str">
        <f>IFERROR(VLOOKUP($A832,EVENTO!$A$2:$C$4999,3,FALSE),"")</f>
        <v/>
      </c>
      <c r="D832" s="71"/>
      <c r="I832" s="49"/>
    </row>
    <row r="833">
      <c r="A833" s="11"/>
      <c r="B833" s="50" t="str">
        <f>IFERROR(VLOOKUP($A833,EVENTO!$A$2:$C$4999,2,FALSE),"")</f>
        <v/>
      </c>
      <c r="C833" s="50" t="str">
        <f>IFERROR(VLOOKUP($A833,EVENTO!$A$2:$C$4999,3,FALSE),"")</f>
        <v/>
      </c>
      <c r="D833" s="71"/>
      <c r="I833" s="49"/>
    </row>
    <row r="834">
      <c r="A834" s="11"/>
      <c r="B834" s="50" t="str">
        <f>IFERROR(VLOOKUP($A834,EVENTO!$A$2:$C$4999,2,FALSE),"")</f>
        <v/>
      </c>
      <c r="C834" s="50" t="str">
        <f>IFERROR(VLOOKUP($A834,EVENTO!$A$2:$C$4999,3,FALSE),"")</f>
        <v/>
      </c>
      <c r="D834" s="71"/>
      <c r="I834" s="49"/>
    </row>
    <row r="835">
      <c r="A835" s="11"/>
      <c r="B835" s="50" t="str">
        <f>IFERROR(VLOOKUP($A835,EVENTO!$A$2:$C$4999,2,FALSE),"")</f>
        <v/>
      </c>
      <c r="C835" s="50" t="str">
        <f>IFERROR(VLOOKUP($A835,EVENTO!$A$2:$C$4999,3,FALSE),"")</f>
        <v/>
      </c>
      <c r="D835" s="71"/>
      <c r="I835" s="49"/>
    </row>
    <row r="836">
      <c r="A836" s="11"/>
      <c r="B836" s="50" t="str">
        <f>IFERROR(VLOOKUP($A836,EVENTO!$A$2:$C$4999,2,FALSE),"")</f>
        <v/>
      </c>
      <c r="C836" s="50" t="str">
        <f>IFERROR(VLOOKUP($A836,EVENTO!$A$2:$C$4999,3,FALSE),"")</f>
        <v/>
      </c>
      <c r="D836" s="71"/>
      <c r="I836" s="49"/>
    </row>
    <row r="837">
      <c r="A837" s="11"/>
      <c r="B837" s="50" t="str">
        <f>IFERROR(VLOOKUP($A837,EVENTO!$A$2:$C$4999,2,FALSE),"")</f>
        <v/>
      </c>
      <c r="C837" s="50" t="str">
        <f>IFERROR(VLOOKUP($A837,EVENTO!$A$2:$C$4999,3,FALSE),"")</f>
        <v/>
      </c>
      <c r="D837" s="71"/>
      <c r="I837" s="49"/>
    </row>
    <row r="838">
      <c r="A838" s="11"/>
      <c r="B838" s="50" t="str">
        <f>IFERROR(VLOOKUP($A838,EVENTO!$A$2:$C$4999,2,FALSE),"")</f>
        <v/>
      </c>
      <c r="C838" s="50" t="str">
        <f>IFERROR(VLOOKUP($A838,EVENTO!$A$2:$C$4999,3,FALSE),"")</f>
        <v/>
      </c>
      <c r="D838" s="71"/>
      <c r="I838" s="49"/>
    </row>
    <row r="839">
      <c r="A839" s="11"/>
      <c r="B839" s="50" t="str">
        <f>IFERROR(VLOOKUP($A839,EVENTO!$A$2:$C$4999,2,FALSE),"")</f>
        <v/>
      </c>
      <c r="C839" s="50" t="str">
        <f>IFERROR(VLOOKUP($A839,EVENTO!$A$2:$C$4999,3,FALSE),"")</f>
        <v/>
      </c>
      <c r="D839" s="71"/>
      <c r="I839" s="49"/>
    </row>
    <row r="840">
      <c r="A840" s="11"/>
      <c r="B840" s="50" t="str">
        <f>IFERROR(VLOOKUP($A840,EVENTO!$A$2:$C$4999,2,FALSE),"")</f>
        <v/>
      </c>
      <c r="C840" s="50" t="str">
        <f>IFERROR(VLOOKUP($A840,EVENTO!$A$2:$C$4999,3,FALSE),"")</f>
        <v/>
      </c>
      <c r="D840" s="71"/>
      <c r="I840" s="49"/>
    </row>
    <row r="841">
      <c r="A841" s="11"/>
      <c r="B841" s="50" t="str">
        <f>IFERROR(VLOOKUP($A841,EVENTO!$A$2:$C$4999,2,FALSE),"")</f>
        <v/>
      </c>
      <c r="C841" s="50" t="str">
        <f>IFERROR(VLOOKUP($A841,EVENTO!$A$2:$C$4999,3,FALSE),"")</f>
        <v/>
      </c>
      <c r="D841" s="71"/>
      <c r="I841" s="49"/>
    </row>
    <row r="842">
      <c r="A842" s="11"/>
      <c r="B842" s="50" t="str">
        <f>IFERROR(VLOOKUP($A842,EVENTO!$A$2:$C$4999,2,FALSE),"")</f>
        <v/>
      </c>
      <c r="C842" s="50" t="str">
        <f>IFERROR(VLOOKUP($A842,EVENTO!$A$2:$C$4999,3,FALSE),"")</f>
        <v/>
      </c>
      <c r="D842" s="71"/>
      <c r="I842" s="49"/>
    </row>
    <row r="843">
      <c r="A843" s="11"/>
      <c r="B843" s="50" t="str">
        <f>IFERROR(VLOOKUP($A843,EVENTO!$A$2:$C$4999,2,FALSE),"")</f>
        <v/>
      </c>
      <c r="C843" s="50" t="str">
        <f>IFERROR(VLOOKUP($A843,EVENTO!$A$2:$C$4999,3,FALSE),"")</f>
        <v/>
      </c>
      <c r="D843" s="71"/>
      <c r="I843" s="49"/>
    </row>
    <row r="844">
      <c r="A844" s="11"/>
      <c r="B844" s="50" t="str">
        <f>IFERROR(VLOOKUP($A844,EVENTO!$A$2:$C$4999,2,FALSE),"")</f>
        <v/>
      </c>
      <c r="C844" s="50" t="str">
        <f>IFERROR(VLOOKUP($A844,EVENTO!$A$2:$C$4999,3,FALSE),"")</f>
        <v/>
      </c>
      <c r="D844" s="71"/>
      <c r="I844" s="49"/>
    </row>
    <row r="845">
      <c r="A845" s="11"/>
      <c r="B845" s="50" t="str">
        <f>IFERROR(VLOOKUP($A845,EVENTO!$A$2:$C$4999,2,FALSE),"")</f>
        <v/>
      </c>
      <c r="C845" s="50" t="str">
        <f>IFERROR(VLOOKUP($A845,EVENTO!$A$2:$C$4999,3,FALSE),"")</f>
        <v/>
      </c>
      <c r="D845" s="71"/>
      <c r="I845" s="49"/>
    </row>
    <row r="846">
      <c r="A846" s="11"/>
      <c r="B846" s="50" t="str">
        <f>IFERROR(VLOOKUP($A846,EVENTO!$A$2:$C$4999,2,FALSE),"")</f>
        <v/>
      </c>
      <c r="C846" s="50" t="str">
        <f>IFERROR(VLOOKUP($A846,EVENTO!$A$2:$C$4999,3,FALSE),"")</f>
        <v/>
      </c>
      <c r="D846" s="71"/>
      <c r="I846" s="49"/>
    </row>
    <row r="847">
      <c r="A847" s="11"/>
      <c r="B847" s="50" t="str">
        <f>IFERROR(VLOOKUP($A847,EVENTO!$A$2:$C$4999,2,FALSE),"")</f>
        <v/>
      </c>
      <c r="C847" s="50" t="str">
        <f>IFERROR(VLOOKUP($A847,EVENTO!$A$2:$C$4999,3,FALSE),"")</f>
        <v/>
      </c>
      <c r="D847" s="71"/>
      <c r="I847" s="49"/>
    </row>
    <row r="848">
      <c r="A848" s="11"/>
      <c r="B848" s="50" t="str">
        <f>IFERROR(VLOOKUP($A848,EVENTO!$A$2:$C$4999,2,FALSE),"")</f>
        <v/>
      </c>
      <c r="C848" s="50" t="str">
        <f>IFERROR(VLOOKUP($A848,EVENTO!$A$2:$C$4999,3,FALSE),"")</f>
        <v/>
      </c>
      <c r="D848" s="71"/>
      <c r="I848" s="49"/>
    </row>
    <row r="849">
      <c r="A849" s="11"/>
      <c r="B849" s="50" t="str">
        <f>IFERROR(VLOOKUP($A849,EVENTO!$A$2:$C$4999,2,FALSE),"")</f>
        <v/>
      </c>
      <c r="C849" s="50" t="str">
        <f>IFERROR(VLOOKUP($A849,EVENTO!$A$2:$C$4999,3,FALSE),"")</f>
        <v/>
      </c>
      <c r="D849" s="71"/>
      <c r="I849" s="49"/>
    </row>
    <row r="850">
      <c r="A850" s="11"/>
      <c r="B850" s="50" t="str">
        <f>IFERROR(VLOOKUP($A850,EVENTO!$A$2:$C$4999,2,FALSE),"")</f>
        <v/>
      </c>
      <c r="C850" s="50" t="str">
        <f>IFERROR(VLOOKUP($A850,EVENTO!$A$2:$C$4999,3,FALSE),"")</f>
        <v/>
      </c>
      <c r="D850" s="71"/>
      <c r="I850" s="49"/>
    </row>
    <row r="851">
      <c r="A851" s="11"/>
      <c r="B851" s="50" t="str">
        <f>IFERROR(VLOOKUP($A851,EVENTO!$A$2:$C$4999,2,FALSE),"")</f>
        <v/>
      </c>
      <c r="C851" s="50" t="str">
        <f>IFERROR(VLOOKUP($A851,EVENTO!$A$2:$C$4999,3,FALSE),"")</f>
        <v/>
      </c>
      <c r="D851" s="71"/>
      <c r="I851" s="49"/>
    </row>
    <row r="852">
      <c r="A852" s="11"/>
      <c r="B852" s="50" t="str">
        <f>IFERROR(VLOOKUP($A852,EVENTO!$A$2:$C$4999,2,FALSE),"")</f>
        <v/>
      </c>
      <c r="C852" s="50" t="str">
        <f>IFERROR(VLOOKUP($A852,EVENTO!$A$2:$C$4999,3,FALSE),"")</f>
        <v/>
      </c>
      <c r="D852" s="71"/>
      <c r="I852" s="49"/>
    </row>
    <row r="853">
      <c r="A853" s="11"/>
      <c r="B853" s="50" t="str">
        <f>IFERROR(VLOOKUP($A853,EVENTO!$A$2:$C$4999,2,FALSE),"")</f>
        <v/>
      </c>
      <c r="C853" s="50" t="str">
        <f>IFERROR(VLOOKUP($A853,EVENTO!$A$2:$C$4999,3,FALSE),"")</f>
        <v/>
      </c>
      <c r="D853" s="71"/>
      <c r="I853" s="49"/>
    </row>
    <row r="854">
      <c r="A854" s="11"/>
      <c r="B854" s="50" t="str">
        <f>IFERROR(VLOOKUP($A854,EVENTO!$A$2:$C$4999,2,FALSE),"")</f>
        <v/>
      </c>
      <c r="C854" s="50" t="str">
        <f>IFERROR(VLOOKUP($A854,EVENTO!$A$2:$C$4999,3,FALSE),"")</f>
        <v/>
      </c>
      <c r="D854" s="71"/>
      <c r="I854" s="49"/>
    </row>
    <row r="855">
      <c r="A855" s="11"/>
      <c r="B855" s="50" t="str">
        <f>IFERROR(VLOOKUP($A855,EVENTO!$A$2:$C$4999,2,FALSE),"")</f>
        <v/>
      </c>
      <c r="C855" s="50" t="str">
        <f>IFERROR(VLOOKUP($A855,EVENTO!$A$2:$C$4999,3,FALSE),"")</f>
        <v/>
      </c>
      <c r="D855" s="71"/>
      <c r="I855" s="49"/>
    </row>
    <row r="856">
      <c r="A856" s="11"/>
      <c r="B856" s="50" t="str">
        <f>IFERROR(VLOOKUP($A856,EVENTO!$A$2:$C$4999,2,FALSE),"")</f>
        <v/>
      </c>
      <c r="C856" s="50" t="str">
        <f>IFERROR(VLOOKUP($A856,EVENTO!$A$2:$C$4999,3,FALSE),"")</f>
        <v/>
      </c>
      <c r="D856" s="71"/>
      <c r="I856" s="49"/>
    </row>
    <row r="857">
      <c r="A857" s="11"/>
      <c r="B857" s="50" t="str">
        <f>IFERROR(VLOOKUP($A857,EVENTO!$A$2:$C$4999,2,FALSE),"")</f>
        <v/>
      </c>
      <c r="C857" s="50" t="str">
        <f>IFERROR(VLOOKUP($A857,EVENTO!$A$2:$C$4999,3,FALSE),"")</f>
        <v/>
      </c>
      <c r="D857" s="71"/>
      <c r="I857" s="49"/>
    </row>
    <row r="858">
      <c r="A858" s="11"/>
      <c r="B858" s="50" t="str">
        <f>IFERROR(VLOOKUP($A858,EVENTO!$A$2:$C$4999,2,FALSE),"")</f>
        <v/>
      </c>
      <c r="C858" s="50" t="str">
        <f>IFERROR(VLOOKUP($A858,EVENTO!$A$2:$C$4999,3,FALSE),"")</f>
        <v/>
      </c>
      <c r="D858" s="71"/>
      <c r="I858" s="49"/>
    </row>
    <row r="859">
      <c r="A859" s="11"/>
      <c r="B859" s="50" t="str">
        <f>IFERROR(VLOOKUP($A859,EVENTO!$A$2:$C$4999,2,FALSE),"")</f>
        <v/>
      </c>
      <c r="C859" s="50" t="str">
        <f>IFERROR(VLOOKUP($A859,EVENTO!$A$2:$C$4999,3,FALSE),"")</f>
        <v/>
      </c>
      <c r="D859" s="71"/>
      <c r="I859" s="49"/>
    </row>
    <row r="860">
      <c r="A860" s="11"/>
      <c r="B860" s="50" t="str">
        <f>IFERROR(VLOOKUP($A860,EVENTO!$A$2:$C$4999,2,FALSE),"")</f>
        <v/>
      </c>
      <c r="C860" s="50" t="str">
        <f>IFERROR(VLOOKUP($A860,EVENTO!$A$2:$C$4999,3,FALSE),"")</f>
        <v/>
      </c>
      <c r="D860" s="71"/>
      <c r="I860" s="49"/>
    </row>
    <row r="861">
      <c r="A861" s="11"/>
      <c r="B861" s="50" t="str">
        <f>IFERROR(VLOOKUP($A861,EVENTO!$A$2:$C$4999,2,FALSE),"")</f>
        <v/>
      </c>
      <c r="C861" s="50" t="str">
        <f>IFERROR(VLOOKUP($A861,EVENTO!$A$2:$C$4999,3,FALSE),"")</f>
        <v/>
      </c>
      <c r="D861" s="71"/>
      <c r="I861" s="49"/>
    </row>
    <row r="862">
      <c r="A862" s="11"/>
      <c r="B862" s="50" t="str">
        <f>IFERROR(VLOOKUP($A862,EVENTO!$A$2:$C$4999,2,FALSE),"")</f>
        <v/>
      </c>
      <c r="C862" s="50" t="str">
        <f>IFERROR(VLOOKUP($A862,EVENTO!$A$2:$C$4999,3,FALSE),"")</f>
        <v/>
      </c>
      <c r="D862" s="71"/>
      <c r="I862" s="49"/>
    </row>
    <row r="863">
      <c r="A863" s="11"/>
      <c r="B863" s="50" t="str">
        <f>IFERROR(VLOOKUP($A863,EVENTO!$A$2:$C$4999,2,FALSE),"")</f>
        <v/>
      </c>
      <c r="C863" s="50" t="str">
        <f>IFERROR(VLOOKUP($A863,EVENTO!$A$2:$C$4999,3,FALSE),"")</f>
        <v/>
      </c>
      <c r="D863" s="71"/>
      <c r="I863" s="49"/>
    </row>
    <row r="864">
      <c r="A864" s="11"/>
      <c r="B864" s="50" t="str">
        <f>IFERROR(VLOOKUP($A864,EVENTO!$A$2:$C$4999,2,FALSE),"")</f>
        <v/>
      </c>
      <c r="C864" s="50" t="str">
        <f>IFERROR(VLOOKUP($A864,EVENTO!$A$2:$C$4999,3,FALSE),"")</f>
        <v/>
      </c>
      <c r="D864" s="71"/>
      <c r="I864" s="49"/>
    </row>
    <row r="865">
      <c r="A865" s="11"/>
      <c r="B865" s="50" t="str">
        <f>IFERROR(VLOOKUP($A865,EVENTO!$A$2:$C$4999,2,FALSE),"")</f>
        <v/>
      </c>
      <c r="C865" s="50" t="str">
        <f>IFERROR(VLOOKUP($A865,EVENTO!$A$2:$C$4999,3,FALSE),"")</f>
        <v/>
      </c>
      <c r="D865" s="71"/>
      <c r="I865" s="49"/>
    </row>
    <row r="866">
      <c r="A866" s="11"/>
      <c r="B866" s="50" t="str">
        <f>IFERROR(VLOOKUP($A866,EVENTO!$A$2:$C$4999,2,FALSE),"")</f>
        <v/>
      </c>
      <c r="C866" s="50" t="str">
        <f>IFERROR(VLOOKUP($A866,EVENTO!$A$2:$C$4999,3,FALSE),"")</f>
        <v/>
      </c>
      <c r="D866" s="71"/>
      <c r="I866" s="49"/>
    </row>
    <row r="867">
      <c r="A867" s="11"/>
      <c r="B867" s="50" t="str">
        <f>IFERROR(VLOOKUP($A867,EVENTO!$A$2:$C$4999,2,FALSE),"")</f>
        <v/>
      </c>
      <c r="C867" s="50" t="str">
        <f>IFERROR(VLOOKUP($A867,EVENTO!$A$2:$C$4999,3,FALSE),"")</f>
        <v/>
      </c>
      <c r="D867" s="71"/>
      <c r="I867" s="49"/>
    </row>
    <row r="868">
      <c r="A868" s="11"/>
      <c r="B868" s="50" t="str">
        <f>IFERROR(VLOOKUP($A868,EVENTO!$A$2:$C$4999,2,FALSE),"")</f>
        <v/>
      </c>
      <c r="C868" s="50" t="str">
        <f>IFERROR(VLOOKUP($A868,EVENTO!$A$2:$C$4999,3,FALSE),"")</f>
        <v/>
      </c>
      <c r="D868" s="71"/>
      <c r="I868" s="49"/>
    </row>
    <row r="869">
      <c r="A869" s="11"/>
      <c r="B869" s="50" t="str">
        <f>IFERROR(VLOOKUP($A869,EVENTO!$A$2:$C$4999,2,FALSE),"")</f>
        <v/>
      </c>
      <c r="C869" s="50" t="str">
        <f>IFERROR(VLOOKUP($A869,EVENTO!$A$2:$C$4999,3,FALSE),"")</f>
        <v/>
      </c>
      <c r="D869" s="71"/>
      <c r="I869" s="49"/>
    </row>
    <row r="870">
      <c r="A870" s="11"/>
      <c r="B870" s="50" t="str">
        <f>IFERROR(VLOOKUP($A870,EVENTO!$A$2:$C$4999,2,FALSE),"")</f>
        <v/>
      </c>
      <c r="C870" s="50" t="str">
        <f>IFERROR(VLOOKUP($A870,EVENTO!$A$2:$C$4999,3,FALSE),"")</f>
        <v/>
      </c>
      <c r="D870" s="71"/>
      <c r="I870" s="49"/>
    </row>
    <row r="871">
      <c r="A871" s="11"/>
      <c r="B871" s="50" t="str">
        <f>IFERROR(VLOOKUP($A871,EVENTO!$A$2:$C$4999,2,FALSE),"")</f>
        <v/>
      </c>
      <c r="C871" s="50" t="str">
        <f>IFERROR(VLOOKUP($A871,EVENTO!$A$2:$C$4999,3,FALSE),"")</f>
        <v/>
      </c>
      <c r="D871" s="71"/>
      <c r="I871" s="49"/>
    </row>
    <row r="872">
      <c r="A872" s="11"/>
      <c r="B872" s="50" t="str">
        <f>IFERROR(VLOOKUP($A872,EVENTO!$A$2:$C$4999,2,FALSE),"")</f>
        <v/>
      </c>
      <c r="C872" s="50" t="str">
        <f>IFERROR(VLOOKUP($A872,EVENTO!$A$2:$C$4999,3,FALSE),"")</f>
        <v/>
      </c>
      <c r="D872" s="71"/>
      <c r="I872" s="49"/>
    </row>
    <row r="873">
      <c r="A873" s="11"/>
      <c r="B873" s="50" t="str">
        <f>IFERROR(VLOOKUP($A873,EVENTO!$A$2:$C$4999,2,FALSE),"")</f>
        <v/>
      </c>
      <c r="C873" s="50" t="str">
        <f>IFERROR(VLOOKUP($A873,EVENTO!$A$2:$C$4999,3,FALSE),"")</f>
        <v/>
      </c>
      <c r="D873" s="71"/>
      <c r="I873" s="49"/>
    </row>
    <row r="874">
      <c r="A874" s="11"/>
      <c r="B874" s="50" t="str">
        <f>IFERROR(VLOOKUP($A874,EVENTO!$A$2:$C$4999,2,FALSE),"")</f>
        <v/>
      </c>
      <c r="C874" s="50" t="str">
        <f>IFERROR(VLOOKUP($A874,EVENTO!$A$2:$C$4999,3,FALSE),"")</f>
        <v/>
      </c>
      <c r="D874" s="71"/>
      <c r="I874" s="49"/>
    </row>
    <row r="875">
      <c r="A875" s="11"/>
      <c r="B875" s="50" t="str">
        <f>IFERROR(VLOOKUP($A875,EVENTO!$A$2:$C$4999,2,FALSE),"")</f>
        <v/>
      </c>
      <c r="C875" s="50" t="str">
        <f>IFERROR(VLOOKUP($A875,EVENTO!$A$2:$C$4999,3,FALSE),"")</f>
        <v/>
      </c>
      <c r="D875" s="71"/>
      <c r="I875" s="49"/>
    </row>
    <row r="876">
      <c r="A876" s="11"/>
      <c r="B876" s="50" t="str">
        <f>IFERROR(VLOOKUP($A876,EVENTO!$A$2:$C$4999,2,FALSE),"")</f>
        <v/>
      </c>
      <c r="C876" s="50" t="str">
        <f>IFERROR(VLOOKUP($A876,EVENTO!$A$2:$C$4999,3,FALSE),"")</f>
        <v/>
      </c>
      <c r="D876" s="71"/>
      <c r="I876" s="49"/>
    </row>
    <row r="877">
      <c r="A877" s="11"/>
      <c r="B877" s="50" t="str">
        <f>IFERROR(VLOOKUP($A877,EVENTO!$A$2:$C$4999,2,FALSE),"")</f>
        <v/>
      </c>
      <c r="C877" s="50" t="str">
        <f>IFERROR(VLOOKUP($A877,EVENTO!$A$2:$C$4999,3,FALSE),"")</f>
        <v/>
      </c>
      <c r="D877" s="71"/>
      <c r="I877" s="49"/>
    </row>
    <row r="878">
      <c r="A878" s="11"/>
      <c r="B878" s="50" t="str">
        <f>IFERROR(VLOOKUP($A878,EVENTO!$A$2:$C$4999,2,FALSE),"")</f>
        <v/>
      </c>
      <c r="C878" s="50" t="str">
        <f>IFERROR(VLOOKUP($A878,EVENTO!$A$2:$C$4999,3,FALSE),"")</f>
        <v/>
      </c>
      <c r="D878" s="71"/>
      <c r="I878" s="49"/>
    </row>
    <row r="879">
      <c r="A879" s="11"/>
      <c r="B879" s="50" t="str">
        <f>IFERROR(VLOOKUP($A879,EVENTO!$A$2:$C$4999,2,FALSE),"")</f>
        <v/>
      </c>
      <c r="C879" s="50" t="str">
        <f>IFERROR(VLOOKUP($A879,EVENTO!$A$2:$C$4999,3,FALSE),"")</f>
        <v/>
      </c>
      <c r="D879" s="71"/>
      <c r="I879" s="49"/>
    </row>
    <row r="880">
      <c r="A880" s="11"/>
      <c r="B880" s="50" t="str">
        <f>IFERROR(VLOOKUP($A880,EVENTO!$A$2:$C$4999,2,FALSE),"")</f>
        <v/>
      </c>
      <c r="C880" s="50" t="str">
        <f>IFERROR(VLOOKUP($A880,EVENTO!$A$2:$C$4999,3,FALSE),"")</f>
        <v/>
      </c>
      <c r="D880" s="71"/>
      <c r="I880" s="49"/>
    </row>
    <row r="881">
      <c r="A881" s="11"/>
      <c r="B881" s="50" t="str">
        <f>IFERROR(VLOOKUP($A881,EVENTO!$A$2:$C$4999,2,FALSE),"")</f>
        <v/>
      </c>
      <c r="C881" s="50" t="str">
        <f>IFERROR(VLOOKUP($A881,EVENTO!$A$2:$C$4999,3,FALSE),"")</f>
        <v/>
      </c>
      <c r="D881" s="71"/>
      <c r="I881" s="49"/>
    </row>
    <row r="882">
      <c r="A882" s="11"/>
      <c r="B882" s="50" t="str">
        <f>IFERROR(VLOOKUP($A882,EVENTO!$A$2:$C$4999,2,FALSE),"")</f>
        <v/>
      </c>
      <c r="C882" s="50" t="str">
        <f>IFERROR(VLOOKUP($A882,EVENTO!$A$2:$C$4999,3,FALSE),"")</f>
        <v/>
      </c>
      <c r="D882" s="71"/>
      <c r="I882" s="49"/>
    </row>
    <row r="883">
      <c r="A883" s="11"/>
      <c r="B883" s="50" t="str">
        <f>IFERROR(VLOOKUP($A883,EVENTO!$A$2:$C$4999,2,FALSE),"")</f>
        <v/>
      </c>
      <c r="C883" s="50" t="str">
        <f>IFERROR(VLOOKUP($A883,EVENTO!$A$2:$C$4999,3,FALSE),"")</f>
        <v/>
      </c>
      <c r="D883" s="71"/>
      <c r="I883" s="49"/>
    </row>
    <row r="884">
      <c r="A884" s="11"/>
      <c r="B884" s="50" t="str">
        <f>IFERROR(VLOOKUP($A884,EVENTO!$A$2:$C$4999,2,FALSE),"")</f>
        <v/>
      </c>
      <c r="C884" s="50" t="str">
        <f>IFERROR(VLOOKUP($A884,EVENTO!$A$2:$C$4999,3,FALSE),"")</f>
        <v/>
      </c>
      <c r="D884" s="71"/>
      <c r="I884" s="49"/>
    </row>
    <row r="885">
      <c r="A885" s="11"/>
      <c r="B885" s="50" t="str">
        <f>IFERROR(VLOOKUP($A885,EVENTO!$A$2:$C$4999,2,FALSE),"")</f>
        <v/>
      </c>
      <c r="C885" s="50" t="str">
        <f>IFERROR(VLOOKUP($A885,EVENTO!$A$2:$C$4999,3,FALSE),"")</f>
        <v/>
      </c>
      <c r="D885" s="71"/>
      <c r="I885" s="49"/>
    </row>
    <row r="886">
      <c r="A886" s="11"/>
      <c r="B886" s="50" t="str">
        <f>IFERROR(VLOOKUP($A886,EVENTO!$A$2:$C$4999,2,FALSE),"")</f>
        <v/>
      </c>
      <c r="C886" s="50" t="str">
        <f>IFERROR(VLOOKUP($A886,EVENTO!$A$2:$C$4999,3,FALSE),"")</f>
        <v/>
      </c>
      <c r="D886" s="71"/>
      <c r="I886" s="49"/>
    </row>
    <row r="887">
      <c r="A887" s="11"/>
      <c r="B887" s="50" t="str">
        <f>IFERROR(VLOOKUP($A887,EVENTO!$A$2:$C$4999,2,FALSE),"")</f>
        <v/>
      </c>
      <c r="C887" s="50" t="str">
        <f>IFERROR(VLOOKUP($A887,EVENTO!$A$2:$C$4999,3,FALSE),"")</f>
        <v/>
      </c>
      <c r="D887" s="71"/>
      <c r="I887" s="49"/>
    </row>
    <row r="888">
      <c r="A888" s="11"/>
      <c r="B888" s="50" t="str">
        <f>IFERROR(VLOOKUP($A888,EVENTO!$A$2:$C$4999,2,FALSE),"")</f>
        <v/>
      </c>
      <c r="C888" s="50" t="str">
        <f>IFERROR(VLOOKUP($A888,EVENTO!$A$2:$C$4999,3,FALSE),"")</f>
        <v/>
      </c>
      <c r="D888" s="71"/>
      <c r="I888" s="49"/>
    </row>
    <row r="889">
      <c r="A889" s="11"/>
      <c r="B889" s="50" t="str">
        <f>IFERROR(VLOOKUP($A889,EVENTO!$A$2:$C$4999,2,FALSE),"")</f>
        <v/>
      </c>
      <c r="C889" s="50" t="str">
        <f>IFERROR(VLOOKUP($A889,EVENTO!$A$2:$C$4999,3,FALSE),"")</f>
        <v/>
      </c>
      <c r="D889" s="71"/>
      <c r="I889" s="49"/>
    </row>
    <row r="890">
      <c r="A890" s="11"/>
      <c r="B890" s="50" t="str">
        <f>IFERROR(VLOOKUP($A890,EVENTO!$A$2:$C$4999,2,FALSE),"")</f>
        <v/>
      </c>
      <c r="C890" s="50" t="str">
        <f>IFERROR(VLOOKUP($A890,EVENTO!$A$2:$C$4999,3,FALSE),"")</f>
        <v/>
      </c>
      <c r="D890" s="71"/>
      <c r="I890" s="49"/>
    </row>
    <row r="891">
      <c r="A891" s="11"/>
      <c r="B891" s="50" t="str">
        <f>IFERROR(VLOOKUP($A891,EVENTO!$A$2:$C$4999,2,FALSE),"")</f>
        <v/>
      </c>
      <c r="C891" s="50" t="str">
        <f>IFERROR(VLOOKUP($A891,EVENTO!$A$2:$C$4999,3,FALSE),"")</f>
        <v/>
      </c>
      <c r="D891" s="71"/>
      <c r="I891" s="49"/>
    </row>
    <row r="892">
      <c r="A892" s="11"/>
      <c r="B892" s="50" t="str">
        <f>IFERROR(VLOOKUP($A892,EVENTO!$A$2:$C$4999,2,FALSE),"")</f>
        <v/>
      </c>
      <c r="C892" s="50" t="str">
        <f>IFERROR(VLOOKUP($A892,EVENTO!$A$2:$C$4999,3,FALSE),"")</f>
        <v/>
      </c>
      <c r="D892" s="71"/>
      <c r="I892" s="49"/>
    </row>
    <row r="893">
      <c r="A893" s="11"/>
      <c r="B893" s="50" t="str">
        <f>IFERROR(VLOOKUP($A893,EVENTO!$A$2:$C$4999,2,FALSE),"")</f>
        <v/>
      </c>
      <c r="C893" s="50" t="str">
        <f>IFERROR(VLOOKUP($A893,EVENTO!$A$2:$C$4999,3,FALSE),"")</f>
        <v/>
      </c>
      <c r="D893" s="71"/>
      <c r="I893" s="49"/>
    </row>
    <row r="894">
      <c r="A894" s="11"/>
      <c r="B894" s="50" t="str">
        <f>IFERROR(VLOOKUP($A894,EVENTO!$A$2:$C$4999,2,FALSE),"")</f>
        <v/>
      </c>
      <c r="C894" s="50" t="str">
        <f>IFERROR(VLOOKUP($A894,EVENTO!$A$2:$C$4999,3,FALSE),"")</f>
        <v/>
      </c>
      <c r="D894" s="71"/>
      <c r="I894" s="49"/>
    </row>
    <row r="895">
      <c r="A895" s="11"/>
      <c r="B895" s="50" t="str">
        <f>IFERROR(VLOOKUP($A895,EVENTO!$A$2:$C$4999,2,FALSE),"")</f>
        <v/>
      </c>
      <c r="C895" s="50" t="str">
        <f>IFERROR(VLOOKUP($A895,EVENTO!$A$2:$C$4999,3,FALSE),"")</f>
        <v/>
      </c>
      <c r="D895" s="71"/>
      <c r="I895" s="49"/>
    </row>
    <row r="896">
      <c r="A896" s="11"/>
      <c r="B896" s="50" t="str">
        <f>IFERROR(VLOOKUP($A896,EVENTO!$A$2:$C$4999,2,FALSE),"")</f>
        <v/>
      </c>
      <c r="C896" s="50" t="str">
        <f>IFERROR(VLOOKUP($A896,EVENTO!$A$2:$C$4999,3,FALSE),"")</f>
        <v/>
      </c>
      <c r="D896" s="71"/>
      <c r="I896" s="49"/>
    </row>
    <row r="897">
      <c r="A897" s="11"/>
      <c r="B897" s="50" t="str">
        <f>IFERROR(VLOOKUP($A897,EVENTO!$A$2:$C$4999,2,FALSE),"")</f>
        <v/>
      </c>
      <c r="C897" s="50" t="str">
        <f>IFERROR(VLOOKUP($A897,EVENTO!$A$2:$C$4999,3,FALSE),"")</f>
        <v/>
      </c>
      <c r="D897" s="71"/>
      <c r="I897" s="49"/>
    </row>
    <row r="898">
      <c r="A898" s="11"/>
      <c r="B898" s="50" t="str">
        <f>IFERROR(VLOOKUP($A898,EVENTO!$A$2:$C$4999,2,FALSE),"")</f>
        <v/>
      </c>
      <c r="C898" s="50" t="str">
        <f>IFERROR(VLOOKUP($A898,EVENTO!$A$2:$C$4999,3,FALSE),"")</f>
        <v/>
      </c>
      <c r="D898" s="71"/>
      <c r="I898" s="49"/>
    </row>
    <row r="899">
      <c r="A899" s="11"/>
      <c r="B899" s="50" t="str">
        <f>IFERROR(VLOOKUP($A899,EVENTO!$A$2:$C$4999,2,FALSE),"")</f>
        <v/>
      </c>
      <c r="C899" s="50" t="str">
        <f>IFERROR(VLOOKUP($A899,EVENTO!$A$2:$C$4999,3,FALSE),"")</f>
        <v/>
      </c>
      <c r="D899" s="71"/>
      <c r="I899" s="49"/>
    </row>
    <row r="900">
      <c r="A900" s="11"/>
      <c r="B900" s="50" t="str">
        <f>IFERROR(VLOOKUP($A900,EVENTO!$A$2:$C$4999,2,FALSE),"")</f>
        <v/>
      </c>
      <c r="C900" s="50" t="str">
        <f>IFERROR(VLOOKUP($A900,EVENTO!$A$2:$C$4999,3,FALSE),"")</f>
        <v/>
      </c>
      <c r="D900" s="71"/>
      <c r="I900" s="49"/>
    </row>
    <row r="901">
      <c r="A901" s="11"/>
      <c r="B901" s="50" t="str">
        <f>IFERROR(VLOOKUP($A901,EVENTO!$A$2:$C$4999,2,FALSE),"")</f>
        <v/>
      </c>
      <c r="C901" s="50" t="str">
        <f>IFERROR(VLOOKUP($A901,EVENTO!$A$2:$C$4999,3,FALSE),"")</f>
        <v/>
      </c>
      <c r="D901" s="71"/>
      <c r="I901" s="49"/>
    </row>
    <row r="902">
      <c r="A902" s="11"/>
      <c r="B902" s="50" t="str">
        <f>IFERROR(VLOOKUP($A902,EVENTO!$A$2:$C$4999,2,FALSE),"")</f>
        <v/>
      </c>
      <c r="C902" s="50" t="str">
        <f>IFERROR(VLOOKUP($A902,EVENTO!$A$2:$C$4999,3,FALSE),"")</f>
        <v/>
      </c>
      <c r="D902" s="71"/>
      <c r="I902" s="49"/>
    </row>
    <row r="903">
      <c r="A903" s="11"/>
      <c r="B903" s="50" t="str">
        <f>IFERROR(VLOOKUP($A903,EVENTO!$A$2:$C$4999,2,FALSE),"")</f>
        <v/>
      </c>
      <c r="C903" s="50" t="str">
        <f>IFERROR(VLOOKUP($A903,EVENTO!$A$2:$C$4999,3,FALSE),"")</f>
        <v/>
      </c>
      <c r="D903" s="71"/>
      <c r="I903" s="49"/>
    </row>
    <row r="904">
      <c r="A904" s="11"/>
      <c r="B904" s="50" t="str">
        <f>IFERROR(VLOOKUP($A904,EVENTO!$A$2:$C$4999,2,FALSE),"")</f>
        <v/>
      </c>
      <c r="C904" s="50" t="str">
        <f>IFERROR(VLOOKUP($A904,EVENTO!$A$2:$C$4999,3,FALSE),"")</f>
        <v/>
      </c>
      <c r="D904" s="71"/>
      <c r="I904" s="49"/>
    </row>
    <row r="905">
      <c r="A905" s="11"/>
      <c r="B905" s="50" t="str">
        <f>IFERROR(VLOOKUP($A905,EVENTO!$A$2:$C$4999,2,FALSE),"")</f>
        <v/>
      </c>
      <c r="C905" s="50" t="str">
        <f>IFERROR(VLOOKUP($A905,EVENTO!$A$2:$C$4999,3,FALSE),"")</f>
        <v/>
      </c>
      <c r="D905" s="71"/>
      <c r="I905" s="49"/>
    </row>
    <row r="906">
      <c r="A906" s="11"/>
      <c r="B906" s="50" t="str">
        <f>IFERROR(VLOOKUP($A906,EVENTO!$A$2:$C$4999,2,FALSE),"")</f>
        <v/>
      </c>
      <c r="C906" s="50" t="str">
        <f>IFERROR(VLOOKUP($A906,EVENTO!$A$2:$C$4999,3,FALSE),"")</f>
        <v/>
      </c>
      <c r="D906" s="71"/>
      <c r="I906" s="49"/>
    </row>
    <row r="907">
      <c r="A907" s="11"/>
      <c r="B907" s="50" t="str">
        <f>IFERROR(VLOOKUP($A907,EVENTO!$A$2:$C$4999,2,FALSE),"")</f>
        <v/>
      </c>
      <c r="C907" s="50" t="str">
        <f>IFERROR(VLOOKUP($A907,EVENTO!$A$2:$C$4999,3,FALSE),"")</f>
        <v/>
      </c>
      <c r="D907" s="71"/>
      <c r="I907" s="49"/>
    </row>
    <row r="908">
      <c r="A908" s="11"/>
      <c r="B908" s="50" t="str">
        <f>IFERROR(VLOOKUP($A908,EVENTO!$A$2:$C$4999,2,FALSE),"")</f>
        <v/>
      </c>
      <c r="C908" s="50" t="str">
        <f>IFERROR(VLOOKUP($A908,EVENTO!$A$2:$C$4999,3,FALSE),"")</f>
        <v/>
      </c>
      <c r="D908" s="71"/>
      <c r="I908" s="49"/>
    </row>
    <row r="909">
      <c r="A909" s="11"/>
      <c r="B909" s="50" t="str">
        <f>IFERROR(VLOOKUP($A909,EVENTO!$A$2:$C$4999,2,FALSE),"")</f>
        <v/>
      </c>
      <c r="C909" s="50" t="str">
        <f>IFERROR(VLOOKUP($A909,EVENTO!$A$2:$C$4999,3,FALSE),"")</f>
        <v/>
      </c>
      <c r="D909" s="71"/>
      <c r="I909" s="49"/>
    </row>
    <row r="910">
      <c r="A910" s="11"/>
      <c r="B910" s="50" t="str">
        <f>IFERROR(VLOOKUP($A910,EVENTO!$A$2:$C$4999,2,FALSE),"")</f>
        <v/>
      </c>
      <c r="C910" s="50" t="str">
        <f>IFERROR(VLOOKUP($A910,EVENTO!$A$2:$C$4999,3,FALSE),"")</f>
        <v/>
      </c>
      <c r="D910" s="71"/>
      <c r="I910" s="49"/>
    </row>
    <row r="911">
      <c r="A911" s="11"/>
      <c r="B911" s="50" t="str">
        <f>IFERROR(VLOOKUP($A911,EVENTO!$A$2:$C$4999,2,FALSE),"")</f>
        <v/>
      </c>
      <c r="C911" s="50" t="str">
        <f>IFERROR(VLOOKUP($A911,EVENTO!$A$2:$C$4999,3,FALSE),"")</f>
        <v/>
      </c>
      <c r="D911" s="71"/>
      <c r="I911" s="49"/>
    </row>
    <row r="912">
      <c r="A912" s="11"/>
      <c r="B912" s="50" t="str">
        <f>IFERROR(VLOOKUP($A912,EVENTO!$A$2:$C$4999,2,FALSE),"")</f>
        <v/>
      </c>
      <c r="C912" s="50" t="str">
        <f>IFERROR(VLOOKUP($A912,EVENTO!$A$2:$C$4999,3,FALSE),"")</f>
        <v/>
      </c>
      <c r="D912" s="71"/>
      <c r="I912" s="49"/>
    </row>
    <row r="913">
      <c r="A913" s="11"/>
      <c r="B913" s="50" t="str">
        <f>IFERROR(VLOOKUP($A913,EVENTO!$A$2:$C$4999,2,FALSE),"")</f>
        <v/>
      </c>
      <c r="C913" s="50" t="str">
        <f>IFERROR(VLOOKUP($A913,EVENTO!$A$2:$C$4999,3,FALSE),"")</f>
        <v/>
      </c>
      <c r="D913" s="71"/>
      <c r="I913" s="49"/>
    </row>
    <row r="914">
      <c r="A914" s="11"/>
      <c r="B914" s="50" t="str">
        <f>IFERROR(VLOOKUP($A914,EVENTO!$A$2:$C$4999,2,FALSE),"")</f>
        <v/>
      </c>
      <c r="C914" s="50" t="str">
        <f>IFERROR(VLOOKUP($A914,EVENTO!$A$2:$C$4999,3,FALSE),"")</f>
        <v/>
      </c>
      <c r="D914" s="71"/>
      <c r="I914" s="49"/>
    </row>
    <row r="915">
      <c r="A915" s="11"/>
      <c r="B915" s="50" t="str">
        <f>IFERROR(VLOOKUP($A915,EVENTO!$A$2:$C$4999,2,FALSE),"")</f>
        <v/>
      </c>
      <c r="C915" s="50" t="str">
        <f>IFERROR(VLOOKUP($A915,EVENTO!$A$2:$C$4999,3,FALSE),"")</f>
        <v/>
      </c>
      <c r="D915" s="71"/>
      <c r="I915" s="49"/>
    </row>
    <row r="916">
      <c r="A916" s="11"/>
      <c r="B916" s="50" t="str">
        <f>IFERROR(VLOOKUP($A916,EVENTO!$A$2:$C$4999,2,FALSE),"")</f>
        <v/>
      </c>
      <c r="C916" s="50" t="str">
        <f>IFERROR(VLOOKUP($A916,EVENTO!$A$2:$C$4999,3,FALSE),"")</f>
        <v/>
      </c>
      <c r="D916" s="71"/>
      <c r="I916" s="49"/>
    </row>
    <row r="917">
      <c r="A917" s="11"/>
      <c r="B917" s="50" t="str">
        <f>IFERROR(VLOOKUP($A917,EVENTO!$A$2:$C$4999,2,FALSE),"")</f>
        <v/>
      </c>
      <c r="C917" s="50" t="str">
        <f>IFERROR(VLOOKUP($A917,EVENTO!$A$2:$C$4999,3,FALSE),"")</f>
        <v/>
      </c>
      <c r="D917" s="71"/>
      <c r="I917" s="49"/>
    </row>
    <row r="918">
      <c r="A918" s="11"/>
      <c r="B918" s="50" t="str">
        <f>IFERROR(VLOOKUP($A918,EVENTO!$A$2:$C$4999,2,FALSE),"")</f>
        <v/>
      </c>
      <c r="C918" s="50" t="str">
        <f>IFERROR(VLOOKUP($A918,EVENTO!$A$2:$C$4999,3,FALSE),"")</f>
        <v/>
      </c>
      <c r="D918" s="71"/>
      <c r="I918" s="49"/>
    </row>
    <row r="919">
      <c r="A919" s="11"/>
      <c r="B919" s="50" t="str">
        <f>IFERROR(VLOOKUP($A919,EVENTO!$A$2:$C$4999,2,FALSE),"")</f>
        <v/>
      </c>
      <c r="C919" s="50" t="str">
        <f>IFERROR(VLOOKUP($A919,EVENTO!$A$2:$C$4999,3,FALSE),"")</f>
        <v/>
      </c>
      <c r="D919" s="71"/>
      <c r="I919" s="49"/>
    </row>
    <row r="920">
      <c r="A920" s="11"/>
      <c r="B920" s="50" t="str">
        <f>IFERROR(VLOOKUP($A920,EVENTO!$A$2:$C$4999,2,FALSE),"")</f>
        <v/>
      </c>
      <c r="C920" s="50" t="str">
        <f>IFERROR(VLOOKUP($A920,EVENTO!$A$2:$C$4999,3,FALSE),"")</f>
        <v/>
      </c>
      <c r="D920" s="71"/>
      <c r="I920" s="49"/>
    </row>
    <row r="921">
      <c r="A921" s="11"/>
      <c r="B921" s="50" t="str">
        <f>IFERROR(VLOOKUP($A921,EVENTO!$A$2:$C$4999,2,FALSE),"")</f>
        <v/>
      </c>
      <c r="C921" s="50" t="str">
        <f>IFERROR(VLOOKUP($A921,EVENTO!$A$2:$C$4999,3,FALSE),"")</f>
        <v/>
      </c>
      <c r="D921" s="71"/>
      <c r="I921" s="49"/>
    </row>
    <row r="922">
      <c r="A922" s="11"/>
      <c r="B922" s="50" t="str">
        <f>IFERROR(VLOOKUP($A922,EVENTO!$A$2:$C$4999,2,FALSE),"")</f>
        <v/>
      </c>
      <c r="C922" s="50" t="str">
        <f>IFERROR(VLOOKUP($A922,EVENTO!$A$2:$C$4999,3,FALSE),"")</f>
        <v/>
      </c>
      <c r="D922" s="71"/>
      <c r="I922" s="49"/>
    </row>
    <row r="923">
      <c r="A923" s="11"/>
      <c r="B923" s="50" t="str">
        <f>IFERROR(VLOOKUP($A923,EVENTO!$A$2:$C$4999,2,FALSE),"")</f>
        <v/>
      </c>
      <c r="C923" s="50" t="str">
        <f>IFERROR(VLOOKUP($A923,EVENTO!$A$2:$C$4999,3,FALSE),"")</f>
        <v/>
      </c>
      <c r="D923" s="71"/>
      <c r="I923" s="49"/>
    </row>
    <row r="924">
      <c r="A924" s="11"/>
      <c r="B924" s="50" t="str">
        <f>IFERROR(VLOOKUP($A924,EVENTO!$A$2:$C$4999,2,FALSE),"")</f>
        <v/>
      </c>
      <c r="C924" s="50" t="str">
        <f>IFERROR(VLOOKUP($A924,EVENTO!$A$2:$C$4999,3,FALSE),"")</f>
        <v/>
      </c>
      <c r="D924" s="71"/>
      <c r="I924" s="49"/>
    </row>
    <row r="925">
      <c r="A925" s="11"/>
      <c r="B925" s="50" t="str">
        <f>IFERROR(VLOOKUP($A925,EVENTO!$A$2:$C$4999,2,FALSE),"")</f>
        <v/>
      </c>
      <c r="C925" s="50" t="str">
        <f>IFERROR(VLOOKUP($A925,EVENTO!$A$2:$C$4999,3,FALSE),"")</f>
        <v/>
      </c>
      <c r="D925" s="71"/>
      <c r="I925" s="49"/>
    </row>
    <row r="926">
      <c r="A926" s="11"/>
      <c r="B926" s="50" t="str">
        <f>IFERROR(VLOOKUP($A926,EVENTO!$A$2:$C$4999,2,FALSE),"")</f>
        <v/>
      </c>
      <c r="C926" s="50" t="str">
        <f>IFERROR(VLOOKUP($A926,EVENTO!$A$2:$C$4999,3,FALSE),"")</f>
        <v/>
      </c>
      <c r="D926" s="71"/>
      <c r="I926" s="49"/>
    </row>
    <row r="927">
      <c r="A927" s="11"/>
      <c r="B927" s="50" t="str">
        <f>IFERROR(VLOOKUP($A927,EVENTO!$A$2:$C$4999,2,FALSE),"")</f>
        <v/>
      </c>
      <c r="C927" s="50" t="str">
        <f>IFERROR(VLOOKUP($A927,EVENTO!$A$2:$C$4999,3,FALSE),"")</f>
        <v/>
      </c>
      <c r="D927" s="71"/>
      <c r="I927" s="49"/>
    </row>
    <row r="928">
      <c r="A928" s="11"/>
      <c r="B928" s="50" t="str">
        <f>IFERROR(VLOOKUP($A928,EVENTO!$A$2:$C$4999,2,FALSE),"")</f>
        <v/>
      </c>
      <c r="C928" s="50" t="str">
        <f>IFERROR(VLOOKUP($A928,EVENTO!$A$2:$C$4999,3,FALSE),"")</f>
        <v/>
      </c>
      <c r="D928" s="71"/>
      <c r="I928" s="49"/>
    </row>
    <row r="929">
      <c r="A929" s="11"/>
      <c r="B929" s="50" t="str">
        <f>IFERROR(VLOOKUP($A929,EVENTO!$A$2:$C$4999,2,FALSE),"")</f>
        <v/>
      </c>
      <c r="C929" s="50" t="str">
        <f>IFERROR(VLOOKUP($A929,EVENTO!$A$2:$C$4999,3,FALSE),"")</f>
        <v/>
      </c>
      <c r="D929" s="71"/>
      <c r="I929" s="49"/>
    </row>
    <row r="930">
      <c r="A930" s="11"/>
      <c r="B930" s="50" t="str">
        <f>IFERROR(VLOOKUP($A930,EVENTO!$A$2:$C$4999,2,FALSE),"")</f>
        <v/>
      </c>
      <c r="C930" s="50" t="str">
        <f>IFERROR(VLOOKUP($A930,EVENTO!$A$2:$C$4999,3,FALSE),"")</f>
        <v/>
      </c>
      <c r="D930" s="71"/>
      <c r="I930" s="49"/>
    </row>
    <row r="931">
      <c r="A931" s="11"/>
      <c r="B931" s="50" t="str">
        <f>IFERROR(VLOOKUP($A931,EVENTO!$A$2:$C$4999,2,FALSE),"")</f>
        <v/>
      </c>
      <c r="C931" s="50" t="str">
        <f>IFERROR(VLOOKUP($A931,EVENTO!$A$2:$C$4999,3,FALSE),"")</f>
        <v/>
      </c>
      <c r="D931" s="71"/>
      <c r="I931" s="49"/>
    </row>
    <row r="932">
      <c r="A932" s="11"/>
      <c r="B932" s="50" t="str">
        <f>IFERROR(VLOOKUP($A932,EVENTO!$A$2:$C$4999,2,FALSE),"")</f>
        <v/>
      </c>
      <c r="C932" s="50" t="str">
        <f>IFERROR(VLOOKUP($A932,EVENTO!$A$2:$C$4999,3,FALSE),"")</f>
        <v/>
      </c>
      <c r="D932" s="71"/>
      <c r="I932" s="49"/>
    </row>
    <row r="933">
      <c r="A933" s="11"/>
      <c r="B933" s="50" t="str">
        <f>IFERROR(VLOOKUP($A933,EVENTO!$A$2:$C$4999,2,FALSE),"")</f>
        <v/>
      </c>
      <c r="C933" s="50" t="str">
        <f>IFERROR(VLOOKUP($A933,EVENTO!$A$2:$C$4999,3,FALSE),"")</f>
        <v/>
      </c>
      <c r="D933" s="71"/>
      <c r="I933" s="49"/>
    </row>
    <row r="934">
      <c r="A934" s="11"/>
      <c r="B934" s="50" t="str">
        <f>IFERROR(VLOOKUP($A934,EVENTO!$A$2:$C$4999,2,FALSE),"")</f>
        <v/>
      </c>
      <c r="C934" s="50" t="str">
        <f>IFERROR(VLOOKUP($A934,EVENTO!$A$2:$C$4999,3,FALSE),"")</f>
        <v/>
      </c>
      <c r="D934" s="71"/>
      <c r="I934" s="49"/>
    </row>
    <row r="935">
      <c r="A935" s="11"/>
      <c r="B935" s="50" t="str">
        <f>IFERROR(VLOOKUP($A935,EVENTO!$A$2:$C$4999,2,FALSE),"")</f>
        <v/>
      </c>
      <c r="C935" s="50" t="str">
        <f>IFERROR(VLOOKUP($A935,EVENTO!$A$2:$C$4999,3,FALSE),"")</f>
        <v/>
      </c>
      <c r="D935" s="71"/>
      <c r="I935" s="49"/>
    </row>
    <row r="936">
      <c r="A936" s="11"/>
      <c r="B936" s="50" t="str">
        <f>IFERROR(VLOOKUP($A936,EVENTO!$A$2:$C$4999,2,FALSE),"")</f>
        <v/>
      </c>
      <c r="C936" s="50" t="str">
        <f>IFERROR(VLOOKUP($A936,EVENTO!$A$2:$C$4999,3,FALSE),"")</f>
        <v/>
      </c>
      <c r="D936" s="71"/>
      <c r="I936" s="49"/>
    </row>
    <row r="937">
      <c r="A937" s="11"/>
      <c r="B937" s="50" t="str">
        <f>IFERROR(VLOOKUP($A937,EVENTO!$A$2:$C$4999,2,FALSE),"")</f>
        <v/>
      </c>
      <c r="C937" s="50" t="str">
        <f>IFERROR(VLOOKUP($A937,EVENTO!$A$2:$C$4999,3,FALSE),"")</f>
        <v/>
      </c>
      <c r="D937" s="71"/>
      <c r="I937" s="49"/>
    </row>
    <row r="938">
      <c r="A938" s="11"/>
      <c r="B938" s="50" t="str">
        <f>IFERROR(VLOOKUP($A938,EVENTO!$A$2:$C$4999,2,FALSE),"")</f>
        <v/>
      </c>
      <c r="C938" s="50" t="str">
        <f>IFERROR(VLOOKUP($A938,EVENTO!$A$2:$C$4999,3,FALSE),"")</f>
        <v/>
      </c>
      <c r="D938" s="71"/>
      <c r="I938" s="49"/>
    </row>
    <row r="939">
      <c r="A939" s="11"/>
      <c r="B939" s="50" t="str">
        <f>IFERROR(VLOOKUP($A939,EVENTO!$A$2:$C$4999,2,FALSE),"")</f>
        <v/>
      </c>
      <c r="C939" s="50" t="str">
        <f>IFERROR(VLOOKUP($A939,EVENTO!$A$2:$C$4999,3,FALSE),"")</f>
        <v/>
      </c>
      <c r="D939" s="71"/>
      <c r="I939" s="49"/>
    </row>
    <row r="940">
      <c r="A940" s="11"/>
      <c r="B940" s="50" t="str">
        <f>IFERROR(VLOOKUP($A940,EVENTO!$A$2:$C$4999,2,FALSE),"")</f>
        <v/>
      </c>
      <c r="C940" s="50" t="str">
        <f>IFERROR(VLOOKUP($A940,EVENTO!$A$2:$C$4999,3,FALSE),"")</f>
        <v/>
      </c>
      <c r="D940" s="71"/>
      <c r="I940" s="49"/>
    </row>
    <row r="941">
      <c r="A941" s="11"/>
      <c r="B941" s="50" t="str">
        <f>IFERROR(VLOOKUP($A941,EVENTO!$A$2:$C$4999,2,FALSE),"")</f>
        <v/>
      </c>
      <c r="C941" s="50" t="str">
        <f>IFERROR(VLOOKUP($A941,EVENTO!$A$2:$C$4999,3,FALSE),"")</f>
        <v/>
      </c>
      <c r="D941" s="71"/>
      <c r="I941" s="49"/>
    </row>
    <row r="942">
      <c r="A942" s="11"/>
      <c r="B942" s="50" t="str">
        <f>IFERROR(VLOOKUP($A942,EVENTO!$A$2:$C$4999,2,FALSE),"")</f>
        <v/>
      </c>
      <c r="C942" s="50" t="str">
        <f>IFERROR(VLOOKUP($A942,EVENTO!$A$2:$C$4999,3,FALSE),"")</f>
        <v/>
      </c>
      <c r="D942" s="71"/>
      <c r="I942" s="49"/>
    </row>
    <row r="943">
      <c r="A943" s="11"/>
      <c r="B943" s="50" t="str">
        <f>IFERROR(VLOOKUP($A943,EVENTO!$A$2:$C$4999,2,FALSE),"")</f>
        <v/>
      </c>
      <c r="C943" s="50" t="str">
        <f>IFERROR(VLOOKUP($A943,EVENTO!$A$2:$C$4999,3,FALSE),"")</f>
        <v/>
      </c>
      <c r="D943" s="71"/>
      <c r="I943" s="49"/>
    </row>
    <row r="944">
      <c r="A944" s="11"/>
      <c r="B944" s="50" t="str">
        <f>IFERROR(VLOOKUP($A944,EVENTO!$A$2:$C$4999,2,FALSE),"")</f>
        <v/>
      </c>
      <c r="C944" s="50" t="str">
        <f>IFERROR(VLOOKUP($A944,EVENTO!$A$2:$C$4999,3,FALSE),"")</f>
        <v/>
      </c>
      <c r="D944" s="71"/>
      <c r="I944" s="49"/>
    </row>
    <row r="945">
      <c r="A945" s="11"/>
      <c r="B945" s="50" t="str">
        <f>IFERROR(VLOOKUP($A945,EVENTO!$A$2:$C$4999,2,FALSE),"")</f>
        <v/>
      </c>
      <c r="C945" s="50" t="str">
        <f>IFERROR(VLOOKUP($A945,EVENTO!$A$2:$C$4999,3,FALSE),"")</f>
        <v/>
      </c>
      <c r="D945" s="71"/>
      <c r="I945" s="49"/>
    </row>
    <row r="946">
      <c r="A946" s="11"/>
      <c r="B946" s="50" t="str">
        <f>IFERROR(VLOOKUP($A946,EVENTO!$A$2:$C$4999,2,FALSE),"")</f>
        <v/>
      </c>
      <c r="C946" s="50" t="str">
        <f>IFERROR(VLOOKUP($A946,EVENTO!$A$2:$C$4999,3,FALSE),"")</f>
        <v/>
      </c>
      <c r="D946" s="71"/>
      <c r="I946" s="49"/>
    </row>
    <row r="947">
      <c r="A947" s="11"/>
      <c r="B947" s="50" t="str">
        <f>IFERROR(VLOOKUP($A947,EVENTO!$A$2:$C$4999,2,FALSE),"")</f>
        <v/>
      </c>
      <c r="C947" s="50" t="str">
        <f>IFERROR(VLOOKUP($A947,EVENTO!$A$2:$C$4999,3,FALSE),"")</f>
        <v/>
      </c>
      <c r="D947" s="71"/>
      <c r="I947" s="49"/>
    </row>
    <row r="948">
      <c r="A948" s="11"/>
      <c r="B948" s="50" t="str">
        <f>IFERROR(VLOOKUP($A948,EVENTO!$A$2:$C$4999,2,FALSE),"")</f>
        <v/>
      </c>
      <c r="C948" s="50" t="str">
        <f>IFERROR(VLOOKUP($A948,EVENTO!$A$2:$C$4999,3,FALSE),"")</f>
        <v/>
      </c>
      <c r="D948" s="71"/>
      <c r="I948" s="49"/>
    </row>
    <row r="949">
      <c r="A949" s="11"/>
      <c r="B949" s="50" t="str">
        <f>IFERROR(VLOOKUP($A949,EVENTO!$A$2:$C$4999,2,FALSE),"")</f>
        <v/>
      </c>
      <c r="C949" s="50" t="str">
        <f>IFERROR(VLOOKUP($A949,EVENTO!$A$2:$C$4999,3,FALSE),"")</f>
        <v/>
      </c>
      <c r="D949" s="71"/>
      <c r="I949" s="49"/>
    </row>
    <row r="950">
      <c r="A950" s="11"/>
      <c r="B950" s="50" t="str">
        <f>IFERROR(VLOOKUP($A950,EVENTO!$A$2:$C$4999,2,FALSE),"")</f>
        <v/>
      </c>
      <c r="C950" s="50" t="str">
        <f>IFERROR(VLOOKUP($A950,EVENTO!$A$2:$C$4999,3,FALSE),"")</f>
        <v/>
      </c>
      <c r="D950" s="71"/>
      <c r="I950" s="49"/>
    </row>
    <row r="951">
      <c r="A951" s="11"/>
      <c r="B951" s="50" t="str">
        <f>IFERROR(VLOOKUP($A951,EVENTO!$A$2:$C$4999,2,FALSE),"")</f>
        <v/>
      </c>
      <c r="C951" s="50" t="str">
        <f>IFERROR(VLOOKUP($A951,EVENTO!$A$2:$C$4999,3,FALSE),"")</f>
        <v/>
      </c>
      <c r="D951" s="71"/>
      <c r="I951" s="49"/>
    </row>
    <row r="952">
      <c r="A952" s="11"/>
      <c r="B952" s="50" t="str">
        <f>IFERROR(VLOOKUP($A952,EVENTO!$A$2:$C$4999,2,FALSE),"")</f>
        <v/>
      </c>
      <c r="C952" s="50" t="str">
        <f>IFERROR(VLOOKUP($A952,EVENTO!$A$2:$C$4999,3,FALSE),"")</f>
        <v/>
      </c>
      <c r="D952" s="71"/>
      <c r="I952" s="49"/>
    </row>
    <row r="953">
      <c r="A953" s="11"/>
      <c r="B953" s="50" t="str">
        <f>IFERROR(VLOOKUP($A953,EVENTO!$A$2:$C$4999,2,FALSE),"")</f>
        <v/>
      </c>
      <c r="C953" s="50" t="str">
        <f>IFERROR(VLOOKUP($A953,EVENTO!$A$2:$C$4999,3,FALSE),"")</f>
        <v/>
      </c>
      <c r="D953" s="71"/>
      <c r="I953" s="49"/>
    </row>
    <row r="954">
      <c r="A954" s="11"/>
      <c r="B954" s="50" t="str">
        <f>IFERROR(VLOOKUP($A954,EVENTO!$A$2:$C$4999,2,FALSE),"")</f>
        <v/>
      </c>
      <c r="C954" s="50" t="str">
        <f>IFERROR(VLOOKUP($A954,EVENTO!$A$2:$C$4999,3,FALSE),"")</f>
        <v/>
      </c>
      <c r="D954" s="71"/>
      <c r="I954" s="49"/>
    </row>
    <row r="955">
      <c r="A955" s="11"/>
      <c r="B955" s="50" t="str">
        <f>IFERROR(VLOOKUP($A955,EVENTO!$A$2:$C$4999,2,FALSE),"")</f>
        <v/>
      </c>
      <c r="C955" s="50" t="str">
        <f>IFERROR(VLOOKUP($A955,EVENTO!$A$2:$C$4999,3,FALSE),"")</f>
        <v/>
      </c>
      <c r="D955" s="71"/>
      <c r="I955" s="49"/>
    </row>
    <row r="956">
      <c r="A956" s="11"/>
      <c r="B956" s="50" t="str">
        <f>IFERROR(VLOOKUP($A956,EVENTO!$A$2:$C$4999,2,FALSE),"")</f>
        <v/>
      </c>
      <c r="C956" s="50" t="str">
        <f>IFERROR(VLOOKUP($A956,EVENTO!$A$2:$C$4999,3,FALSE),"")</f>
        <v/>
      </c>
      <c r="D956" s="71"/>
      <c r="I956" s="49"/>
    </row>
    <row r="957">
      <c r="A957" s="11"/>
      <c r="B957" s="50" t="str">
        <f>IFERROR(VLOOKUP($A957,EVENTO!$A$2:$C$4999,2,FALSE),"")</f>
        <v/>
      </c>
      <c r="C957" s="50" t="str">
        <f>IFERROR(VLOOKUP($A957,EVENTO!$A$2:$C$4999,3,FALSE),"")</f>
        <v/>
      </c>
      <c r="D957" s="71"/>
      <c r="I957" s="49"/>
    </row>
    <row r="958">
      <c r="A958" s="11"/>
      <c r="B958" s="50" t="str">
        <f>IFERROR(VLOOKUP($A958,EVENTO!$A$2:$C$4999,2,FALSE),"")</f>
        <v/>
      </c>
      <c r="C958" s="50" t="str">
        <f>IFERROR(VLOOKUP($A958,EVENTO!$A$2:$C$4999,3,FALSE),"")</f>
        <v/>
      </c>
      <c r="D958" s="71"/>
      <c r="I958" s="49"/>
    </row>
    <row r="959">
      <c r="A959" s="11"/>
      <c r="B959" s="50" t="str">
        <f>IFERROR(VLOOKUP($A959,EVENTO!$A$2:$C$4999,2,FALSE),"")</f>
        <v/>
      </c>
      <c r="C959" s="50" t="str">
        <f>IFERROR(VLOOKUP($A959,EVENTO!$A$2:$C$4999,3,FALSE),"")</f>
        <v/>
      </c>
      <c r="D959" s="71"/>
      <c r="I959" s="49"/>
    </row>
    <row r="960">
      <c r="A960" s="11"/>
      <c r="B960" s="50" t="str">
        <f>IFERROR(VLOOKUP($A960,EVENTO!$A$2:$C$4999,2,FALSE),"")</f>
        <v/>
      </c>
      <c r="C960" s="50" t="str">
        <f>IFERROR(VLOOKUP($A960,EVENTO!$A$2:$C$4999,3,FALSE),"")</f>
        <v/>
      </c>
      <c r="D960" s="71"/>
      <c r="I960" s="49"/>
    </row>
    <row r="961">
      <c r="A961" s="11"/>
      <c r="B961" s="50" t="str">
        <f>IFERROR(VLOOKUP($A961,EVENTO!$A$2:$C$4999,2,FALSE),"")</f>
        <v/>
      </c>
      <c r="C961" s="50" t="str">
        <f>IFERROR(VLOOKUP($A961,EVENTO!$A$2:$C$4999,3,FALSE),"")</f>
        <v/>
      </c>
      <c r="D961" s="71"/>
      <c r="I961" s="49"/>
    </row>
    <row r="962">
      <c r="A962" s="11"/>
      <c r="B962" s="50" t="str">
        <f>IFERROR(VLOOKUP($A962,EVENTO!$A$2:$C$4999,2,FALSE),"")</f>
        <v/>
      </c>
      <c r="C962" s="50" t="str">
        <f>IFERROR(VLOOKUP($A962,EVENTO!$A$2:$C$4999,3,FALSE),"")</f>
        <v/>
      </c>
      <c r="D962" s="71"/>
      <c r="I962" s="49"/>
    </row>
    <row r="963">
      <c r="A963" s="11"/>
      <c r="B963" s="50" t="str">
        <f>IFERROR(VLOOKUP($A963,EVENTO!$A$2:$C$4999,2,FALSE),"")</f>
        <v/>
      </c>
      <c r="C963" s="50" t="str">
        <f>IFERROR(VLOOKUP($A963,EVENTO!$A$2:$C$4999,3,FALSE),"")</f>
        <v/>
      </c>
      <c r="D963" s="71"/>
      <c r="I963" s="49"/>
    </row>
    <row r="964">
      <c r="A964" s="11"/>
      <c r="B964" s="50" t="str">
        <f>IFERROR(VLOOKUP($A964,EVENTO!$A$2:$C$4999,2,FALSE),"")</f>
        <v/>
      </c>
      <c r="C964" s="50" t="str">
        <f>IFERROR(VLOOKUP($A964,EVENTO!$A$2:$C$4999,3,FALSE),"")</f>
        <v/>
      </c>
      <c r="D964" s="71"/>
      <c r="I964" s="49"/>
    </row>
    <row r="965">
      <c r="A965" s="11"/>
      <c r="B965" s="50" t="str">
        <f>IFERROR(VLOOKUP($A965,EVENTO!$A$2:$C$4999,2,FALSE),"")</f>
        <v/>
      </c>
      <c r="C965" s="50" t="str">
        <f>IFERROR(VLOOKUP($A965,EVENTO!$A$2:$C$4999,3,FALSE),"")</f>
        <v/>
      </c>
      <c r="D965" s="71"/>
      <c r="I965" s="49"/>
    </row>
    <row r="966">
      <c r="A966" s="11"/>
      <c r="B966" s="50" t="str">
        <f>IFERROR(VLOOKUP($A966,EVENTO!$A$2:$C$4999,2,FALSE),"")</f>
        <v/>
      </c>
      <c r="C966" s="50" t="str">
        <f>IFERROR(VLOOKUP($A966,EVENTO!$A$2:$C$4999,3,FALSE),"")</f>
        <v/>
      </c>
      <c r="D966" s="71"/>
      <c r="I966" s="49"/>
    </row>
    <row r="967">
      <c r="A967" s="11"/>
      <c r="B967" s="50" t="str">
        <f>IFERROR(VLOOKUP($A967,EVENTO!$A$2:$C$4999,2,FALSE),"")</f>
        <v/>
      </c>
      <c r="C967" s="50" t="str">
        <f>IFERROR(VLOOKUP($A967,EVENTO!$A$2:$C$4999,3,FALSE),"")</f>
        <v/>
      </c>
      <c r="D967" s="71"/>
      <c r="I967" s="49"/>
    </row>
    <row r="968">
      <c r="A968" s="11"/>
      <c r="B968" s="50" t="str">
        <f>IFERROR(VLOOKUP($A968,EVENTO!$A$2:$C$4999,2,FALSE),"")</f>
        <v/>
      </c>
      <c r="C968" s="50" t="str">
        <f>IFERROR(VLOOKUP($A968,EVENTO!$A$2:$C$4999,3,FALSE),"")</f>
        <v/>
      </c>
      <c r="D968" s="71"/>
      <c r="I968" s="49"/>
    </row>
    <row r="969">
      <c r="A969" s="11"/>
      <c r="B969" s="50" t="str">
        <f>IFERROR(VLOOKUP($A969,EVENTO!$A$2:$C$4999,2,FALSE),"")</f>
        <v/>
      </c>
      <c r="C969" s="50" t="str">
        <f>IFERROR(VLOOKUP($A969,EVENTO!$A$2:$C$4999,3,FALSE),"")</f>
        <v/>
      </c>
      <c r="D969" s="71"/>
      <c r="I969" s="49"/>
    </row>
    <row r="970">
      <c r="A970" s="11"/>
      <c r="B970" s="50" t="str">
        <f>IFERROR(VLOOKUP($A970,EVENTO!$A$2:$C$4999,2,FALSE),"")</f>
        <v/>
      </c>
      <c r="C970" s="50" t="str">
        <f>IFERROR(VLOOKUP($A970,EVENTO!$A$2:$C$4999,3,FALSE),"")</f>
        <v/>
      </c>
      <c r="D970" s="71"/>
      <c r="I970" s="49"/>
    </row>
    <row r="971">
      <c r="A971" s="11"/>
      <c r="B971" s="50" t="str">
        <f>IFERROR(VLOOKUP($A971,EVENTO!$A$2:$C$4999,2,FALSE),"")</f>
        <v/>
      </c>
      <c r="C971" s="50" t="str">
        <f>IFERROR(VLOOKUP($A971,EVENTO!$A$2:$C$4999,3,FALSE),"")</f>
        <v/>
      </c>
      <c r="D971" s="71"/>
      <c r="I971" s="49"/>
    </row>
    <row r="972">
      <c r="A972" s="11"/>
      <c r="B972" s="50" t="str">
        <f>IFERROR(VLOOKUP($A972,EVENTO!$A$2:$C$4999,2,FALSE),"")</f>
        <v/>
      </c>
      <c r="C972" s="50" t="str">
        <f>IFERROR(VLOOKUP($A972,EVENTO!$A$2:$C$4999,3,FALSE),"")</f>
        <v/>
      </c>
      <c r="D972" s="71"/>
      <c r="I972" s="49"/>
    </row>
    <row r="973">
      <c r="A973" s="11"/>
      <c r="B973" s="50" t="str">
        <f>IFERROR(VLOOKUP($A973,EVENTO!$A$2:$C$4999,2,FALSE),"")</f>
        <v/>
      </c>
      <c r="C973" s="50" t="str">
        <f>IFERROR(VLOOKUP($A973,EVENTO!$A$2:$C$4999,3,FALSE),"")</f>
        <v/>
      </c>
      <c r="D973" s="71"/>
      <c r="I973" s="49"/>
    </row>
    <row r="974">
      <c r="A974" s="11"/>
      <c r="B974" s="50" t="str">
        <f>IFERROR(VLOOKUP($A974,EVENTO!$A$2:$C$4999,2,FALSE),"")</f>
        <v/>
      </c>
      <c r="C974" s="50" t="str">
        <f>IFERROR(VLOOKUP($A974,EVENTO!$A$2:$C$4999,3,FALSE),"")</f>
        <v/>
      </c>
      <c r="D974" s="71"/>
      <c r="I974" s="49"/>
    </row>
    <row r="975">
      <c r="A975" s="11"/>
      <c r="B975" s="50" t="str">
        <f>IFERROR(VLOOKUP($A975,EVENTO!$A$2:$C$4999,2,FALSE),"")</f>
        <v/>
      </c>
      <c r="C975" s="50" t="str">
        <f>IFERROR(VLOOKUP($A975,EVENTO!$A$2:$C$4999,3,FALSE),"")</f>
        <v/>
      </c>
      <c r="D975" s="71"/>
      <c r="I975" s="49"/>
    </row>
    <row r="976">
      <c r="A976" s="11"/>
      <c r="B976" s="50" t="str">
        <f>IFERROR(VLOOKUP($A976,EVENTO!$A$2:$C$4999,2,FALSE),"")</f>
        <v/>
      </c>
      <c r="C976" s="50" t="str">
        <f>IFERROR(VLOOKUP($A976,EVENTO!$A$2:$C$4999,3,FALSE),"")</f>
        <v/>
      </c>
      <c r="D976" s="71"/>
      <c r="I976" s="49"/>
    </row>
    <row r="977">
      <c r="A977" s="11"/>
      <c r="B977" s="50" t="str">
        <f>IFERROR(VLOOKUP($A977,EVENTO!$A$2:$C$4999,2,FALSE),"")</f>
        <v/>
      </c>
      <c r="C977" s="50" t="str">
        <f>IFERROR(VLOOKUP($A977,EVENTO!$A$2:$C$4999,3,FALSE),"")</f>
        <v/>
      </c>
      <c r="D977" s="71"/>
      <c r="I977" s="49"/>
    </row>
    <row r="978">
      <c r="A978" s="11"/>
      <c r="B978" s="50" t="str">
        <f>IFERROR(VLOOKUP($A978,EVENTO!$A$2:$C$4999,2,FALSE),"")</f>
        <v/>
      </c>
      <c r="C978" s="50" t="str">
        <f>IFERROR(VLOOKUP($A978,EVENTO!$A$2:$C$4999,3,FALSE),"")</f>
        <v/>
      </c>
      <c r="D978" s="71"/>
      <c r="I978" s="49"/>
    </row>
    <row r="979">
      <c r="A979" s="11"/>
      <c r="B979" s="50" t="str">
        <f>IFERROR(VLOOKUP($A979,EVENTO!$A$2:$C$4999,2,FALSE),"")</f>
        <v/>
      </c>
      <c r="C979" s="50" t="str">
        <f>IFERROR(VLOOKUP($A979,EVENTO!$A$2:$C$4999,3,FALSE),"")</f>
        <v/>
      </c>
      <c r="D979" s="71"/>
      <c r="I979" s="49"/>
    </row>
    <row r="980">
      <c r="A980" s="11"/>
      <c r="B980" s="50" t="str">
        <f>IFERROR(VLOOKUP($A980,EVENTO!$A$2:$C$4999,2,FALSE),"")</f>
        <v/>
      </c>
      <c r="C980" s="50" t="str">
        <f>IFERROR(VLOOKUP($A980,EVENTO!$A$2:$C$4999,3,FALSE),"")</f>
        <v/>
      </c>
      <c r="D980" s="71"/>
      <c r="I980" s="49"/>
    </row>
    <row r="981">
      <c r="A981" s="11"/>
      <c r="B981" s="50" t="str">
        <f>IFERROR(VLOOKUP($A981,EVENTO!$A$2:$C$4999,2,FALSE),"")</f>
        <v/>
      </c>
      <c r="C981" s="50" t="str">
        <f>IFERROR(VLOOKUP($A981,EVENTO!$A$2:$C$4999,3,FALSE),"")</f>
        <v/>
      </c>
      <c r="D981" s="71"/>
      <c r="I981" s="49"/>
    </row>
    <row r="982">
      <c r="A982" s="11"/>
      <c r="B982" s="50" t="str">
        <f>IFERROR(VLOOKUP($A982,EVENTO!$A$2:$C$4999,2,FALSE),"")</f>
        <v/>
      </c>
      <c r="C982" s="50" t="str">
        <f>IFERROR(VLOOKUP($A982,EVENTO!$A$2:$C$4999,3,FALSE),"")</f>
        <v/>
      </c>
      <c r="D982" s="71"/>
      <c r="I982" s="49"/>
    </row>
    <row r="983">
      <c r="A983" s="11"/>
      <c r="B983" s="50" t="str">
        <f>IFERROR(VLOOKUP($A983,EVENTO!$A$2:$C$4999,2,FALSE),"")</f>
        <v/>
      </c>
      <c r="C983" s="50" t="str">
        <f>IFERROR(VLOOKUP($A983,EVENTO!$A$2:$C$4999,3,FALSE),"")</f>
        <v/>
      </c>
      <c r="D983" s="71"/>
      <c r="I983" s="49"/>
    </row>
    <row r="984">
      <c r="A984" s="11"/>
      <c r="B984" s="50" t="str">
        <f>IFERROR(VLOOKUP($A984,EVENTO!$A$2:$C$4999,2,FALSE),"")</f>
        <v/>
      </c>
      <c r="C984" s="50" t="str">
        <f>IFERROR(VLOOKUP($A984,EVENTO!$A$2:$C$4999,3,FALSE),"")</f>
        <v/>
      </c>
      <c r="D984" s="71"/>
      <c r="I984" s="49"/>
    </row>
    <row r="985">
      <c r="A985" s="11"/>
      <c r="B985" s="50" t="str">
        <f>IFERROR(VLOOKUP($A985,EVENTO!$A$2:$C$4999,2,FALSE),"")</f>
        <v/>
      </c>
      <c r="C985" s="50" t="str">
        <f>IFERROR(VLOOKUP($A985,EVENTO!$A$2:$C$4999,3,FALSE),"")</f>
        <v/>
      </c>
      <c r="D985" s="71"/>
      <c r="I985" s="49"/>
    </row>
    <row r="986">
      <c r="A986" s="11"/>
      <c r="B986" s="50" t="str">
        <f>IFERROR(VLOOKUP($A986,EVENTO!$A$2:$C$4999,2,FALSE),"")</f>
        <v/>
      </c>
      <c r="C986" s="50" t="str">
        <f>IFERROR(VLOOKUP($A986,EVENTO!$A$2:$C$4999,3,FALSE),"")</f>
        <v/>
      </c>
      <c r="D986" s="71"/>
      <c r="I986" s="49"/>
    </row>
    <row r="987">
      <c r="A987" s="11"/>
      <c r="B987" s="50" t="str">
        <f>IFERROR(VLOOKUP($A987,EVENTO!$A$2:$C$4999,2,FALSE),"")</f>
        <v/>
      </c>
      <c r="C987" s="50" t="str">
        <f>IFERROR(VLOOKUP($A987,EVENTO!$A$2:$C$4999,3,FALSE),"")</f>
        <v/>
      </c>
      <c r="D987" s="71"/>
      <c r="I987" s="49"/>
    </row>
    <row r="988">
      <c r="A988" s="11"/>
      <c r="B988" s="50" t="str">
        <f>IFERROR(VLOOKUP($A988,EVENTO!$A$2:$C$4999,2,FALSE),"")</f>
        <v/>
      </c>
      <c r="C988" s="50" t="str">
        <f>IFERROR(VLOOKUP($A988,EVENTO!$A$2:$C$4999,3,FALSE),"")</f>
        <v/>
      </c>
      <c r="D988" s="71"/>
      <c r="I988" s="49"/>
    </row>
    <row r="989">
      <c r="A989" s="11"/>
      <c r="B989" s="50" t="str">
        <f>IFERROR(VLOOKUP($A989,EVENTO!$A$2:$C$4999,2,FALSE),"")</f>
        <v/>
      </c>
      <c r="C989" s="50" t="str">
        <f>IFERROR(VLOOKUP($A989,EVENTO!$A$2:$C$4999,3,FALSE),"")</f>
        <v/>
      </c>
      <c r="D989" s="71"/>
      <c r="I989" s="49"/>
    </row>
    <row r="990">
      <c r="A990" s="11"/>
      <c r="B990" s="50" t="str">
        <f>IFERROR(VLOOKUP($A990,EVENTO!$A$2:$C$4999,2,FALSE),"")</f>
        <v/>
      </c>
      <c r="C990" s="50" t="str">
        <f>IFERROR(VLOOKUP($A990,EVENTO!$A$2:$C$4999,3,FALSE),"")</f>
        <v/>
      </c>
      <c r="D990" s="71"/>
      <c r="I990" s="49"/>
    </row>
    <row r="991">
      <c r="A991" s="11"/>
      <c r="B991" s="50" t="str">
        <f>IFERROR(VLOOKUP($A991,EVENTO!$A$2:$C$4999,2,FALSE),"")</f>
        <v/>
      </c>
      <c r="C991" s="50" t="str">
        <f>IFERROR(VLOOKUP($A991,EVENTO!$A$2:$C$4999,3,FALSE),"")</f>
        <v/>
      </c>
      <c r="D991" s="71"/>
      <c r="I991" s="49"/>
    </row>
    <row r="992">
      <c r="A992" s="11"/>
      <c r="B992" s="50" t="str">
        <f>IFERROR(VLOOKUP($A992,EVENTO!$A$2:$C$4999,2,FALSE),"")</f>
        <v/>
      </c>
      <c r="C992" s="50" t="str">
        <f>IFERROR(VLOOKUP($A992,EVENTO!$A$2:$C$4999,3,FALSE),"")</f>
        <v/>
      </c>
      <c r="D992" s="71"/>
      <c r="I992" s="49"/>
    </row>
    <row r="993">
      <c r="A993" s="11"/>
      <c r="B993" s="50" t="str">
        <f>IFERROR(VLOOKUP($A993,EVENTO!$A$2:$C$4999,2,FALSE),"")</f>
        <v/>
      </c>
      <c r="C993" s="50" t="str">
        <f>IFERROR(VLOOKUP($A993,EVENTO!$A$2:$C$4999,3,FALSE),"")</f>
        <v/>
      </c>
      <c r="D993" s="71"/>
      <c r="I993" s="49"/>
    </row>
    <row r="994">
      <c r="A994" s="11"/>
      <c r="B994" s="50" t="str">
        <f>IFERROR(VLOOKUP($A994,EVENTO!$A$2:$C$4999,2,FALSE),"")</f>
        <v/>
      </c>
      <c r="C994" s="50" t="str">
        <f>IFERROR(VLOOKUP($A994,EVENTO!$A$2:$C$4999,3,FALSE),"")</f>
        <v/>
      </c>
      <c r="D994" s="71"/>
      <c r="I994" s="49"/>
    </row>
    <row r="995">
      <c r="A995" s="11"/>
      <c r="B995" s="50" t="str">
        <f>IFERROR(VLOOKUP($A995,EVENTO!$A$2:$C$4999,2,FALSE),"")</f>
        <v/>
      </c>
      <c r="C995" s="50" t="str">
        <f>IFERROR(VLOOKUP($A995,EVENTO!$A$2:$C$4999,3,FALSE),"")</f>
        <v/>
      </c>
      <c r="D995" s="71"/>
      <c r="I995" s="49"/>
    </row>
    <row r="996">
      <c r="A996" s="11"/>
      <c r="B996" s="50" t="str">
        <f>IFERROR(VLOOKUP($A996,EVENTO!$A$2:$C$4999,2,FALSE),"")</f>
        <v/>
      </c>
      <c r="C996" s="50" t="str">
        <f>IFERROR(VLOOKUP($A996,EVENTO!$A$2:$C$4999,3,FALSE),"")</f>
        <v/>
      </c>
      <c r="D996" s="71"/>
      <c r="I996" s="49"/>
    </row>
    <row r="997">
      <c r="A997" s="11"/>
      <c r="B997" s="50" t="str">
        <f>IFERROR(VLOOKUP($A997,EVENTO!$A$2:$C$4999,2,FALSE),"")</f>
        <v/>
      </c>
      <c r="C997" s="50" t="str">
        <f>IFERROR(VLOOKUP($A997,EVENTO!$A$2:$C$4999,3,FALSE),"")</f>
        <v/>
      </c>
      <c r="D997" s="71"/>
      <c r="I997" s="49"/>
    </row>
    <row r="998">
      <c r="A998" s="11"/>
      <c r="B998" s="50" t="str">
        <f>IFERROR(VLOOKUP($A998,EVENTO!$A$2:$C$4999,2,FALSE),"")</f>
        <v/>
      </c>
      <c r="C998" s="50" t="str">
        <f>IFERROR(VLOOKUP($A998,EVENTO!$A$2:$C$4999,3,FALSE),"")</f>
        <v/>
      </c>
      <c r="D998" s="71"/>
      <c r="I998" s="49"/>
    </row>
    <row r="999">
      <c r="A999" s="11"/>
      <c r="B999" s="50" t="str">
        <f>IFERROR(VLOOKUP($A999,EVENTO!$A$2:$C$4999,2,FALSE),"")</f>
        <v/>
      </c>
      <c r="C999" s="50" t="str">
        <f>IFERROR(VLOOKUP($A999,EVENTO!$A$2:$C$4999,3,FALSE),"")</f>
        <v/>
      </c>
      <c r="D999" s="71"/>
      <c r="I999" s="49"/>
    </row>
    <row r="1000">
      <c r="A1000" s="11"/>
      <c r="B1000" s="50" t="str">
        <f>IFERROR(VLOOKUP($A1000,EVENTO!$A$2:$C$4999,2,FALSE),"")</f>
        <v/>
      </c>
      <c r="C1000" s="50" t="str">
        <f>IFERROR(VLOOKUP($A1000,EVENTO!$A$2:$C$4999,3,FALSE),"")</f>
        <v/>
      </c>
      <c r="D1000" s="71"/>
      <c r="I1000" s="49"/>
    </row>
  </sheetData>
  <dataValidations>
    <dataValidation type="list" allowBlank="1" showErrorMessage="1" sqref="A2:A1000">
      <formula1>EVENTO!$A$2:$A$1997</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88"/>
    <col customWidth="1" min="3" max="3" width="116.13"/>
    <col customWidth="1" min="4" max="4" width="53.88"/>
    <col customWidth="1" min="5" max="5" width="45.0"/>
    <col customWidth="1" min="6" max="6" width="19.25"/>
    <col customWidth="1" min="7" max="7" width="23.0"/>
    <col customWidth="1" min="8" max="8" width="7.75"/>
  </cols>
  <sheetData>
    <row r="1">
      <c r="A1" s="1" t="s">
        <v>1332</v>
      </c>
      <c r="B1" s="72" t="s">
        <v>1333</v>
      </c>
      <c r="C1" s="73" t="s">
        <v>1320</v>
      </c>
      <c r="D1" s="74" t="s">
        <v>1356</v>
      </c>
      <c r="E1" s="1" t="s">
        <v>1357</v>
      </c>
      <c r="F1" s="1" t="s">
        <v>1358</v>
      </c>
      <c r="G1" s="75" t="s">
        <v>1359</v>
      </c>
    </row>
    <row r="2">
      <c r="A2" s="11"/>
      <c r="B2" s="76" t="str">
        <f>IFERROR(VLOOKUP($A2,EVENTO!$A$2:$C$4999,2,FALSE),"")</f>
        <v/>
      </c>
      <c r="C2" s="76" t="str">
        <f>IFERROR(VLOOKUP($A2,EVENTO!$A$2:$C$4999,3,FALSE),"")</f>
        <v/>
      </c>
      <c r="D2" s="77"/>
      <c r="F2" s="78"/>
      <c r="G2" s="79"/>
    </row>
    <row r="3">
      <c r="A3" s="11"/>
      <c r="B3" s="76" t="str">
        <f>IFERROR(VLOOKUP($A3,EVENTO!$A$2:$C$4999,2,FALSE),"")</f>
        <v/>
      </c>
      <c r="C3" s="76" t="str">
        <f>IFERROR(VLOOKUP($A3,EVENTO!$A$2:$C$4999,3,FALSE),"")</f>
        <v/>
      </c>
      <c r="D3" s="77"/>
      <c r="F3" s="78"/>
      <c r="G3" s="79"/>
    </row>
    <row r="4">
      <c r="A4" s="11"/>
      <c r="B4" s="76" t="str">
        <f>IFERROR(VLOOKUP($A4,EVENTO!$A$2:$C$4999,2,FALSE),"")</f>
        <v/>
      </c>
      <c r="C4" s="76" t="str">
        <f>IFERROR(VLOOKUP($A4,EVENTO!$A$2:$C$4999,3,FALSE),"")</f>
        <v/>
      </c>
      <c r="D4" s="77"/>
      <c r="F4" s="78"/>
      <c r="G4" s="79"/>
    </row>
    <row r="5">
      <c r="A5" s="11"/>
      <c r="B5" s="76" t="str">
        <f>IFERROR(VLOOKUP($A5,EVENTO!$A$2:$C$4999,2,FALSE),"")</f>
        <v/>
      </c>
      <c r="C5" s="76" t="str">
        <f>IFERROR(VLOOKUP($A5,EVENTO!$A$2:$C$4999,3,FALSE),"")</f>
        <v/>
      </c>
      <c r="D5" s="77"/>
      <c r="F5" s="78"/>
      <c r="G5" s="79"/>
    </row>
    <row r="6">
      <c r="A6" s="11"/>
      <c r="B6" s="76" t="str">
        <f>IFERROR(VLOOKUP($A6,EVENTO!$A$2:$C$4999,2,FALSE),"")</f>
        <v/>
      </c>
      <c r="C6" s="76" t="str">
        <f>IFERROR(VLOOKUP($A6,EVENTO!$A$2:$C$4999,3,FALSE),"")</f>
        <v/>
      </c>
      <c r="D6" s="77"/>
      <c r="F6" s="78"/>
      <c r="G6" s="80"/>
    </row>
    <row r="7">
      <c r="A7" s="6">
        <v>6.0</v>
      </c>
      <c r="B7" s="76" t="str">
        <f>IFERROR(VLOOKUP($A7,EVENTO!$A$2:$C$4999,2,FALSE),"")</f>
        <v>CADASTRO</v>
      </c>
      <c r="C7" s="76" t="str">
        <f>IFERROR(VLOOKUP($A7,EVENTO!$A$2:$C$4999,3,FALSE),"")</f>
        <v>ALECE</v>
      </c>
      <c r="D7" s="81" t="s">
        <v>1360</v>
      </c>
      <c r="E7" s="6" t="s">
        <v>1361</v>
      </c>
      <c r="F7" s="78">
        <v>30.0</v>
      </c>
      <c r="G7" s="79">
        <v>42.25</v>
      </c>
    </row>
    <row r="8">
      <c r="A8" s="6">
        <v>6.0</v>
      </c>
      <c r="B8" s="76" t="str">
        <f>IFERROR(VLOOKUP($A8,EVENTO!$A$2:$C$4999,2,FALSE),"")</f>
        <v>CADASTRO</v>
      </c>
      <c r="C8" s="76" t="str">
        <f>IFERROR(VLOOKUP($A8,EVENTO!$A$2:$C$4999,3,FALSE),"")</f>
        <v>ALECE</v>
      </c>
      <c r="D8" s="81" t="s">
        <v>1362</v>
      </c>
      <c r="E8" s="6" t="s">
        <v>1363</v>
      </c>
      <c r="F8" s="78">
        <v>20.0</v>
      </c>
      <c r="G8" s="79">
        <v>141.49</v>
      </c>
    </row>
    <row r="9">
      <c r="A9" s="6">
        <v>6.0</v>
      </c>
      <c r="B9" s="76" t="str">
        <f>IFERROR(VLOOKUP($A9,EVENTO!$A$2:$C$4999,2,FALSE),"")</f>
        <v>CADASTRO</v>
      </c>
      <c r="C9" s="76" t="str">
        <f>IFERROR(VLOOKUP($A9,EVENTO!$A$2:$C$4999,3,FALSE),"")</f>
        <v>ALECE</v>
      </c>
      <c r="D9" s="81" t="s">
        <v>1364</v>
      </c>
      <c r="E9" s="6" t="s">
        <v>1365</v>
      </c>
      <c r="F9" s="78">
        <v>7.0</v>
      </c>
      <c r="G9" s="79">
        <v>390.98</v>
      </c>
    </row>
    <row r="10">
      <c r="A10" s="6">
        <v>6.0</v>
      </c>
      <c r="B10" s="76" t="str">
        <f>IFERROR(VLOOKUP($A10,EVENTO!$A$2:$C$4999,2,FALSE),"")</f>
        <v>CADASTRO</v>
      </c>
      <c r="C10" s="76" t="str">
        <f>IFERROR(VLOOKUP($A10,EVENTO!$A$2:$C$4999,3,FALSE),"")</f>
        <v>ALECE</v>
      </c>
      <c r="D10" s="81" t="s">
        <v>1366</v>
      </c>
      <c r="E10" s="6" t="s">
        <v>1367</v>
      </c>
      <c r="F10" s="78">
        <v>2.0</v>
      </c>
      <c r="G10" s="79">
        <v>3430.81</v>
      </c>
    </row>
    <row r="11">
      <c r="A11" s="6">
        <v>6.0</v>
      </c>
      <c r="B11" s="76" t="str">
        <f>IFERROR(VLOOKUP($A11,EVENTO!$A$2:$C$4999,2,FALSE),"")</f>
        <v>CADASTRO</v>
      </c>
      <c r="C11" s="76" t="str">
        <f>IFERROR(VLOOKUP($A11,EVENTO!$A$2:$C$4999,3,FALSE),"")</f>
        <v>ALECE</v>
      </c>
      <c r="D11" s="81" t="s">
        <v>1368</v>
      </c>
      <c r="E11" s="6" t="s">
        <v>1369</v>
      </c>
      <c r="F11" s="78">
        <v>20.0</v>
      </c>
      <c r="G11" s="79">
        <v>73.78</v>
      </c>
    </row>
    <row r="12">
      <c r="A12" s="6">
        <v>6.0</v>
      </c>
      <c r="B12" s="76" t="str">
        <f>IFERROR(VLOOKUP($A12,EVENTO!$A$2:$C$4999,2,FALSE),"")</f>
        <v>CADASTRO</v>
      </c>
      <c r="C12" s="76" t="str">
        <f>IFERROR(VLOOKUP($A12,EVENTO!$A$2:$C$4999,3,FALSE),"")</f>
        <v>ALECE</v>
      </c>
      <c r="D12" s="81" t="s">
        <v>1370</v>
      </c>
      <c r="E12" s="6" t="s">
        <v>1371</v>
      </c>
      <c r="F12" s="78">
        <v>50.0</v>
      </c>
      <c r="G12" s="79">
        <v>249.0</v>
      </c>
    </row>
    <row r="13">
      <c r="A13" s="6">
        <v>6.0</v>
      </c>
      <c r="B13" s="76" t="str">
        <f>IFERROR(VLOOKUP($A13,EVENTO!$A$2:$C$4999,2,FALSE),"")</f>
        <v>CADASTRO</v>
      </c>
      <c r="C13" s="76" t="str">
        <f>IFERROR(VLOOKUP($A13,EVENTO!$A$2:$C$4999,3,FALSE),"")</f>
        <v>ALECE</v>
      </c>
      <c r="D13" s="81" t="s">
        <v>1372</v>
      </c>
      <c r="E13" s="6" t="s">
        <v>1373</v>
      </c>
      <c r="F13" s="78">
        <v>10.0</v>
      </c>
      <c r="G13" s="79">
        <v>389.0</v>
      </c>
    </row>
    <row r="14">
      <c r="A14" s="6">
        <v>6.0</v>
      </c>
      <c r="B14" s="76" t="str">
        <f>IFERROR(VLOOKUP($A14,EVENTO!$A$2:$C$4999,2,FALSE),"")</f>
        <v>CADASTRO</v>
      </c>
      <c r="C14" s="76" t="str">
        <f>IFERROR(VLOOKUP($A14,EVENTO!$A$2:$C$4999,3,FALSE),"")</f>
        <v>ALECE</v>
      </c>
      <c r="D14" s="81" t="s">
        <v>1374</v>
      </c>
      <c r="E14" s="6" t="s">
        <v>1375</v>
      </c>
      <c r="F14" s="78">
        <v>200.0</v>
      </c>
      <c r="G14" s="79">
        <v>278.85</v>
      </c>
    </row>
    <row r="15">
      <c r="A15" s="6">
        <v>6.0</v>
      </c>
      <c r="B15" s="76" t="str">
        <f>IFERROR(VLOOKUP($A15,EVENTO!$A$2:$C$4999,2,FALSE),"")</f>
        <v>CADASTRO</v>
      </c>
      <c r="C15" s="76" t="str">
        <f>IFERROR(VLOOKUP($A15,EVENTO!$A$2:$C$4999,3,FALSE),"")</f>
        <v>ALECE</v>
      </c>
      <c r="D15" s="81" t="s">
        <v>1376</v>
      </c>
      <c r="E15" s="6" t="s">
        <v>1377</v>
      </c>
      <c r="F15" s="78">
        <v>85.0</v>
      </c>
      <c r="G15" s="79">
        <v>330.2</v>
      </c>
    </row>
    <row r="16">
      <c r="A16" s="6">
        <v>6.0</v>
      </c>
      <c r="B16" s="76" t="str">
        <f>IFERROR(VLOOKUP($A16,EVENTO!$A$2:$C$4999,2,FALSE),"")</f>
        <v>CADASTRO</v>
      </c>
      <c r="C16" s="76" t="str">
        <f>IFERROR(VLOOKUP($A16,EVENTO!$A$2:$C$4999,3,FALSE),"")</f>
        <v>ALECE</v>
      </c>
      <c r="D16" s="81" t="s">
        <v>1378</v>
      </c>
      <c r="E16" s="6" t="s">
        <v>1379</v>
      </c>
      <c r="F16" s="78">
        <v>20.0</v>
      </c>
      <c r="G16" s="79">
        <v>720.85</v>
      </c>
    </row>
    <row r="17">
      <c r="A17" s="6">
        <v>7.0</v>
      </c>
      <c r="B17" s="76" t="str">
        <f>IFERROR(VLOOKUP($A17,EVENTO!$A$2:$C$4999,2,FALSE),"")</f>
        <v>ADITIVO DE QUANTIDADE</v>
      </c>
      <c r="C17" s="76" t="str">
        <f>IFERROR(VLOOKUP($A17,EVENTO!$A$2:$C$4999,3,FALSE),"")</f>
        <v>ALECE</v>
      </c>
      <c r="D17" s="81" t="s">
        <v>1360</v>
      </c>
      <c r="E17" s="6" t="s">
        <v>1361</v>
      </c>
      <c r="F17" s="78">
        <v>30.0</v>
      </c>
      <c r="G17" s="79">
        <v>42.25</v>
      </c>
    </row>
    <row r="18">
      <c r="A18" s="6">
        <v>7.0</v>
      </c>
      <c r="B18" s="76" t="str">
        <f>IFERROR(VLOOKUP($A18,EVENTO!$A$2:$C$4999,2,FALSE),"")</f>
        <v>ADITIVO DE QUANTIDADE</v>
      </c>
      <c r="C18" s="76" t="str">
        <f>IFERROR(VLOOKUP($A18,EVENTO!$A$2:$C$4999,3,FALSE),"")</f>
        <v>ALECE</v>
      </c>
      <c r="D18" s="81" t="s">
        <v>1362</v>
      </c>
      <c r="E18" s="6" t="s">
        <v>1363</v>
      </c>
      <c r="F18" s="78">
        <v>20.0</v>
      </c>
      <c r="G18" s="79">
        <v>141.49</v>
      </c>
    </row>
    <row r="19">
      <c r="A19" s="6">
        <v>7.0</v>
      </c>
      <c r="B19" s="76" t="str">
        <f>IFERROR(VLOOKUP($A19,EVENTO!$A$2:$C$4999,2,FALSE),"")</f>
        <v>ADITIVO DE QUANTIDADE</v>
      </c>
      <c r="C19" s="76" t="str">
        <f>IFERROR(VLOOKUP($A19,EVENTO!$A$2:$C$4999,3,FALSE),"")</f>
        <v>ALECE</v>
      </c>
      <c r="D19" s="81" t="s">
        <v>1364</v>
      </c>
      <c r="E19" s="6" t="s">
        <v>1365</v>
      </c>
      <c r="F19" s="78">
        <v>7.0</v>
      </c>
      <c r="G19" s="79">
        <v>390.98</v>
      </c>
    </row>
    <row r="20">
      <c r="A20" s="6">
        <v>7.0</v>
      </c>
      <c r="B20" s="76" t="str">
        <f>IFERROR(VLOOKUP($A20,EVENTO!$A$2:$C$4999,2,FALSE),"")</f>
        <v>ADITIVO DE QUANTIDADE</v>
      </c>
      <c r="C20" s="76" t="str">
        <f>IFERROR(VLOOKUP($A20,EVENTO!$A$2:$C$4999,3,FALSE),"")</f>
        <v>ALECE</v>
      </c>
      <c r="D20" s="81" t="s">
        <v>1366</v>
      </c>
      <c r="E20" s="6" t="s">
        <v>1367</v>
      </c>
      <c r="F20" s="78">
        <v>2.0</v>
      </c>
      <c r="G20" s="79">
        <v>3430.81</v>
      </c>
    </row>
    <row r="21">
      <c r="A21" s="6">
        <v>7.0</v>
      </c>
      <c r="B21" s="76" t="str">
        <f>IFERROR(VLOOKUP($A21,EVENTO!$A$2:$C$4999,2,FALSE),"")</f>
        <v>ADITIVO DE QUANTIDADE</v>
      </c>
      <c r="C21" s="76" t="str">
        <f>IFERROR(VLOOKUP($A21,EVENTO!$A$2:$C$4999,3,FALSE),"")</f>
        <v>ALECE</v>
      </c>
      <c r="D21" s="81" t="s">
        <v>1368</v>
      </c>
      <c r="E21" s="6" t="s">
        <v>1369</v>
      </c>
      <c r="F21" s="78">
        <v>20.0</v>
      </c>
      <c r="G21" s="79">
        <v>73.78</v>
      </c>
    </row>
    <row r="22">
      <c r="A22" s="6">
        <v>7.0</v>
      </c>
      <c r="B22" s="76" t="str">
        <f>IFERROR(VLOOKUP($A22,EVENTO!$A$2:$C$4999,2,FALSE),"")</f>
        <v>ADITIVO DE QUANTIDADE</v>
      </c>
      <c r="C22" s="76" t="str">
        <f>IFERROR(VLOOKUP($A22,EVENTO!$A$2:$C$4999,3,FALSE),"")</f>
        <v>ALECE</v>
      </c>
      <c r="D22" s="81" t="s">
        <v>1370</v>
      </c>
      <c r="E22" s="6" t="s">
        <v>1371</v>
      </c>
      <c r="F22" s="78">
        <f>50+40</f>
        <v>90</v>
      </c>
      <c r="G22" s="79">
        <v>249.0</v>
      </c>
    </row>
    <row r="23">
      <c r="A23" s="6">
        <v>7.0</v>
      </c>
      <c r="B23" s="76" t="str">
        <f>IFERROR(VLOOKUP($A23,EVENTO!$A$2:$C$4999,2,FALSE),"")</f>
        <v>ADITIVO DE QUANTIDADE</v>
      </c>
      <c r="C23" s="76" t="str">
        <f>IFERROR(VLOOKUP($A23,EVENTO!$A$2:$C$4999,3,FALSE),"")</f>
        <v>ALECE</v>
      </c>
      <c r="D23" s="81" t="s">
        <v>1372</v>
      </c>
      <c r="E23" s="6" t="s">
        <v>1373</v>
      </c>
      <c r="F23" s="78">
        <v>10.0</v>
      </c>
      <c r="G23" s="79">
        <v>389.0</v>
      </c>
    </row>
    <row r="24">
      <c r="A24" s="6">
        <v>7.0</v>
      </c>
      <c r="B24" s="76" t="str">
        <f>IFERROR(VLOOKUP($A24,EVENTO!$A$2:$C$4999,2,FALSE),"")</f>
        <v>ADITIVO DE QUANTIDADE</v>
      </c>
      <c r="C24" s="76" t="str">
        <f>IFERROR(VLOOKUP($A24,EVENTO!$A$2:$C$4999,3,FALSE),"")</f>
        <v>ALECE</v>
      </c>
      <c r="D24" s="81" t="s">
        <v>1374</v>
      </c>
      <c r="E24" s="6" t="s">
        <v>1375</v>
      </c>
      <c r="F24" s="78">
        <f>200+80</f>
        <v>280</v>
      </c>
      <c r="G24" s="79">
        <v>278.85</v>
      </c>
    </row>
    <row r="25">
      <c r="A25" s="6">
        <v>7.0</v>
      </c>
      <c r="B25" s="76" t="str">
        <f>IFERROR(VLOOKUP($A25,EVENTO!$A$2:$C$4999,2,FALSE),"")</f>
        <v>ADITIVO DE QUANTIDADE</v>
      </c>
      <c r="C25" s="76" t="str">
        <f>IFERROR(VLOOKUP($A25,EVENTO!$A$2:$C$4999,3,FALSE),"")</f>
        <v>ALECE</v>
      </c>
      <c r="D25" s="81" t="s">
        <v>1376</v>
      </c>
      <c r="E25" s="6" t="s">
        <v>1377</v>
      </c>
      <c r="F25" s="78">
        <v>85.0</v>
      </c>
      <c r="G25" s="79">
        <v>330.2</v>
      </c>
    </row>
    <row r="26">
      <c r="A26" s="6">
        <v>7.0</v>
      </c>
      <c r="B26" s="76" t="str">
        <f>IFERROR(VLOOKUP($A26,EVENTO!$A$2:$C$4999,2,FALSE),"")</f>
        <v>ADITIVO DE QUANTIDADE</v>
      </c>
      <c r="C26" s="76" t="str">
        <f>IFERROR(VLOOKUP($A26,EVENTO!$A$2:$C$4999,3,FALSE),"")</f>
        <v>ALECE</v>
      </c>
      <c r="D26" s="81" t="s">
        <v>1378</v>
      </c>
      <c r="E26" s="6" t="s">
        <v>1379</v>
      </c>
      <c r="F26" s="78">
        <v>20.0</v>
      </c>
      <c r="G26" s="79">
        <v>720.85</v>
      </c>
    </row>
    <row r="27">
      <c r="A27" s="6">
        <v>8.0</v>
      </c>
      <c r="B27" s="76" t="str">
        <f>IFERROR(VLOOKUP($A27,EVENTO!$A$2:$C$4999,2,FALSE),"")</f>
        <v>CADASTRO</v>
      </c>
      <c r="C27" s="76" t="str">
        <f>IFERROR(VLOOKUP($A27,EVENTO!$A$2:$C$4999,3,FALSE),"")</f>
        <v>10a REGIAO MILITAR</v>
      </c>
      <c r="D27" s="81" t="s">
        <v>1380</v>
      </c>
      <c r="E27" s="6" t="s">
        <v>1381</v>
      </c>
      <c r="F27" s="78">
        <v>40.0</v>
      </c>
      <c r="G27" s="80"/>
    </row>
    <row r="28">
      <c r="A28" s="6">
        <v>8.0</v>
      </c>
      <c r="B28" s="76" t="str">
        <f>IFERROR(VLOOKUP($A28,EVENTO!$A$2:$C$4999,2,FALSE),"")</f>
        <v>CADASTRO</v>
      </c>
      <c r="C28" s="76" t="str">
        <f>IFERROR(VLOOKUP($A28,EVENTO!$A$2:$C$4999,3,FALSE),"")</f>
        <v>10a REGIAO MILITAR</v>
      </c>
      <c r="D28" s="81" t="s">
        <v>1382</v>
      </c>
      <c r="E28" s="6" t="s">
        <v>1383</v>
      </c>
      <c r="F28" s="78">
        <v>80.0</v>
      </c>
      <c r="G28" s="80"/>
    </row>
    <row r="29">
      <c r="A29" s="6">
        <v>8.0</v>
      </c>
      <c r="B29" s="76" t="str">
        <f>IFERROR(VLOOKUP($A29,EVENTO!$A$2:$C$4999,2,FALSE),"")</f>
        <v>CADASTRO</v>
      </c>
      <c r="C29" s="76" t="str">
        <f>IFERROR(VLOOKUP($A29,EVENTO!$A$2:$C$4999,3,FALSE),"")</f>
        <v>10a REGIAO MILITAR</v>
      </c>
      <c r="D29" s="81" t="s">
        <v>1384</v>
      </c>
      <c r="E29" s="6" t="s">
        <v>1385</v>
      </c>
      <c r="F29" s="78">
        <v>1.0</v>
      </c>
      <c r="G29" s="80"/>
    </row>
    <row r="30">
      <c r="A30" s="6">
        <v>10.0</v>
      </c>
      <c r="B30" s="76" t="str">
        <f>IFERROR(VLOOKUP($A30,EVENTO!$A$2:$C$4999,2,FALSE),"")</f>
        <v>CADASTRO</v>
      </c>
      <c r="C30" s="76" t="str">
        <f>IFERROR(VLOOKUP($A30,EVENTO!$A$2:$C$4999,3,FALSE),"")</f>
        <v>CMFOR </v>
      </c>
      <c r="D30" s="78" t="s">
        <v>1386</v>
      </c>
      <c r="E30" s="82" t="s">
        <v>1387</v>
      </c>
      <c r="F30" s="78">
        <v>14.0</v>
      </c>
      <c r="G30" s="80"/>
    </row>
    <row r="31">
      <c r="A31" s="6">
        <v>10.0</v>
      </c>
      <c r="B31" s="76" t="str">
        <f>IFERROR(VLOOKUP($A31,EVENTO!$A$2:$C$4999,2,FALSE),"")</f>
        <v>CADASTRO</v>
      </c>
      <c r="C31" s="76" t="str">
        <f>IFERROR(VLOOKUP($A31,EVENTO!$A$2:$C$4999,3,FALSE),"")</f>
        <v>CMFOR </v>
      </c>
      <c r="D31" s="78" t="s">
        <v>1388</v>
      </c>
      <c r="E31" s="82" t="s">
        <v>1389</v>
      </c>
      <c r="F31" s="78">
        <v>3.0</v>
      </c>
      <c r="G31" s="80"/>
    </row>
    <row r="32">
      <c r="A32" s="6">
        <v>13.0</v>
      </c>
      <c r="B32" s="76" t="str">
        <f>IFERROR(VLOOKUP($A32,EVENTO!$A$2:$C$4999,2,FALSE),"")</f>
        <v>CADASTRO</v>
      </c>
      <c r="C32" s="76" t="str">
        <f>IFERROR(VLOOKUP($A32,EVENTO!$A$2:$C$4999,3,FALSE),"")</f>
        <v>ESCOLA DE APRENDIZEM  DE MARINHEIROS DO CEARÁ </v>
      </c>
      <c r="D32" s="81" t="s">
        <v>1382</v>
      </c>
      <c r="E32" s="6" t="s">
        <v>1390</v>
      </c>
      <c r="F32" s="78">
        <v>2.0</v>
      </c>
      <c r="G32" s="80"/>
    </row>
    <row r="33">
      <c r="A33" s="6">
        <v>15.0</v>
      </c>
      <c r="B33" s="76" t="str">
        <f>IFERROR(VLOOKUP($A33,EVENTO!$A$2:$C$4999,2,FALSE),"")</f>
        <v>CADASTRO</v>
      </c>
      <c r="C33" s="76" t="str">
        <f>IFERROR(VLOOKUP($A33,EVENTO!$A$2:$C$4999,3,FALSE),"")</f>
        <v>UFC</v>
      </c>
      <c r="D33" s="81" t="s">
        <v>1380</v>
      </c>
      <c r="E33" s="6" t="s">
        <v>1381</v>
      </c>
      <c r="F33" s="78">
        <v>149.0</v>
      </c>
      <c r="G33" s="80"/>
    </row>
    <row r="34">
      <c r="A34" s="6">
        <v>15.0</v>
      </c>
      <c r="B34" s="76" t="str">
        <f>IFERROR(VLOOKUP($A34,EVENTO!$A$2:$C$4999,2,FALSE),"")</f>
        <v>CADASTRO</v>
      </c>
      <c r="C34" s="76" t="str">
        <f>IFERROR(VLOOKUP($A34,EVENTO!$A$2:$C$4999,3,FALSE),"")</f>
        <v>UFC</v>
      </c>
      <c r="D34" s="81" t="s">
        <v>1382</v>
      </c>
      <c r="E34" s="6" t="s">
        <v>1383</v>
      </c>
      <c r="F34" s="78">
        <v>1.0</v>
      </c>
      <c r="G34" s="80"/>
    </row>
    <row r="35">
      <c r="A35" s="6">
        <v>15.0</v>
      </c>
      <c r="B35" s="76" t="str">
        <f>IFERROR(VLOOKUP($A35,EVENTO!$A$2:$C$4999,2,FALSE),"")</f>
        <v>CADASTRO</v>
      </c>
      <c r="C35" s="76" t="str">
        <f>IFERROR(VLOOKUP($A35,EVENTO!$A$2:$C$4999,3,FALSE),"")</f>
        <v>UFC</v>
      </c>
      <c r="D35" s="81" t="s">
        <v>1384</v>
      </c>
      <c r="E35" s="6" t="s">
        <v>1385</v>
      </c>
      <c r="F35" s="78">
        <v>5.0</v>
      </c>
      <c r="G35" s="80"/>
    </row>
    <row r="36">
      <c r="A36" s="6">
        <v>18.0</v>
      </c>
      <c r="B36" s="76" t="str">
        <f>IFERROR(VLOOKUP($A36,EVENTO!$A$2:$C$4999,2,FALSE),"")</f>
        <v>CADASTRO</v>
      </c>
      <c r="C36" s="76" t="str">
        <f>IFERROR(VLOOKUP($A36,EVENTO!$A$2:$C$4999,3,FALSE),"")</f>
        <v>IFCE CAMOCIM</v>
      </c>
      <c r="D36" s="81" t="s">
        <v>1380</v>
      </c>
      <c r="E36" s="6" t="s">
        <v>1381</v>
      </c>
      <c r="F36" s="78">
        <v>3.0</v>
      </c>
      <c r="G36" s="80"/>
    </row>
    <row r="37">
      <c r="A37" s="6">
        <v>18.0</v>
      </c>
      <c r="B37" s="76" t="str">
        <f>IFERROR(VLOOKUP($A37,EVENTO!$A$2:$C$4999,2,FALSE),"")</f>
        <v>CADASTRO</v>
      </c>
      <c r="C37" s="76" t="str">
        <f>IFERROR(VLOOKUP($A37,EVENTO!$A$2:$C$4999,3,FALSE),"")</f>
        <v>IFCE CAMOCIM</v>
      </c>
      <c r="D37" s="81" t="s">
        <v>1382</v>
      </c>
      <c r="E37" s="6" t="s">
        <v>1383</v>
      </c>
      <c r="F37" s="78">
        <v>1.0</v>
      </c>
      <c r="G37" s="80"/>
    </row>
    <row r="38">
      <c r="A38" s="6">
        <v>20.0</v>
      </c>
      <c r="B38" s="76" t="str">
        <f>IFERROR(VLOOKUP($A38,EVENTO!$A$2:$C$4999,2,FALSE),"")</f>
        <v>CADASTRO</v>
      </c>
      <c r="C38" s="76" t="str">
        <f>IFERROR(VLOOKUP($A38,EVENTO!$A$2:$C$4999,3,FALSE),"")</f>
        <v>IFCE CAUCAIA</v>
      </c>
      <c r="D38" s="81" t="s">
        <v>1380</v>
      </c>
      <c r="E38" s="6" t="s">
        <v>1381</v>
      </c>
      <c r="F38" s="78">
        <v>5.0</v>
      </c>
      <c r="G38" s="80"/>
    </row>
    <row r="39">
      <c r="A39" s="6">
        <v>23.0</v>
      </c>
      <c r="B39" s="76" t="str">
        <f>IFERROR(VLOOKUP($A39,EVENTO!$A$2:$C$4999,2,FALSE),"")</f>
        <v>CADASTRO</v>
      </c>
      <c r="C39" s="76" t="str">
        <f>IFERROR(VLOOKUP($A39,EVENTO!$A$2:$C$4999,3,FALSE),"")</f>
        <v>IFCE ITAPIPOCA</v>
      </c>
      <c r="D39" s="81" t="s">
        <v>1380</v>
      </c>
      <c r="E39" s="6" t="s">
        <v>1381</v>
      </c>
      <c r="F39" s="78">
        <v>3.0</v>
      </c>
      <c r="G39" s="80"/>
    </row>
    <row r="40">
      <c r="A40" s="6">
        <v>23.0</v>
      </c>
      <c r="B40" s="76" t="str">
        <f>IFERROR(VLOOKUP($A40,EVENTO!$A$2:$C$4999,2,FALSE),"")</f>
        <v>CADASTRO</v>
      </c>
      <c r="C40" s="76" t="str">
        <f>IFERROR(VLOOKUP($A40,EVENTO!$A$2:$C$4999,3,FALSE),"")</f>
        <v>IFCE ITAPIPOCA</v>
      </c>
      <c r="D40" s="81" t="s">
        <v>1382</v>
      </c>
      <c r="E40" s="6" t="s">
        <v>1383</v>
      </c>
      <c r="F40" s="78">
        <v>1.0</v>
      </c>
      <c r="G40" s="80"/>
    </row>
    <row r="41">
      <c r="A41" s="6">
        <v>23.0</v>
      </c>
      <c r="B41" s="76" t="str">
        <f>IFERROR(VLOOKUP($A41,EVENTO!$A$2:$C$4999,2,FALSE),"")</f>
        <v>CADASTRO</v>
      </c>
      <c r="C41" s="76" t="str">
        <f>IFERROR(VLOOKUP($A41,EVENTO!$A$2:$C$4999,3,FALSE),"")</f>
        <v>IFCE ITAPIPOCA</v>
      </c>
      <c r="D41" s="81" t="s">
        <v>1384</v>
      </c>
      <c r="E41" s="6" t="s">
        <v>1385</v>
      </c>
      <c r="F41" s="78">
        <v>1.0</v>
      </c>
      <c r="G41" s="80"/>
    </row>
    <row r="42">
      <c r="A42" s="6">
        <v>25.0</v>
      </c>
      <c r="B42" s="76" t="str">
        <f>IFERROR(VLOOKUP($A42,EVENTO!$A$2:$C$4999,2,FALSE),"")</f>
        <v>CADASTRO</v>
      </c>
      <c r="C42" s="76" t="str">
        <f>IFERROR(VLOOKUP($A42,EVENTO!$A$2:$C$4999,3,FALSE),"")</f>
        <v>IFCE PARACURU </v>
      </c>
      <c r="D42" s="81" t="s">
        <v>1380</v>
      </c>
      <c r="E42" s="6" t="s">
        <v>1381</v>
      </c>
      <c r="F42" s="78">
        <v>1.0</v>
      </c>
      <c r="G42" s="80"/>
    </row>
    <row r="43">
      <c r="A43" s="6">
        <v>25.0</v>
      </c>
      <c r="B43" s="76" t="str">
        <f>IFERROR(VLOOKUP($A43,EVENTO!$A$2:$C$4999,2,FALSE),"")</f>
        <v>CADASTRO</v>
      </c>
      <c r="C43" s="76" t="str">
        <f>IFERROR(VLOOKUP($A43,EVENTO!$A$2:$C$4999,3,FALSE),"")</f>
        <v>IFCE PARACURU </v>
      </c>
      <c r="D43" s="81" t="s">
        <v>1382</v>
      </c>
      <c r="E43" s="6" t="s">
        <v>1391</v>
      </c>
      <c r="F43" s="78">
        <v>1.0</v>
      </c>
      <c r="G43" s="80"/>
    </row>
    <row r="44">
      <c r="A44" s="6">
        <v>27.0</v>
      </c>
      <c r="B44" s="76" t="str">
        <f>IFERROR(VLOOKUP($A44,EVENTO!$A$2:$C$4999,2,FALSE),"")</f>
        <v>CADASTRO</v>
      </c>
      <c r="C44" s="76" t="str">
        <f>IFERROR(VLOOKUP($A44,EVENTO!$A$2:$C$4999,3,FALSE),"")</f>
        <v>IFCE JUAZEIRO DO NORTE</v>
      </c>
      <c r="D44" s="81" t="s">
        <v>1380</v>
      </c>
      <c r="E44" s="6" t="s">
        <v>1381</v>
      </c>
      <c r="F44" s="78">
        <v>7.0</v>
      </c>
      <c r="G44" s="80"/>
    </row>
    <row r="45">
      <c r="A45" s="6">
        <v>27.0</v>
      </c>
      <c r="B45" s="76" t="str">
        <f>IFERROR(VLOOKUP($A45,EVENTO!$A$2:$C$4999,2,FALSE),"")</f>
        <v>CADASTRO</v>
      </c>
      <c r="C45" s="76" t="str">
        <f>IFERROR(VLOOKUP($A45,EVENTO!$A$2:$C$4999,3,FALSE),"")</f>
        <v>IFCE JUAZEIRO DO NORTE</v>
      </c>
      <c r="D45" s="81" t="s">
        <v>1380</v>
      </c>
      <c r="E45" s="6" t="s">
        <v>1391</v>
      </c>
      <c r="F45" s="78">
        <v>1.0</v>
      </c>
      <c r="G45" s="80"/>
    </row>
    <row r="46">
      <c r="A46" s="6">
        <v>27.0</v>
      </c>
      <c r="B46" s="76" t="str">
        <f>IFERROR(VLOOKUP($A46,EVENTO!$A$2:$C$4999,2,FALSE),"")</f>
        <v>CADASTRO</v>
      </c>
      <c r="C46" s="76" t="str">
        <f>IFERROR(VLOOKUP($A46,EVENTO!$A$2:$C$4999,3,FALSE),"")</f>
        <v>IFCE JUAZEIRO DO NORTE</v>
      </c>
      <c r="D46" s="81" t="s">
        <v>1384</v>
      </c>
      <c r="E46" s="6" t="s">
        <v>1385</v>
      </c>
      <c r="F46" s="78">
        <v>1.0</v>
      </c>
      <c r="G46" s="80"/>
    </row>
    <row r="47">
      <c r="A47" s="6">
        <v>29.0</v>
      </c>
      <c r="B47" s="76" t="str">
        <f>IFERROR(VLOOKUP($A47,EVENTO!$A$2:$C$4999,2,FALSE),"")</f>
        <v>CADASTRO</v>
      </c>
      <c r="C47" s="76" t="str">
        <f>IFERROR(VLOOKUP($A47,EVENTO!$A$2:$C$4999,3,FALSE),"")</f>
        <v>MINISTÉRIO DA AGRICULTURA E PECUÁRIA/SUPERINTENDÊNCIA FEDERAL DE AGRICULTURA E PECUÁRIA NO PARANÁ (SFA-PR/MAPA)</v>
      </c>
      <c r="D47" s="81" t="s">
        <v>1380</v>
      </c>
      <c r="E47" s="6" t="s">
        <v>1392</v>
      </c>
      <c r="F47" s="78">
        <v>11.0</v>
      </c>
      <c r="G47" s="79"/>
    </row>
    <row r="48">
      <c r="A48" s="6">
        <v>30.0</v>
      </c>
      <c r="B48" s="76" t="str">
        <f>IFERROR(VLOOKUP($A48,EVENTO!$A$2:$C$4999,2,FALSE),"")</f>
        <v>CADASTRO</v>
      </c>
      <c r="C48" s="76" t="str">
        <f>IFERROR(VLOOKUP($A48,EVENTO!$A$2:$C$4999,3,FALSE),"")</f>
        <v>CAPITANIA DOS PORTOS DE SERGIPE</v>
      </c>
      <c r="D48" s="81" t="s">
        <v>1380</v>
      </c>
      <c r="E48" s="6" t="s">
        <v>1381</v>
      </c>
      <c r="F48" s="78">
        <v>9.0</v>
      </c>
      <c r="G48" s="79"/>
    </row>
    <row r="49">
      <c r="A49" s="6">
        <v>32.0</v>
      </c>
      <c r="B49" s="76" t="str">
        <f>IFERROR(VLOOKUP($A49,EVENTO!$A$2:$C$4999,2,FALSE),"")</f>
        <v>CADASTRO</v>
      </c>
      <c r="C49" s="76" t="str">
        <f>IFERROR(VLOOKUP($A49,EVENTO!$A$2:$C$4999,3,FALSE),"")</f>
        <v>IFRN CAMPUS CEARÁ-MIRIM</v>
      </c>
      <c r="D49" s="81" t="s">
        <v>1380</v>
      </c>
      <c r="E49" s="6" t="s">
        <v>1381</v>
      </c>
      <c r="F49" s="78">
        <v>8.0</v>
      </c>
      <c r="G49" s="79"/>
    </row>
    <row r="50">
      <c r="A50" s="6">
        <v>32.0</v>
      </c>
      <c r="B50" s="76" t="str">
        <f>IFERROR(VLOOKUP($A50,EVENTO!$A$2:$C$4999,2,FALSE),"")</f>
        <v>CADASTRO</v>
      </c>
      <c r="C50" s="76" t="str">
        <f>IFERROR(VLOOKUP($A50,EVENTO!$A$2:$C$4999,3,FALSE),"")</f>
        <v>IFRN CAMPUS CEARÁ-MIRIM</v>
      </c>
      <c r="D50" s="81" t="s">
        <v>1382</v>
      </c>
      <c r="E50" s="6" t="s">
        <v>1383</v>
      </c>
      <c r="F50" s="78">
        <v>0.0</v>
      </c>
      <c r="G50" s="79"/>
    </row>
    <row r="51">
      <c r="A51" s="6">
        <v>32.0</v>
      </c>
      <c r="B51" s="76" t="str">
        <f>IFERROR(VLOOKUP($A51,EVENTO!$A$2:$C$4999,2,FALSE),"")</f>
        <v>CADASTRO</v>
      </c>
      <c r="C51" s="76" t="str">
        <f>IFERROR(VLOOKUP($A51,EVENTO!$A$2:$C$4999,3,FALSE),"")</f>
        <v>IFRN CAMPUS CEARÁ-MIRIM</v>
      </c>
      <c r="D51" s="81" t="s">
        <v>1384</v>
      </c>
      <c r="E51" s="6" t="s">
        <v>1385</v>
      </c>
      <c r="F51" s="78">
        <v>1.0</v>
      </c>
      <c r="G51" s="79"/>
    </row>
    <row r="52">
      <c r="A52" s="6">
        <v>34.0</v>
      </c>
      <c r="B52" s="76" t="str">
        <f>IFERROR(VLOOKUP($A52,EVENTO!$A$2:$C$4999,2,FALSE),"")</f>
        <v>CADASTRO</v>
      </c>
      <c r="C52" s="76" t="str">
        <f>IFERROR(VLOOKUP($A52,EVENTO!$A$2:$C$4999,3,FALSE),"")</f>
        <v>IFRN CAMPUS NATAL</v>
      </c>
      <c r="D52" s="81" t="s">
        <v>1380</v>
      </c>
      <c r="E52" s="6" t="s">
        <v>1381</v>
      </c>
      <c r="F52" s="78">
        <v>6.0</v>
      </c>
      <c r="G52" s="79"/>
    </row>
    <row r="53">
      <c r="A53" s="6">
        <v>34.0</v>
      </c>
      <c r="B53" s="76" t="str">
        <f>IFERROR(VLOOKUP($A53,EVENTO!$A$2:$C$4999,2,FALSE),"")</f>
        <v>CADASTRO</v>
      </c>
      <c r="C53" s="76" t="str">
        <f>IFERROR(VLOOKUP($A53,EVENTO!$A$2:$C$4999,3,FALSE),"")</f>
        <v>IFRN CAMPUS NATAL</v>
      </c>
      <c r="D53" s="81" t="s">
        <v>1382</v>
      </c>
      <c r="E53" s="6" t="s">
        <v>1383</v>
      </c>
      <c r="F53" s="78">
        <v>1.0</v>
      </c>
      <c r="G53" s="79"/>
    </row>
    <row r="54">
      <c r="A54" s="6">
        <v>34.0</v>
      </c>
      <c r="B54" s="76" t="str">
        <f>IFERROR(VLOOKUP($A54,EVENTO!$A$2:$C$4999,2,FALSE),"")</f>
        <v>CADASTRO</v>
      </c>
      <c r="C54" s="76" t="str">
        <f>IFERROR(VLOOKUP($A54,EVENTO!$A$2:$C$4999,3,FALSE),"")</f>
        <v>IFRN CAMPUS NATAL</v>
      </c>
      <c r="D54" s="81" t="s">
        <v>1384</v>
      </c>
      <c r="E54" s="6" t="s">
        <v>1385</v>
      </c>
      <c r="F54" s="78">
        <v>1.0</v>
      </c>
      <c r="G54" s="79"/>
    </row>
    <row r="55">
      <c r="A55" s="6">
        <v>36.0</v>
      </c>
      <c r="B55" s="76" t="str">
        <f>IFERROR(VLOOKUP($A55,EVENTO!$A$2:$C$4999,2,FALSE),"")</f>
        <v>CADASTRO</v>
      </c>
      <c r="C55" s="76" t="str">
        <f>IFERROR(VLOOKUP($A55,EVENTO!$A$2:$C$4999,3,FALSE),"")</f>
        <v>TRE RJ</v>
      </c>
      <c r="D55" s="81" t="s">
        <v>1393</v>
      </c>
      <c r="E55" s="6" t="s">
        <v>1394</v>
      </c>
      <c r="F55" s="78">
        <v>60.0</v>
      </c>
      <c r="G55" s="79">
        <v>224.93</v>
      </c>
    </row>
    <row r="56">
      <c r="A56" s="6">
        <v>36.0</v>
      </c>
      <c r="B56" s="76" t="str">
        <f>IFERROR(VLOOKUP($A56,EVENTO!$A$2:$C$4999,2,FALSE),"")</f>
        <v>CADASTRO</v>
      </c>
      <c r="C56" s="76" t="str">
        <f>IFERROR(VLOOKUP($A56,EVENTO!$A$2:$C$4999,3,FALSE),"")</f>
        <v>TRE RJ</v>
      </c>
      <c r="D56" s="81" t="s">
        <v>1395</v>
      </c>
      <c r="E56" s="6" t="s">
        <v>1396</v>
      </c>
      <c r="F56" s="78">
        <v>110.0</v>
      </c>
      <c r="G56" s="79">
        <v>203.94</v>
      </c>
    </row>
    <row r="57">
      <c r="A57" s="6">
        <v>36.0</v>
      </c>
      <c r="B57" s="76" t="str">
        <f>IFERROR(VLOOKUP($A57,EVENTO!$A$2:$C$4999,2,FALSE),"")</f>
        <v>CADASTRO</v>
      </c>
      <c r="C57" s="76" t="str">
        <f>IFERROR(VLOOKUP($A57,EVENTO!$A$2:$C$4999,3,FALSE),"")</f>
        <v>TRE RJ</v>
      </c>
      <c r="D57" s="81" t="s">
        <v>1397</v>
      </c>
      <c r="E57" s="6" t="s">
        <v>1398</v>
      </c>
      <c r="F57" s="78">
        <v>4.0</v>
      </c>
      <c r="G57" s="79">
        <v>763.6</v>
      </c>
    </row>
    <row r="58">
      <c r="A58" s="6">
        <v>36.0</v>
      </c>
      <c r="B58" s="76" t="str">
        <f>IFERROR(VLOOKUP($A58,EVENTO!$A$2:$C$4999,2,FALSE),"")</f>
        <v>CADASTRO</v>
      </c>
      <c r="C58" s="76" t="str">
        <f>IFERROR(VLOOKUP($A58,EVENTO!$A$2:$C$4999,3,FALSE),"")</f>
        <v>TRE RJ</v>
      </c>
      <c r="D58" s="81" t="s">
        <v>1399</v>
      </c>
      <c r="E58" s="6" t="s">
        <v>1396</v>
      </c>
      <c r="F58" s="78">
        <v>40.0</v>
      </c>
      <c r="G58" s="79">
        <v>219.2</v>
      </c>
    </row>
    <row r="59">
      <c r="A59" s="6">
        <v>36.0</v>
      </c>
      <c r="B59" s="76" t="str">
        <f>IFERROR(VLOOKUP($A59,EVENTO!$A$2:$C$4999,2,FALSE),"")</f>
        <v>CADASTRO</v>
      </c>
      <c r="C59" s="76" t="str">
        <f>IFERROR(VLOOKUP($A59,EVENTO!$A$2:$C$4999,3,FALSE),"")</f>
        <v>TRE RJ</v>
      </c>
      <c r="D59" s="81" t="s">
        <v>1400</v>
      </c>
      <c r="E59" s="6" t="s">
        <v>1401</v>
      </c>
      <c r="F59" s="78">
        <v>1.0</v>
      </c>
      <c r="G59" s="79">
        <v>276.42</v>
      </c>
    </row>
    <row r="60">
      <c r="A60" s="6">
        <v>37.0</v>
      </c>
      <c r="B60" s="76" t="str">
        <f>IFERROR(VLOOKUP($A60,EVENTO!$A$2:$C$4999,2,FALSE),"")</f>
        <v>CADASTRO</v>
      </c>
      <c r="C60" s="76" t="str">
        <f>IFERROR(VLOOKUP($A60,EVENTO!$A$2:$C$4999,3,FALSE),"")</f>
        <v>DELEGACIA DA CAPITANIA DE SÃO FRANCISCO DO SUL </v>
      </c>
      <c r="D60" s="81" t="s">
        <v>1380</v>
      </c>
      <c r="E60" s="6" t="s">
        <v>1402</v>
      </c>
      <c r="F60" s="78">
        <v>4.0</v>
      </c>
      <c r="G60" s="79"/>
    </row>
    <row r="61">
      <c r="A61" s="6">
        <v>37.0</v>
      </c>
      <c r="B61" s="76" t="str">
        <f>IFERROR(VLOOKUP($A61,EVENTO!$A$2:$C$4999,2,FALSE),"")</f>
        <v>CADASTRO</v>
      </c>
      <c r="C61" s="76" t="str">
        <f>IFERROR(VLOOKUP($A61,EVENTO!$A$2:$C$4999,3,FALSE),"")</f>
        <v>DELEGACIA DA CAPITANIA DE SÃO FRANCISCO DO SUL </v>
      </c>
      <c r="D61" s="81" t="s">
        <v>1382</v>
      </c>
      <c r="E61" s="6" t="s">
        <v>1403</v>
      </c>
      <c r="F61" s="78">
        <v>1.0</v>
      </c>
      <c r="G61" s="79"/>
    </row>
    <row r="62">
      <c r="A62" s="6">
        <v>38.0</v>
      </c>
      <c r="B62" s="76" t="str">
        <f>IFERROR(VLOOKUP($A62,EVENTO!$A$2:$C$4999,2,FALSE),"")</f>
        <v>CADASTRO</v>
      </c>
      <c r="C62" s="76" t="str">
        <f>IFERROR(VLOOKUP($A62,EVENTO!$A$2:$C$4999,3,FALSE),"")</f>
        <v>DELEGACIA DA CAPITANIA DOS PORTOS EM ITAJAÍ </v>
      </c>
      <c r="D62" s="81" t="s">
        <v>1380</v>
      </c>
      <c r="E62" s="6" t="s">
        <v>1404</v>
      </c>
      <c r="F62" s="78">
        <v>6.0</v>
      </c>
      <c r="G62" s="79"/>
    </row>
    <row r="63">
      <c r="A63" s="6">
        <v>38.0</v>
      </c>
      <c r="B63" s="76" t="str">
        <f>IFERROR(VLOOKUP($A63,EVENTO!$A$2:$C$4999,2,FALSE),"")</f>
        <v>CADASTRO</v>
      </c>
      <c r="C63" s="76" t="str">
        <f>IFERROR(VLOOKUP($A63,EVENTO!$A$2:$C$4999,3,FALSE),"")</f>
        <v>DELEGACIA DA CAPITANIA DOS PORTOS EM ITAJAÍ </v>
      </c>
      <c r="D63" s="81" t="s">
        <v>1382</v>
      </c>
      <c r="E63" s="6" t="s">
        <v>1405</v>
      </c>
      <c r="F63" s="78">
        <v>1.0</v>
      </c>
      <c r="G63" s="79"/>
    </row>
    <row r="64">
      <c r="A64" s="6">
        <v>39.0</v>
      </c>
      <c r="B64" s="76" t="str">
        <f>IFERROR(VLOOKUP($A64,EVENTO!$A$2:$C$4999,2,FALSE),"")</f>
        <v>CADASTRO</v>
      </c>
      <c r="C64" s="76" t="str">
        <f>IFERROR(VLOOKUP($A64,EVENTO!$A$2:$C$4999,3,FALSE),"")</f>
        <v>SUPERINTENDÊNCIA FEDERAL DE AGRICULTURA E PECUARIA NO ESTADO DE SANTA CATARINA - SFA-SC</v>
      </c>
      <c r="D64" s="81" t="s">
        <v>1380</v>
      </c>
      <c r="E64" s="6" t="s">
        <v>1406</v>
      </c>
      <c r="F64" s="78">
        <v>28.0</v>
      </c>
      <c r="G64" s="79"/>
    </row>
    <row r="65">
      <c r="A65" s="6">
        <v>39.0</v>
      </c>
      <c r="B65" s="76" t="str">
        <f>IFERROR(VLOOKUP($A65,EVENTO!$A$2:$C$4999,2,FALSE),"")</f>
        <v>CADASTRO</v>
      </c>
      <c r="C65" s="76" t="str">
        <f>IFERROR(VLOOKUP($A65,EVENTO!$A$2:$C$4999,3,FALSE),"")</f>
        <v>SUPERINTENDÊNCIA FEDERAL DE AGRICULTURA E PECUARIA NO ESTADO DE SANTA CATARINA - SFA-SC</v>
      </c>
      <c r="D65" s="81" t="s">
        <v>1382</v>
      </c>
      <c r="E65" s="6" t="s">
        <v>1407</v>
      </c>
      <c r="F65" s="78">
        <v>4.0</v>
      </c>
      <c r="G65" s="79"/>
    </row>
    <row r="66">
      <c r="A66" s="6">
        <v>40.0</v>
      </c>
      <c r="B66" s="76" t="str">
        <f>IFERROR(VLOOKUP($A66,EVENTO!$A$2:$C$4999,2,FALSE),"")</f>
        <v>CADASTRO</v>
      </c>
      <c r="C66" s="76" t="str">
        <f>IFERROR(VLOOKUP($A66,EVENTO!$A$2:$C$4999,3,FALSE),"")</f>
        <v>UFSC</v>
      </c>
      <c r="D66" s="81" t="s">
        <v>1380</v>
      </c>
      <c r="E66" s="6" t="s">
        <v>1408</v>
      </c>
      <c r="F66" s="78">
        <v>375.0</v>
      </c>
      <c r="G66" s="79"/>
    </row>
    <row r="67">
      <c r="A67" s="6">
        <v>40.0</v>
      </c>
      <c r="B67" s="76" t="str">
        <f>IFERROR(VLOOKUP($A67,EVENTO!$A$2:$C$4999,2,FALSE),"")</f>
        <v>CADASTRO</v>
      </c>
      <c r="C67" s="76" t="str">
        <f>IFERROR(VLOOKUP($A67,EVENTO!$A$2:$C$4999,3,FALSE),"")</f>
        <v>UFSC</v>
      </c>
      <c r="D67" s="81" t="s">
        <v>1409</v>
      </c>
      <c r="E67" s="6" t="s">
        <v>1410</v>
      </c>
      <c r="F67" s="78">
        <v>3.0</v>
      </c>
      <c r="G67" s="79"/>
    </row>
    <row r="68">
      <c r="A68" s="6">
        <v>40.0</v>
      </c>
      <c r="B68" s="76" t="str">
        <f>IFERROR(VLOOKUP($A68,EVENTO!$A$2:$C$4999,2,FALSE),"")</f>
        <v>CADASTRO</v>
      </c>
      <c r="C68" s="76" t="str">
        <f>IFERROR(VLOOKUP($A68,EVENTO!$A$2:$C$4999,3,FALSE),"")</f>
        <v>UFSC</v>
      </c>
      <c r="D68" s="81" t="s">
        <v>1382</v>
      </c>
      <c r="E68" s="6" t="s">
        <v>1411</v>
      </c>
      <c r="F68" s="78">
        <v>28.0</v>
      </c>
      <c r="G68" s="79"/>
    </row>
    <row r="69">
      <c r="A69" s="6">
        <v>40.0</v>
      </c>
      <c r="B69" s="76" t="str">
        <f>IFERROR(VLOOKUP($A69,EVENTO!$A$2:$C$4999,2,FALSE),"")</f>
        <v>CADASTRO</v>
      </c>
      <c r="C69" s="76" t="str">
        <f>IFERROR(VLOOKUP($A69,EVENTO!$A$2:$C$4999,3,FALSE),"")</f>
        <v>UFSC</v>
      </c>
      <c r="D69" s="81" t="s">
        <v>1412</v>
      </c>
      <c r="E69" s="6" t="s">
        <v>1413</v>
      </c>
      <c r="F69" s="78">
        <v>36.0</v>
      </c>
      <c r="G69" s="79"/>
    </row>
    <row r="70">
      <c r="A70" s="6">
        <v>40.0</v>
      </c>
      <c r="B70" s="76" t="str">
        <f>IFERROR(VLOOKUP($A70,EVENTO!$A$2:$C$4999,2,FALSE),"")</f>
        <v>CADASTRO</v>
      </c>
      <c r="C70" s="76" t="str">
        <f>IFERROR(VLOOKUP($A70,EVENTO!$A$2:$C$4999,3,FALSE),"")</f>
        <v>UFSC</v>
      </c>
      <c r="D70" s="81" t="s">
        <v>1414</v>
      </c>
      <c r="E70" s="6" t="s">
        <v>1415</v>
      </c>
      <c r="F70" s="78">
        <v>2.0</v>
      </c>
      <c r="G70" s="79"/>
    </row>
    <row r="71">
      <c r="A71" s="6">
        <v>41.0</v>
      </c>
      <c r="B71" s="76" t="str">
        <f>IFERROR(VLOOKUP($A71,EVENTO!$A$2:$C$4999,2,FALSE),"")</f>
        <v>CADASTRO</v>
      </c>
      <c r="C71" s="76" t="str">
        <f>IFERROR(VLOOKUP($A71,EVENTO!$A$2:$C$4999,3,FALSE),"")</f>
        <v>BASE ADMINISTRATIVA DO QUARTEL-GENERAL DO EXÉRCITO</v>
      </c>
      <c r="D71" s="81" t="s">
        <v>1380</v>
      </c>
      <c r="E71" s="6" t="s">
        <v>1416</v>
      </c>
      <c r="F71" s="78">
        <v>16.0</v>
      </c>
      <c r="G71" s="79"/>
    </row>
    <row r="72">
      <c r="A72" s="6">
        <v>41.0</v>
      </c>
      <c r="B72" s="76" t="str">
        <f>IFERROR(VLOOKUP($A72,EVENTO!$A$2:$C$4999,2,FALSE),"")</f>
        <v>CADASTRO</v>
      </c>
      <c r="C72" s="76" t="str">
        <f>IFERROR(VLOOKUP($A72,EVENTO!$A$2:$C$4999,3,FALSE),"")</f>
        <v>BASE ADMINISTRATIVA DO QUARTEL-GENERAL DO EXÉRCITO</v>
      </c>
      <c r="D72" s="81" t="s">
        <v>1412</v>
      </c>
      <c r="E72" s="6" t="s">
        <v>1417</v>
      </c>
      <c r="F72" s="78">
        <v>2.0</v>
      </c>
      <c r="G72" s="79"/>
    </row>
    <row r="73">
      <c r="A73" s="6">
        <v>41.0</v>
      </c>
      <c r="B73" s="76" t="str">
        <f>IFERROR(VLOOKUP($A73,EVENTO!$A$2:$C$4999,2,FALSE),"")</f>
        <v>CADASTRO</v>
      </c>
      <c r="C73" s="76" t="str">
        <f>IFERROR(VLOOKUP($A73,EVENTO!$A$2:$C$4999,3,FALSE),"")</f>
        <v>BASE ADMINISTRATIVA DO QUARTEL-GENERAL DO EXÉRCITO</v>
      </c>
      <c r="D73" s="81" t="s">
        <v>1382</v>
      </c>
      <c r="E73" s="6" t="s">
        <v>1418</v>
      </c>
      <c r="F73" s="78">
        <v>7.0</v>
      </c>
      <c r="G73" s="79"/>
    </row>
    <row r="74">
      <c r="A74" s="6">
        <v>42.0</v>
      </c>
      <c r="B74" s="76" t="str">
        <f>IFERROR(VLOOKUP($A74,EVENTO!$A$2:$C$4999,2,FALSE),"")</f>
        <v>CADASTRO</v>
      </c>
      <c r="C74" s="76" t="str">
        <f>IFERROR(VLOOKUP($A74,EVENTO!$A$2:$C$4999,3,FALSE),"")</f>
        <v>MCID</v>
      </c>
      <c r="D74" s="81" t="s">
        <v>1380</v>
      </c>
      <c r="E74" s="6" t="s">
        <v>1419</v>
      </c>
      <c r="F74" s="78">
        <v>32.0</v>
      </c>
      <c r="G74" s="79"/>
    </row>
    <row r="75">
      <c r="A75" s="6">
        <v>42.0</v>
      </c>
      <c r="B75" s="76" t="str">
        <f>IFERROR(VLOOKUP($A75,EVENTO!$A$2:$C$4999,2,FALSE),"")</f>
        <v>CADASTRO</v>
      </c>
      <c r="C75" s="76" t="str">
        <f>IFERROR(VLOOKUP($A75,EVENTO!$A$2:$C$4999,3,FALSE),"")</f>
        <v>MCID</v>
      </c>
      <c r="D75" s="81" t="s">
        <v>1382</v>
      </c>
      <c r="E75" s="6" t="s">
        <v>1420</v>
      </c>
      <c r="F75" s="78">
        <v>15.0</v>
      </c>
      <c r="G75" s="79"/>
    </row>
    <row r="76">
      <c r="A76" s="6">
        <v>42.0</v>
      </c>
      <c r="B76" s="76" t="str">
        <f>IFERROR(VLOOKUP($A76,EVENTO!$A$2:$C$4999,2,FALSE),"")</f>
        <v>CADASTRO</v>
      </c>
      <c r="C76" s="76" t="str">
        <f>IFERROR(VLOOKUP($A76,EVENTO!$A$2:$C$4999,3,FALSE),"")</f>
        <v>MCID</v>
      </c>
      <c r="D76" s="81" t="s">
        <v>1412</v>
      </c>
      <c r="E76" s="6" t="s">
        <v>1421</v>
      </c>
      <c r="F76" s="78">
        <v>7.0</v>
      </c>
      <c r="G76" s="79"/>
    </row>
    <row r="77">
      <c r="A77" s="6">
        <v>43.0</v>
      </c>
      <c r="B77" s="76" t="str">
        <f>IFERROR(VLOOKUP($A77,EVENTO!$A$2:$C$4999,2,FALSE),"")</f>
        <v>CADASTRO</v>
      </c>
      <c r="C77" s="76" t="str">
        <f>IFERROR(VLOOKUP($A77,EVENTO!$A$2:$C$4999,3,FALSE),"")</f>
        <v>COTER</v>
      </c>
      <c r="D77" s="81" t="s">
        <v>1422</v>
      </c>
      <c r="E77" s="6" t="s">
        <v>1423</v>
      </c>
      <c r="F77" s="78">
        <v>2.0</v>
      </c>
      <c r="G77" s="79">
        <v>168.0</v>
      </c>
    </row>
    <row r="78">
      <c r="A78" s="6">
        <v>43.0</v>
      </c>
      <c r="B78" s="76" t="str">
        <f>IFERROR(VLOOKUP($A78,EVENTO!$A$2:$C$4999,2,FALSE),"")</f>
        <v>CADASTRO</v>
      </c>
      <c r="C78" s="76" t="str">
        <f>IFERROR(VLOOKUP($A78,EVENTO!$A$2:$C$4999,3,FALSE),"")</f>
        <v>COTER</v>
      </c>
      <c r="D78" s="81" t="s">
        <v>1380</v>
      </c>
      <c r="E78" s="6" t="s">
        <v>1424</v>
      </c>
      <c r="F78" s="78">
        <v>48.0</v>
      </c>
      <c r="G78" s="79">
        <v>104.91</v>
      </c>
    </row>
    <row r="79">
      <c r="A79" s="6">
        <v>43.0</v>
      </c>
      <c r="B79" s="76" t="str">
        <f>IFERROR(VLOOKUP($A79,EVENTO!$A$2:$C$4999,2,FALSE),"")</f>
        <v>CADASTRO</v>
      </c>
      <c r="C79" s="76" t="str">
        <f>IFERROR(VLOOKUP($A79,EVENTO!$A$2:$C$4999,3,FALSE),"")</f>
        <v>COTER</v>
      </c>
      <c r="D79" s="81" t="s">
        <v>1382</v>
      </c>
      <c r="E79" s="6" t="s">
        <v>1425</v>
      </c>
      <c r="F79" s="78">
        <v>8.0</v>
      </c>
      <c r="G79" s="79">
        <v>340.12</v>
      </c>
    </row>
    <row r="80">
      <c r="A80" s="6">
        <v>43.0</v>
      </c>
      <c r="B80" s="76" t="str">
        <f>IFERROR(VLOOKUP($A80,EVENTO!$A$2:$C$4999,2,FALSE),"")</f>
        <v>CADASTRO</v>
      </c>
      <c r="C80" s="76" t="str">
        <f>IFERROR(VLOOKUP($A80,EVENTO!$A$2:$C$4999,3,FALSE),"")</f>
        <v>COTER</v>
      </c>
      <c r="D80" s="81" t="s">
        <v>1412</v>
      </c>
      <c r="E80" s="6" t="s">
        <v>1426</v>
      </c>
      <c r="F80" s="78">
        <v>4.0</v>
      </c>
      <c r="G80" s="79">
        <v>359.5</v>
      </c>
    </row>
    <row r="81">
      <c r="A81" s="6">
        <v>44.0</v>
      </c>
      <c r="B81" s="76" t="str">
        <f>IFERROR(VLOOKUP($A81,EVENTO!$A$2:$C$4999,2,FALSE),"")</f>
        <v>ADITIVO DE QUANTIDADE</v>
      </c>
      <c r="C81" s="76" t="str">
        <f>IFERROR(VLOOKUP($A81,EVENTO!$A$2:$C$4999,3,FALSE),"")</f>
        <v>COTER</v>
      </c>
      <c r="D81" s="81" t="s">
        <v>1422</v>
      </c>
      <c r="E81" s="6" t="s">
        <v>1423</v>
      </c>
      <c r="F81" s="78">
        <v>2.0</v>
      </c>
      <c r="G81" s="79">
        <v>168.0</v>
      </c>
    </row>
    <row r="82">
      <c r="A82" s="6">
        <v>44.0</v>
      </c>
      <c r="B82" s="76" t="str">
        <f>IFERROR(VLOOKUP($A82,EVENTO!$A$2:$C$4999,2,FALSE),"")</f>
        <v>ADITIVO DE QUANTIDADE</v>
      </c>
      <c r="C82" s="76" t="str">
        <f>IFERROR(VLOOKUP($A82,EVENTO!$A$2:$C$4999,3,FALSE),"")</f>
        <v>COTER</v>
      </c>
      <c r="D82" s="81" t="s">
        <v>1380</v>
      </c>
      <c r="E82" s="6" t="s">
        <v>1424</v>
      </c>
      <c r="F82" s="78">
        <v>48.0</v>
      </c>
      <c r="G82" s="79">
        <v>104.91</v>
      </c>
    </row>
    <row r="83">
      <c r="A83" s="6">
        <v>44.0</v>
      </c>
      <c r="B83" s="76" t="str">
        <f>IFERROR(VLOOKUP($A83,EVENTO!$A$2:$C$4999,2,FALSE),"")</f>
        <v>ADITIVO DE QUANTIDADE</v>
      </c>
      <c r="C83" s="76" t="str">
        <f>IFERROR(VLOOKUP($A83,EVENTO!$A$2:$C$4999,3,FALSE),"")</f>
        <v>COTER</v>
      </c>
      <c r="D83" s="81" t="s">
        <v>1382</v>
      </c>
      <c r="E83" s="6" t="s">
        <v>1425</v>
      </c>
      <c r="F83" s="78">
        <v>9.0</v>
      </c>
      <c r="G83" s="79">
        <v>340.12</v>
      </c>
    </row>
    <row r="84">
      <c r="A84" s="6">
        <v>44.0</v>
      </c>
      <c r="B84" s="76" t="str">
        <f>IFERROR(VLOOKUP($A84,EVENTO!$A$2:$C$4999,2,FALSE),"")</f>
        <v>ADITIVO DE QUANTIDADE</v>
      </c>
      <c r="C84" s="76" t="str">
        <f>IFERROR(VLOOKUP($A84,EVENTO!$A$2:$C$4999,3,FALSE),"")</f>
        <v>COTER</v>
      </c>
      <c r="D84" s="81" t="s">
        <v>1412</v>
      </c>
      <c r="E84" s="6" t="s">
        <v>1426</v>
      </c>
      <c r="F84" s="78">
        <v>5.0</v>
      </c>
      <c r="G84" s="79">
        <v>359.5</v>
      </c>
    </row>
    <row r="85">
      <c r="A85" s="6">
        <v>45.0</v>
      </c>
      <c r="B85" s="76" t="str">
        <f>IFERROR(VLOOKUP($A85,EVENTO!$A$2:$C$4999,2,FALSE),"")</f>
        <v>CADASTRO</v>
      </c>
      <c r="C85" s="76" t="str">
        <f>IFERROR(VLOOKUP($A85,EVENTO!$A$2:$C$4999,3,FALSE),"")</f>
        <v>CONSELHO FEDERAL DE FARMÁCIA</v>
      </c>
      <c r="D85" s="81" t="s">
        <v>1380</v>
      </c>
      <c r="E85" s="6" t="s">
        <v>1427</v>
      </c>
      <c r="F85" s="78">
        <v>6.0</v>
      </c>
      <c r="G85" s="80"/>
    </row>
    <row r="86">
      <c r="A86" s="6">
        <v>45.0</v>
      </c>
      <c r="B86" s="76" t="str">
        <f>IFERROR(VLOOKUP($A86,EVENTO!$A$2:$C$4999,2,FALSE),"")</f>
        <v>CADASTRO</v>
      </c>
      <c r="C86" s="76" t="str">
        <f>IFERROR(VLOOKUP($A86,EVENTO!$A$2:$C$4999,3,FALSE),"")</f>
        <v>CONSELHO FEDERAL DE FARMÁCIA</v>
      </c>
      <c r="D86" s="81" t="s">
        <v>1382</v>
      </c>
      <c r="E86" s="6" t="s">
        <v>1428</v>
      </c>
      <c r="F86" s="78">
        <v>5.0</v>
      </c>
      <c r="G86" s="80"/>
    </row>
    <row r="87">
      <c r="A87" s="6">
        <v>46.0</v>
      </c>
      <c r="B87" s="76" t="str">
        <f>IFERROR(VLOOKUP($A87,EVENTO!$A$2:$C$4999,2,FALSE),"")</f>
        <v>CADASTRO</v>
      </c>
      <c r="C87" s="76" t="str">
        <f>IFERROR(VLOOKUP($A87,EVENTO!$A$2:$C$4999,3,FALSE),"")</f>
        <v>MCTI</v>
      </c>
      <c r="D87" s="81" t="s">
        <v>1380</v>
      </c>
      <c r="E87" s="6" t="s">
        <v>1429</v>
      </c>
      <c r="F87" s="78">
        <v>18.0</v>
      </c>
      <c r="G87" s="80"/>
    </row>
    <row r="88">
      <c r="A88" s="6">
        <v>46.0</v>
      </c>
      <c r="B88" s="76" t="str">
        <f>IFERROR(VLOOKUP($A88,EVENTO!$A$2:$C$4999,2,FALSE),"")</f>
        <v>CADASTRO</v>
      </c>
      <c r="C88" s="76" t="str">
        <f>IFERROR(VLOOKUP($A88,EVENTO!$A$2:$C$4999,3,FALSE),"")</f>
        <v>MCTI</v>
      </c>
      <c r="D88" s="81" t="s">
        <v>1382</v>
      </c>
      <c r="E88" s="6" t="s">
        <v>1430</v>
      </c>
      <c r="F88" s="78">
        <v>26.0</v>
      </c>
      <c r="G88" s="80"/>
    </row>
    <row r="89">
      <c r="A89" s="6">
        <v>46.0</v>
      </c>
      <c r="B89" s="76" t="str">
        <f>IFERROR(VLOOKUP($A89,EVENTO!$A$2:$C$4999,2,FALSE),"")</f>
        <v>CADASTRO</v>
      </c>
      <c r="C89" s="76" t="str">
        <f>IFERROR(VLOOKUP($A89,EVENTO!$A$2:$C$4999,3,FALSE),"")</f>
        <v>MCTI</v>
      </c>
      <c r="D89" s="81" t="s">
        <v>1431</v>
      </c>
      <c r="E89" s="6" t="s">
        <v>1432</v>
      </c>
      <c r="F89" s="78">
        <v>10.0</v>
      </c>
      <c r="G89" s="80"/>
    </row>
    <row r="90">
      <c r="A90" s="6">
        <v>47.0</v>
      </c>
      <c r="B90" s="76" t="str">
        <f>IFERROR(VLOOKUP($A90,EVENTO!$A$2:$C$4999,2,FALSE),"")</f>
        <v>CADASTRO</v>
      </c>
      <c r="C90" s="76" t="str">
        <f>IFERROR(VLOOKUP($A90,EVENTO!$A$2:$C$4999,3,FALSE),"")</f>
        <v>MTE </v>
      </c>
      <c r="D90" s="81" t="s">
        <v>1380</v>
      </c>
      <c r="E90" s="6" t="s">
        <v>1433</v>
      </c>
      <c r="F90" s="78">
        <v>766.0</v>
      </c>
      <c r="G90" s="80"/>
    </row>
    <row r="91">
      <c r="A91" s="6">
        <v>47.0</v>
      </c>
      <c r="B91" s="76" t="str">
        <f>IFERROR(VLOOKUP($A91,EVENTO!$A$2:$C$4999,2,FALSE),"")</f>
        <v>CADASTRO</v>
      </c>
      <c r="C91" s="76" t="str">
        <f>IFERROR(VLOOKUP($A91,EVENTO!$A$2:$C$4999,3,FALSE),"")</f>
        <v>MTE </v>
      </c>
      <c r="D91" s="81" t="s">
        <v>1382</v>
      </c>
      <c r="E91" s="6" t="s">
        <v>1434</v>
      </c>
      <c r="F91" s="78">
        <v>196.0</v>
      </c>
      <c r="G91" s="80"/>
    </row>
    <row r="92">
      <c r="A92" s="6">
        <v>47.0</v>
      </c>
      <c r="B92" s="76" t="str">
        <f>IFERROR(VLOOKUP($A92,EVENTO!$A$2:$C$4999,2,FALSE),"")</f>
        <v>CADASTRO</v>
      </c>
      <c r="C92" s="76" t="str">
        <f>IFERROR(VLOOKUP($A92,EVENTO!$A$2:$C$4999,3,FALSE),"")</f>
        <v>MTE </v>
      </c>
      <c r="D92" s="81" t="s">
        <v>1431</v>
      </c>
      <c r="E92" s="6" t="s">
        <v>1435</v>
      </c>
      <c r="F92" s="78">
        <v>60.0</v>
      </c>
      <c r="G92" s="80"/>
    </row>
    <row r="93">
      <c r="A93" s="6">
        <v>48.0</v>
      </c>
      <c r="B93" s="76" t="str">
        <f>IFERROR(VLOOKUP($A93,EVENTO!$A$2:$C$4999,2,FALSE),"")</f>
        <v>CADASTRO</v>
      </c>
      <c r="C93" s="76" t="str">
        <f>IFERROR(VLOOKUP($A93,EVENTO!$A$2:$C$4999,3,FALSE),"")</f>
        <v>MT </v>
      </c>
      <c r="D93" s="81" t="s">
        <v>1380</v>
      </c>
      <c r="E93" s="6" t="s">
        <v>1436</v>
      </c>
      <c r="F93" s="78">
        <v>50.0</v>
      </c>
      <c r="G93" s="80"/>
    </row>
    <row r="94">
      <c r="A94" s="6">
        <v>48.0</v>
      </c>
      <c r="B94" s="76" t="str">
        <f>IFERROR(VLOOKUP($A94,EVENTO!$A$2:$C$4999,2,FALSE),"")</f>
        <v>CADASTRO</v>
      </c>
      <c r="C94" s="76" t="str">
        <f>IFERROR(VLOOKUP($A94,EVENTO!$A$2:$C$4999,3,FALSE),"")</f>
        <v>MT </v>
      </c>
      <c r="D94" s="81" t="s">
        <v>1382</v>
      </c>
      <c r="E94" s="6" t="s">
        <v>1437</v>
      </c>
      <c r="F94" s="78">
        <v>20.0</v>
      </c>
      <c r="G94" s="80"/>
    </row>
    <row r="95">
      <c r="A95" s="6">
        <v>48.0</v>
      </c>
      <c r="B95" s="76" t="str">
        <f>IFERROR(VLOOKUP($A95,EVENTO!$A$2:$C$4999,2,FALSE),"")</f>
        <v>CADASTRO</v>
      </c>
      <c r="C95" s="76" t="str">
        <f>IFERROR(VLOOKUP($A95,EVENTO!$A$2:$C$4999,3,FALSE),"")</f>
        <v>MT </v>
      </c>
      <c r="D95" s="81" t="s">
        <v>1431</v>
      </c>
      <c r="E95" s="6" t="s">
        <v>1438</v>
      </c>
      <c r="F95" s="78">
        <v>11.0</v>
      </c>
      <c r="G95" s="80"/>
    </row>
    <row r="96">
      <c r="A96" s="6">
        <v>50.0</v>
      </c>
      <c r="B96" s="76" t="str">
        <f>IFERROR(VLOOKUP($A96,EVENTO!$A$2:$C$4999,2,FALSE),"")</f>
        <v>CADASTRO</v>
      </c>
      <c r="C96" s="76" t="str">
        <f>IFERROR(VLOOKUP($A96,EVENTO!$A$2:$C$4999,3,FALSE),"")</f>
        <v>MINISTÉRIO DA DEFESA - COMANDO DA AERONÁUTICA - GRUPAMENTO DE APOIO DE BRASÍLIA </v>
      </c>
      <c r="D96" s="81" t="s">
        <v>1380</v>
      </c>
      <c r="E96" s="6" t="s">
        <v>1439</v>
      </c>
      <c r="F96" s="78">
        <v>47.0</v>
      </c>
      <c r="G96" s="80"/>
    </row>
    <row r="97">
      <c r="A97" s="6">
        <v>50.0</v>
      </c>
      <c r="B97" s="76" t="str">
        <f>IFERROR(VLOOKUP($A97,EVENTO!$A$2:$C$4999,2,FALSE),"")</f>
        <v>CADASTRO</v>
      </c>
      <c r="C97" s="76" t="str">
        <f>IFERROR(VLOOKUP($A97,EVENTO!$A$2:$C$4999,3,FALSE),"")</f>
        <v>MINISTÉRIO DA DEFESA - COMANDO DA AERONÁUTICA - GRUPAMENTO DE APOIO DE BRASÍLIA </v>
      </c>
      <c r="D97" s="81" t="s">
        <v>1382</v>
      </c>
      <c r="E97" s="6" t="s">
        <v>1440</v>
      </c>
      <c r="F97" s="78">
        <v>73.0</v>
      </c>
      <c r="G97" s="80"/>
    </row>
    <row r="98">
      <c r="A98" s="6">
        <v>51.0</v>
      </c>
      <c r="B98" s="76" t="str">
        <f>IFERROR(VLOOKUP($A98,EVENTO!$A$2:$C$4999,2,FALSE),"")</f>
        <v>CADASTRO</v>
      </c>
      <c r="C98" s="76" t="str">
        <f>IFERROR(VLOOKUP($A98,EVENTO!$A$2:$C$4999,3,FALSE),"")</f>
        <v>COMANDO DA 8º REGIÃO MILITAR</v>
      </c>
      <c r="D98" s="81" t="s">
        <v>1380</v>
      </c>
      <c r="E98" s="6" t="s">
        <v>1441</v>
      </c>
      <c r="F98" s="78">
        <v>17.0</v>
      </c>
      <c r="G98" s="80"/>
    </row>
    <row r="99">
      <c r="A99" s="6">
        <v>51.0</v>
      </c>
      <c r="B99" s="76" t="str">
        <f>IFERROR(VLOOKUP($A99,EVENTO!$A$2:$C$4999,2,FALSE),"")</f>
        <v>CADASTRO</v>
      </c>
      <c r="C99" s="76" t="str">
        <f>IFERROR(VLOOKUP($A99,EVENTO!$A$2:$C$4999,3,FALSE),"")</f>
        <v>COMANDO DA 8º REGIÃO MILITAR</v>
      </c>
      <c r="D99" s="81" t="s">
        <v>1382</v>
      </c>
      <c r="E99" s="6" t="s">
        <v>1442</v>
      </c>
      <c r="F99" s="78">
        <v>6.0</v>
      </c>
      <c r="G99" s="80"/>
    </row>
    <row r="100">
      <c r="A100" s="6">
        <v>54.0</v>
      </c>
      <c r="B100" s="76" t="str">
        <f>IFERROR(VLOOKUP($A100,EVENTO!$A$2:$C$4999,2,FALSE),"")</f>
        <v>CADASTRO</v>
      </c>
      <c r="C100" s="76" t="str">
        <f>IFERROR(VLOOKUP($A100,EVENTO!$A$2:$C$4999,3,FALSE),"")</f>
        <v>HUJB</v>
      </c>
      <c r="D100" s="81" t="s">
        <v>1380</v>
      </c>
      <c r="E100" s="6" t="s">
        <v>1443</v>
      </c>
      <c r="F100" s="78">
        <v>18.0</v>
      </c>
      <c r="G100" s="80"/>
    </row>
    <row r="101">
      <c r="A101" s="6">
        <v>54.0</v>
      </c>
      <c r="B101" s="76" t="str">
        <f>IFERROR(VLOOKUP($A101,EVENTO!$A$2:$C$4999,2,FALSE),"")</f>
        <v>CADASTRO</v>
      </c>
      <c r="C101" s="76" t="str">
        <f>IFERROR(VLOOKUP($A101,EVENTO!$A$2:$C$4999,3,FALSE),"")</f>
        <v>HUJB</v>
      </c>
      <c r="D101" s="81" t="s">
        <v>1382</v>
      </c>
      <c r="E101" s="6" t="s">
        <v>1444</v>
      </c>
      <c r="F101" s="78">
        <v>1.0</v>
      </c>
      <c r="G101" s="80"/>
    </row>
    <row r="102">
      <c r="A102" s="6">
        <v>54.0</v>
      </c>
      <c r="B102" s="76" t="str">
        <f>IFERROR(VLOOKUP($A102,EVENTO!$A$2:$C$4999,2,FALSE),"")</f>
        <v>CADASTRO</v>
      </c>
      <c r="C102" s="76" t="str">
        <f>IFERROR(VLOOKUP($A102,EVENTO!$A$2:$C$4999,3,FALSE),"")</f>
        <v>HUJB</v>
      </c>
      <c r="D102" s="81" t="s">
        <v>1382</v>
      </c>
      <c r="E102" s="6" t="s">
        <v>1445</v>
      </c>
      <c r="F102" s="78">
        <v>1.0</v>
      </c>
      <c r="G102" s="80"/>
    </row>
    <row r="103">
      <c r="A103" s="6">
        <v>55.0</v>
      </c>
      <c r="B103" s="76" t="str">
        <f>IFERROR(VLOOKUP($A103,EVENTO!$A$2:$C$4999,2,FALSE),"")</f>
        <v>CADASTRO</v>
      </c>
      <c r="C103" s="76" t="str">
        <f>IFERROR(VLOOKUP($A103,EVENTO!$A$2:$C$4999,3,FALSE),"")</f>
        <v>HUAC</v>
      </c>
      <c r="D103" s="81" t="s">
        <v>1380</v>
      </c>
      <c r="E103" s="6" t="s">
        <v>1443</v>
      </c>
      <c r="F103" s="78">
        <v>51.0</v>
      </c>
      <c r="G103" s="80"/>
    </row>
    <row r="104">
      <c r="A104" s="6">
        <v>55.0</v>
      </c>
      <c r="B104" s="76" t="str">
        <f>IFERROR(VLOOKUP($A104,EVENTO!$A$2:$C$4999,2,FALSE),"")</f>
        <v>CADASTRO</v>
      </c>
      <c r="C104" s="76" t="str">
        <f>IFERROR(VLOOKUP($A104,EVENTO!$A$2:$C$4999,3,FALSE),"")</f>
        <v>HUAC</v>
      </c>
      <c r="D104" s="81" t="s">
        <v>1382</v>
      </c>
      <c r="E104" s="6" t="s">
        <v>1444</v>
      </c>
      <c r="F104" s="78">
        <v>1.0</v>
      </c>
      <c r="G104" s="80"/>
    </row>
    <row r="105">
      <c r="A105" s="6">
        <v>55.0</v>
      </c>
      <c r="B105" s="76" t="str">
        <f>IFERROR(VLOOKUP($A105,EVENTO!$A$2:$C$4999,2,FALSE),"")</f>
        <v>CADASTRO</v>
      </c>
      <c r="C105" s="76" t="str">
        <f>IFERROR(VLOOKUP($A105,EVENTO!$A$2:$C$4999,3,FALSE),"")</f>
        <v>HUAC</v>
      </c>
      <c r="D105" s="81" t="s">
        <v>1382</v>
      </c>
      <c r="E105" s="6" t="s">
        <v>1445</v>
      </c>
      <c r="F105" s="78">
        <v>1.0</v>
      </c>
      <c r="G105" s="80"/>
    </row>
    <row r="106">
      <c r="A106" s="6">
        <v>56.0</v>
      </c>
      <c r="B106" s="76" t="str">
        <f>IFERROR(VLOOKUP($A106,EVENTO!$A$2:$C$4999,2,FALSE),"")</f>
        <v>CADASTRO</v>
      </c>
      <c r="C106" s="76" t="str">
        <f>IFERROR(VLOOKUP($A106,EVENTO!$A$2:$C$4999,3,FALSE),"")</f>
        <v>HULW</v>
      </c>
      <c r="D106" s="81" t="s">
        <v>1380</v>
      </c>
      <c r="E106" s="6" t="s">
        <v>1443</v>
      </c>
      <c r="F106" s="78">
        <v>110.0</v>
      </c>
      <c r="G106" s="80"/>
    </row>
    <row r="107">
      <c r="A107" s="6">
        <v>56.0</v>
      </c>
      <c r="B107" s="76" t="str">
        <f>IFERROR(VLOOKUP($A107,EVENTO!$A$2:$C$4999,2,FALSE),"")</f>
        <v>CADASTRO</v>
      </c>
      <c r="C107" s="76" t="str">
        <f>IFERROR(VLOOKUP($A107,EVENTO!$A$2:$C$4999,3,FALSE),"")</f>
        <v>HULW</v>
      </c>
      <c r="D107" s="81" t="s">
        <v>1382</v>
      </c>
      <c r="E107" s="6" t="s">
        <v>1444</v>
      </c>
      <c r="F107" s="78">
        <v>3.0</v>
      </c>
      <c r="G107" s="80"/>
    </row>
    <row r="108">
      <c r="A108" s="6">
        <v>56.0</v>
      </c>
      <c r="B108" s="76" t="str">
        <f>IFERROR(VLOOKUP($A108,EVENTO!$A$2:$C$4999,2,FALSE),"")</f>
        <v>CADASTRO</v>
      </c>
      <c r="C108" s="76" t="str">
        <f>IFERROR(VLOOKUP($A108,EVENTO!$A$2:$C$4999,3,FALSE),"")</f>
        <v>HULW</v>
      </c>
      <c r="D108" s="81" t="s">
        <v>1382</v>
      </c>
      <c r="E108" s="6" t="s">
        <v>1445</v>
      </c>
      <c r="F108" s="78">
        <v>2.0</v>
      </c>
      <c r="G108" s="79"/>
    </row>
    <row r="109">
      <c r="A109" s="6">
        <v>57.0</v>
      </c>
      <c r="B109" s="76" t="str">
        <f>IFERROR(VLOOKUP($A109,EVENTO!$A$2:$C$4999,2,FALSE),"")</f>
        <v>CADASTRO</v>
      </c>
      <c r="C109" s="76" t="str">
        <f>IFERROR(VLOOKUP($A109,EVENTO!$A$2:$C$4999,3,FALSE),"")</f>
        <v>1o GRUPAMENTO DE ENGENHARIA</v>
      </c>
      <c r="D109" s="81" t="s">
        <v>1380</v>
      </c>
      <c r="E109" s="6" t="s">
        <v>1446</v>
      </c>
      <c r="F109" s="78">
        <v>25.0</v>
      </c>
      <c r="G109" s="79"/>
    </row>
    <row r="110">
      <c r="A110" s="6">
        <v>57.0</v>
      </c>
      <c r="B110" s="76" t="str">
        <f>IFERROR(VLOOKUP($A110,EVENTO!$A$2:$C$4999,2,FALSE),"")</f>
        <v>CADASTRO</v>
      </c>
      <c r="C110" s="76" t="str">
        <f>IFERROR(VLOOKUP($A110,EVENTO!$A$2:$C$4999,3,FALSE),"")</f>
        <v>1o GRUPAMENTO DE ENGENHARIA</v>
      </c>
      <c r="D110" s="81" t="s">
        <v>1382</v>
      </c>
      <c r="E110" s="6" t="s">
        <v>1447</v>
      </c>
      <c r="F110" s="78">
        <v>3.0</v>
      </c>
      <c r="G110" s="79"/>
    </row>
    <row r="111">
      <c r="A111" s="6">
        <v>58.0</v>
      </c>
      <c r="B111" s="76" t="str">
        <f>IFERROR(VLOOKUP($A111,EVENTO!$A$2:$C$4999,2,FALSE),"")</f>
        <v>ADITIVO DE QUANTIDADE</v>
      </c>
      <c r="C111" s="76" t="str">
        <f>IFERROR(VLOOKUP($A111,EVENTO!$A$2:$C$4999,3,FALSE),"")</f>
        <v>1o GRUPAMENTO DE ENGENHARIA</v>
      </c>
      <c r="D111" s="81" t="s">
        <v>1380</v>
      </c>
      <c r="E111" s="6" t="s">
        <v>1446</v>
      </c>
      <c r="F111" s="78">
        <v>26.0</v>
      </c>
      <c r="G111" s="79"/>
    </row>
    <row r="112">
      <c r="A112" s="6">
        <v>58.0</v>
      </c>
      <c r="B112" s="76" t="str">
        <f>IFERROR(VLOOKUP($A112,EVENTO!$A$2:$C$4999,2,FALSE),"")</f>
        <v>ADITIVO DE QUANTIDADE</v>
      </c>
      <c r="C112" s="76" t="str">
        <f>IFERROR(VLOOKUP($A112,EVENTO!$A$2:$C$4999,3,FALSE),"")</f>
        <v>1o GRUPAMENTO DE ENGENHARIA</v>
      </c>
      <c r="D112" s="81" t="s">
        <v>1382</v>
      </c>
      <c r="E112" s="6" t="s">
        <v>1447</v>
      </c>
      <c r="F112" s="78">
        <v>3.0</v>
      </c>
      <c r="G112" s="79"/>
    </row>
    <row r="113">
      <c r="A113" s="6">
        <v>59.0</v>
      </c>
      <c r="B113" s="76" t="str">
        <f>IFERROR(VLOOKUP($A113,EVENTO!$A$2:$C$4999,2,FALSE),"")</f>
        <v>CADASTRO</v>
      </c>
      <c r="C113" s="76" t="str">
        <f>IFERROR(VLOOKUP($A113,EVENTO!$A$2:$C$4999,3,FALSE),"")</f>
        <v>COLEGIO MILITAR DE SÃO PAULO</v>
      </c>
      <c r="D113" s="81" t="s">
        <v>1380</v>
      </c>
      <c r="E113" s="6" t="s">
        <v>1448</v>
      </c>
      <c r="F113" s="78">
        <v>3.0</v>
      </c>
      <c r="G113" s="79">
        <v>390.0</v>
      </c>
    </row>
    <row r="114">
      <c r="A114" s="6">
        <v>59.0</v>
      </c>
      <c r="B114" s="76" t="str">
        <f>IFERROR(VLOOKUP($A114,EVENTO!$A$2:$C$4999,2,FALSE),"")</f>
        <v>CADASTRO</v>
      </c>
      <c r="C114" s="76" t="str">
        <f>IFERROR(VLOOKUP($A114,EVENTO!$A$2:$C$4999,3,FALSE),"")</f>
        <v>COLEGIO MILITAR DE SÃO PAULO</v>
      </c>
      <c r="D114" s="81" t="s">
        <v>1382</v>
      </c>
      <c r="E114" s="6" t="s">
        <v>1449</v>
      </c>
      <c r="F114" s="78">
        <v>2.0</v>
      </c>
      <c r="G114" s="79">
        <v>960.0</v>
      </c>
    </row>
    <row r="115">
      <c r="A115" s="6">
        <v>60.0</v>
      </c>
      <c r="B115" s="76" t="str">
        <f>IFERROR(VLOOKUP($A115,EVENTO!$A$2:$C$4999,2,FALSE),"")</f>
        <v>ADITIVO DE REAJUSTE E PRAZO</v>
      </c>
      <c r="C115" s="76" t="str">
        <f>IFERROR(VLOOKUP($A115,EVENTO!$A$2:$C$4999,3,FALSE),"")</f>
        <v>COLEGIO MILITAR DE SÃO PAULO</v>
      </c>
      <c r="D115" s="81" t="s">
        <v>1380</v>
      </c>
      <c r="E115" s="6" t="s">
        <v>1448</v>
      </c>
      <c r="F115" s="78">
        <v>3.0</v>
      </c>
      <c r="G115" s="79">
        <v>399.668</v>
      </c>
    </row>
    <row r="116">
      <c r="A116" s="6">
        <v>60.0</v>
      </c>
      <c r="B116" s="76" t="str">
        <f>IFERROR(VLOOKUP($A116,EVENTO!$A$2:$C$4999,2,FALSE),"")</f>
        <v>ADITIVO DE REAJUSTE E PRAZO</v>
      </c>
      <c r="C116" s="76" t="str">
        <f>IFERROR(VLOOKUP($A116,EVENTO!$A$2:$C$4999,3,FALSE),"")</f>
        <v>COLEGIO MILITAR DE SÃO PAULO</v>
      </c>
      <c r="D116" s="81" t="s">
        <v>1382</v>
      </c>
      <c r="E116" s="6" t="s">
        <v>1449</v>
      </c>
      <c r="F116" s="78">
        <v>2.0</v>
      </c>
      <c r="G116" s="79">
        <v>983.0</v>
      </c>
    </row>
    <row r="117">
      <c r="A117" s="6">
        <v>62.0</v>
      </c>
      <c r="B117" s="76" t="str">
        <f>IFERROR(VLOOKUP($A117,EVENTO!$A$2:$C$4999,2,FALSE),"")</f>
        <v>APOSTILAMENTO</v>
      </c>
      <c r="C117" s="76" t="str">
        <f>IFERROR(VLOOKUP($A117,EVENTO!$A$2:$C$4999,3,FALSE),"")</f>
        <v>COLEGIO MILITAR DE SÃO PAULO</v>
      </c>
      <c r="D117" s="81" t="s">
        <v>1380</v>
      </c>
      <c r="E117" s="6" t="s">
        <v>1448</v>
      </c>
      <c r="F117" s="78">
        <v>3.0</v>
      </c>
      <c r="G117" s="79">
        <v>427.5</v>
      </c>
    </row>
    <row r="118">
      <c r="A118" s="6">
        <v>62.0</v>
      </c>
      <c r="B118" s="76" t="str">
        <f>IFERROR(VLOOKUP($A118,EVENTO!$A$2:$C$4999,2,FALSE),"")</f>
        <v>APOSTILAMENTO</v>
      </c>
      <c r="C118" s="76" t="str">
        <f>IFERROR(VLOOKUP($A118,EVENTO!$A$2:$C$4999,3,FALSE),"")</f>
        <v>COLEGIO MILITAR DE SÃO PAULO</v>
      </c>
      <c r="D118" s="81" t="s">
        <v>1382</v>
      </c>
      <c r="E118" s="6" t="s">
        <v>1449</v>
      </c>
      <c r="F118" s="78">
        <v>2.0</v>
      </c>
      <c r="G118" s="79">
        <v>1051.4</v>
      </c>
    </row>
    <row r="119">
      <c r="A119" s="6">
        <v>63.0</v>
      </c>
      <c r="B119" s="76" t="str">
        <f>IFERROR(VLOOKUP($A119,EVENTO!$A$2:$C$4999,2,FALSE),"")</f>
        <v>CADASTRO</v>
      </c>
      <c r="C119" s="76" t="str">
        <f>IFERROR(VLOOKUP($A119,EVENTO!$A$2:$C$4999,3,FALSE),"")</f>
        <v>INCRA</v>
      </c>
      <c r="D119" s="81" t="s">
        <v>1380</v>
      </c>
      <c r="E119" s="6" t="s">
        <v>1450</v>
      </c>
      <c r="F119" s="78">
        <v>20.0</v>
      </c>
      <c r="G119" s="80"/>
    </row>
    <row r="120">
      <c r="A120" s="6">
        <v>63.0</v>
      </c>
      <c r="B120" s="76" t="str">
        <f>IFERROR(VLOOKUP($A120,EVENTO!$A$2:$C$4999,2,FALSE),"")</f>
        <v>CADASTRO</v>
      </c>
      <c r="C120" s="76" t="str">
        <f>IFERROR(VLOOKUP($A120,EVENTO!$A$2:$C$4999,3,FALSE),"")</f>
        <v>INCRA</v>
      </c>
      <c r="D120" s="81" t="s">
        <v>1382</v>
      </c>
      <c r="E120" s="6" t="s">
        <v>1451</v>
      </c>
      <c r="F120" s="78">
        <v>3.0</v>
      </c>
      <c r="G120" s="80"/>
    </row>
    <row r="121">
      <c r="A121" s="6">
        <v>65.0</v>
      </c>
      <c r="B121" s="76" t="str">
        <f>IFERROR(VLOOKUP($A121,EVENTO!$A$2:$C$4999,2,FALSE),"")</f>
        <v>CADASTRO</v>
      </c>
      <c r="C121" s="76" t="str">
        <f>IFERROR(VLOOKUP($A121,EVENTO!$A$2:$C$4999,3,FALSE),"")</f>
        <v>SEGER</v>
      </c>
      <c r="D121" s="78" t="s">
        <v>1452</v>
      </c>
      <c r="E121" s="6"/>
      <c r="F121" s="78">
        <v>26.0</v>
      </c>
      <c r="G121" s="79">
        <v>344.75</v>
      </c>
    </row>
    <row r="122">
      <c r="A122" s="6">
        <v>65.0</v>
      </c>
      <c r="B122" s="76" t="str">
        <f>IFERROR(VLOOKUP($A122,EVENTO!$A$2:$C$4999,2,FALSE),"")</f>
        <v>CADASTRO</v>
      </c>
      <c r="C122" s="76" t="str">
        <f>IFERROR(VLOOKUP($A122,EVENTO!$A$2:$C$4999,3,FALSE),"")</f>
        <v>SEGER</v>
      </c>
      <c r="D122" s="78" t="s">
        <v>1453</v>
      </c>
      <c r="E122" s="6"/>
      <c r="F122" s="78">
        <v>200.0</v>
      </c>
      <c r="G122" s="79">
        <v>221.78</v>
      </c>
    </row>
    <row r="123">
      <c r="A123" s="6">
        <v>65.0</v>
      </c>
      <c r="B123" s="76" t="str">
        <f>IFERROR(VLOOKUP($A123,EVENTO!$A$2:$C$4999,2,FALSE),"")</f>
        <v>CADASTRO</v>
      </c>
      <c r="C123" s="76" t="str">
        <f>IFERROR(VLOOKUP($A123,EVENTO!$A$2:$C$4999,3,FALSE),"")</f>
        <v>SEGER</v>
      </c>
      <c r="D123" s="78" t="s">
        <v>1454</v>
      </c>
      <c r="F123" s="78">
        <v>1.0</v>
      </c>
      <c r="G123" s="79">
        <v>1363.36</v>
      </c>
    </row>
    <row r="124">
      <c r="A124" s="6">
        <v>65.0</v>
      </c>
      <c r="B124" s="76" t="str">
        <f>IFERROR(VLOOKUP($A124,EVENTO!$A$2:$C$4999,2,FALSE),"")</f>
        <v>CADASTRO</v>
      </c>
      <c r="C124" s="76" t="str">
        <f>IFERROR(VLOOKUP($A124,EVENTO!$A$2:$C$4999,3,FALSE),"")</f>
        <v>SEGER</v>
      </c>
      <c r="D124" s="78" t="s">
        <v>1455</v>
      </c>
      <c r="F124" s="78">
        <v>25.0</v>
      </c>
      <c r="G124" s="79">
        <v>105.09</v>
      </c>
    </row>
    <row r="125">
      <c r="A125" s="6">
        <v>68.0</v>
      </c>
      <c r="B125" s="76" t="str">
        <f>IFERROR(VLOOKUP($A125,EVENTO!$A$2:$C$4999,2,FALSE),"")</f>
        <v>ADITIVO DE PRAZO</v>
      </c>
      <c r="C125" s="76" t="str">
        <f>IFERROR(VLOOKUP($A125,EVENTO!$A$2:$C$4999,3,FALSE),"")</f>
        <v>CEGOR</v>
      </c>
      <c r="D125" s="78" t="s">
        <v>1452</v>
      </c>
      <c r="E125" s="6"/>
      <c r="F125" s="78">
        <v>26.0</v>
      </c>
      <c r="G125" s="79">
        <v>344.75</v>
      </c>
    </row>
    <row r="126">
      <c r="A126" s="6">
        <v>68.0</v>
      </c>
      <c r="B126" s="76" t="str">
        <f>IFERROR(VLOOKUP($A126,EVENTO!$A$2:$C$4999,2,FALSE),"")</f>
        <v>ADITIVO DE PRAZO</v>
      </c>
      <c r="C126" s="76" t="str">
        <f>IFERROR(VLOOKUP($A126,EVENTO!$A$2:$C$4999,3,FALSE),"")</f>
        <v>CEGOR</v>
      </c>
      <c r="D126" s="78" t="s">
        <v>1453</v>
      </c>
      <c r="E126" s="6"/>
      <c r="F126" s="78">
        <v>200.0</v>
      </c>
      <c r="G126" s="79">
        <v>221.78</v>
      </c>
    </row>
    <row r="127">
      <c r="A127" s="6">
        <v>68.0</v>
      </c>
      <c r="B127" s="76" t="str">
        <f>IFERROR(VLOOKUP($A127,EVENTO!$A$2:$C$4999,2,FALSE),"")</f>
        <v>ADITIVO DE PRAZO</v>
      </c>
      <c r="C127" s="76" t="str">
        <f>IFERROR(VLOOKUP($A127,EVENTO!$A$2:$C$4999,3,FALSE),"")</f>
        <v>CEGOR</v>
      </c>
      <c r="D127" s="78" t="s">
        <v>1454</v>
      </c>
      <c r="F127" s="78">
        <v>1.0</v>
      </c>
      <c r="G127" s="79">
        <v>1363.36</v>
      </c>
    </row>
    <row r="128">
      <c r="A128" s="6">
        <v>68.0</v>
      </c>
      <c r="B128" s="76" t="str">
        <f>IFERROR(VLOOKUP($A128,EVENTO!$A$2:$C$4999,2,FALSE),"")</f>
        <v>ADITIVO DE PRAZO</v>
      </c>
      <c r="C128" s="76" t="str">
        <f>IFERROR(VLOOKUP($A128,EVENTO!$A$2:$C$4999,3,FALSE),"")</f>
        <v>CEGOR</v>
      </c>
      <c r="D128" s="78" t="s">
        <v>1455</v>
      </c>
      <c r="F128" s="78">
        <v>25.0</v>
      </c>
      <c r="G128" s="79">
        <v>105.09</v>
      </c>
    </row>
    <row r="129">
      <c r="A129" s="6">
        <v>69.0</v>
      </c>
      <c r="B129" s="76" t="str">
        <f>IFERROR(VLOOKUP($A129,EVENTO!$A$2:$C$4999,2,FALSE),"")</f>
        <v>CADASTRO</v>
      </c>
      <c r="C129" s="76" t="str">
        <f>IFERROR(VLOOKUP($A129,EVENTO!$A$2:$C$4999,3,FALSE),"")</f>
        <v>DETRAN MA</v>
      </c>
      <c r="D129" s="78" t="s">
        <v>1456</v>
      </c>
      <c r="E129" s="6" t="s">
        <v>1457</v>
      </c>
      <c r="F129" s="78">
        <v>300.0</v>
      </c>
      <c r="G129" s="79">
        <v>377.0</v>
      </c>
    </row>
    <row r="130">
      <c r="A130" s="6">
        <v>69.0</v>
      </c>
      <c r="B130" s="76" t="str">
        <f>IFERROR(VLOOKUP($A130,EVENTO!$A$2:$C$4999,2,FALSE),"")</f>
        <v>CADASTRO</v>
      </c>
      <c r="C130" s="76" t="str">
        <f>IFERROR(VLOOKUP($A130,EVENTO!$A$2:$C$4999,3,FALSE),"")</f>
        <v>DETRAN MA</v>
      </c>
      <c r="D130" s="78" t="s">
        <v>1458</v>
      </c>
      <c r="E130" s="6" t="s">
        <v>1459</v>
      </c>
      <c r="F130" s="78">
        <v>70.0</v>
      </c>
      <c r="G130" s="79">
        <v>593.33</v>
      </c>
    </row>
    <row r="131">
      <c r="A131" s="6">
        <v>70.0</v>
      </c>
      <c r="B131" s="76" t="str">
        <f>IFERROR(VLOOKUP($A131,EVENTO!$A$2:$C$4999,2,FALSE),"")</f>
        <v>CADASTRO</v>
      </c>
      <c r="C131" s="76" t="str">
        <f>IFERROR(VLOOKUP($A131,EVENTO!$A$2:$C$4999,3,FALSE),"")</f>
        <v>IPAM</v>
      </c>
      <c r="D131" s="78" t="s">
        <v>1460</v>
      </c>
      <c r="E131" s="6" t="s">
        <v>1461</v>
      </c>
      <c r="F131" s="78">
        <v>10.0</v>
      </c>
      <c r="G131" s="79" t="s">
        <v>1462</v>
      </c>
    </row>
    <row r="132">
      <c r="A132" s="6">
        <v>74.0</v>
      </c>
      <c r="B132" s="76" t="str">
        <f>IFERROR(VLOOKUP($A132,EVENTO!$A$2:$C$4999,2,FALSE),"")</f>
        <v>CADASTRO</v>
      </c>
      <c r="C132" s="76" t="str">
        <f>IFERROR(VLOOKUP($A132,EVENTO!$A$2:$C$4999,3,FALSE),"")</f>
        <v>PCDF </v>
      </c>
      <c r="D132" s="81" t="s">
        <v>1380</v>
      </c>
      <c r="E132" s="6" t="s">
        <v>1463</v>
      </c>
      <c r="F132" s="78">
        <v>140.0</v>
      </c>
      <c r="G132" s="79"/>
    </row>
    <row r="133">
      <c r="A133" s="6">
        <v>74.0</v>
      </c>
      <c r="B133" s="76" t="str">
        <f>IFERROR(VLOOKUP($A133,EVENTO!$A$2:$C$4999,2,FALSE),"")</f>
        <v>CADASTRO</v>
      </c>
      <c r="C133" s="76" t="str">
        <f>IFERROR(VLOOKUP($A133,EVENTO!$A$2:$C$4999,3,FALSE),"")</f>
        <v>PCDF </v>
      </c>
      <c r="D133" s="81" t="s">
        <v>1382</v>
      </c>
      <c r="E133" s="6" t="s">
        <v>1464</v>
      </c>
      <c r="F133" s="78">
        <v>350.0</v>
      </c>
      <c r="G133" s="79"/>
    </row>
    <row r="134">
      <c r="A134" s="6">
        <v>74.0</v>
      </c>
      <c r="B134" s="76" t="str">
        <f>IFERROR(VLOOKUP($A134,EVENTO!$A$2:$C$4999,2,FALSE),"")</f>
        <v>CADASTRO</v>
      </c>
      <c r="C134" s="76" t="str">
        <f>IFERROR(VLOOKUP($A134,EVENTO!$A$2:$C$4999,3,FALSE),"")</f>
        <v>PCDF </v>
      </c>
      <c r="D134" s="81" t="s">
        <v>1465</v>
      </c>
      <c r="E134" s="6" t="s">
        <v>1466</v>
      </c>
      <c r="F134" s="78">
        <v>10.0</v>
      </c>
      <c r="G134" s="79"/>
    </row>
    <row r="135">
      <c r="A135" s="6">
        <v>70.0</v>
      </c>
      <c r="B135" s="76" t="str">
        <f>IFERROR(VLOOKUP($A135,EVENTO!$A$2:$C$4999,2,FALSE),"")</f>
        <v>CADASTRO</v>
      </c>
      <c r="C135" s="76" t="str">
        <f>IFERROR(VLOOKUP($A135,EVENTO!$A$2:$C$4999,3,FALSE),"")</f>
        <v>IPAM</v>
      </c>
      <c r="D135" s="78" t="s">
        <v>1467</v>
      </c>
      <c r="E135" s="6"/>
      <c r="F135" s="78">
        <v>30.0</v>
      </c>
      <c r="G135" s="79" t="s">
        <v>1468</v>
      </c>
    </row>
    <row r="136">
      <c r="A136" s="6">
        <v>75.0</v>
      </c>
      <c r="B136" s="76" t="str">
        <f>IFERROR(VLOOKUP($A136,EVENTO!$A$2:$C$4999,2,FALSE),"")</f>
        <v>CADASTRO</v>
      </c>
      <c r="C136" s="76" t="str">
        <f>IFERROR(VLOOKUP($A136,EVENTO!$A$2:$C$4999,3,FALSE),"")</f>
        <v>HEMOCENTRO PB</v>
      </c>
      <c r="D136" s="81" t="s">
        <v>1382</v>
      </c>
      <c r="E136" s="6" t="s">
        <v>1403</v>
      </c>
      <c r="F136" s="78">
        <v>7.0</v>
      </c>
      <c r="G136" s="79">
        <v>308.0</v>
      </c>
    </row>
    <row r="137">
      <c r="A137" s="6">
        <v>76.0</v>
      </c>
      <c r="B137" s="76" t="str">
        <f>IFERROR(VLOOKUP($A137,EVENTO!$A$2:$C$4999,2,FALSE),"")</f>
        <v>CADASTRO</v>
      </c>
      <c r="C137" s="76" t="str">
        <f>IFERROR(VLOOKUP($A137,EVENTO!$A$2:$C$4999,3,FALSE),"")</f>
        <v>ALEMA</v>
      </c>
      <c r="D137" s="78" t="s">
        <v>1469</v>
      </c>
      <c r="E137" s="6" t="s">
        <v>1470</v>
      </c>
      <c r="F137" s="78">
        <v>712.0</v>
      </c>
      <c r="G137" s="79">
        <v>377.0</v>
      </c>
    </row>
    <row r="138">
      <c r="A138" s="6">
        <v>71.0</v>
      </c>
      <c r="B138" s="76" t="str">
        <f>IFERROR(VLOOKUP($A138,EVENTO!$A$2:$C$4999,2,FALSE),"")</f>
        <v>ADITIVO DE QUANTIDADE E PRAZO</v>
      </c>
      <c r="C138" s="76" t="str">
        <f>IFERROR(VLOOKUP($A138,EVENTO!$A$2:$C$4999,3,FALSE),"")</f>
        <v>IPAM</v>
      </c>
      <c r="D138" s="78" t="s">
        <v>1460</v>
      </c>
      <c r="E138" s="6" t="s">
        <v>1461</v>
      </c>
      <c r="F138" s="78">
        <v>12.0</v>
      </c>
      <c r="G138" s="79" t="s">
        <v>1462</v>
      </c>
    </row>
    <row r="139">
      <c r="A139" s="6">
        <v>71.0</v>
      </c>
      <c r="B139" s="76" t="str">
        <f>IFERROR(VLOOKUP($A139,EVENTO!$A$2:$C$4999,2,FALSE),"")</f>
        <v>ADITIVO DE QUANTIDADE E PRAZO</v>
      </c>
      <c r="C139" s="76" t="str">
        <f>IFERROR(VLOOKUP($A139,EVENTO!$A$2:$C$4999,3,FALSE),"")</f>
        <v>IPAM</v>
      </c>
      <c r="D139" s="78" t="s">
        <v>1467</v>
      </c>
      <c r="F139" s="78"/>
      <c r="G139" s="79" t="s">
        <v>1468</v>
      </c>
    </row>
    <row r="140">
      <c r="A140" s="6">
        <v>76.0</v>
      </c>
      <c r="B140" s="76" t="str">
        <f>IFERROR(VLOOKUP($A140,EVENTO!$A$2:$C$4999,2,FALSE),"")</f>
        <v>CADASTRO</v>
      </c>
      <c r="C140" s="76" t="str">
        <f>IFERROR(VLOOKUP($A140,EVENTO!$A$2:$C$4999,3,FALSE),"")</f>
        <v>ALEMA</v>
      </c>
      <c r="D140" s="77" t="s">
        <v>1471</v>
      </c>
      <c r="E140" s="6" t="s">
        <v>1472</v>
      </c>
      <c r="F140" s="78">
        <v>712.0</v>
      </c>
      <c r="G140" s="79">
        <v>100.9</v>
      </c>
    </row>
    <row r="141">
      <c r="A141" s="6">
        <v>72.0</v>
      </c>
      <c r="B141" s="76" t="str">
        <f>IFERROR(VLOOKUP($A141,EVENTO!$A$2:$C$4999,2,FALSE),"")</f>
        <v>ADITIVO DE PRAZO</v>
      </c>
      <c r="C141" s="76" t="str">
        <f>IFERROR(VLOOKUP($A141,EVENTO!$A$2:$C$4999,3,FALSE),"")</f>
        <v>IPAM</v>
      </c>
      <c r="D141" s="78" t="s">
        <v>1460</v>
      </c>
      <c r="E141" s="6" t="s">
        <v>1461</v>
      </c>
      <c r="F141" s="78">
        <v>12.0</v>
      </c>
      <c r="G141" s="79" t="s">
        <v>1462</v>
      </c>
    </row>
    <row r="142">
      <c r="A142" s="6">
        <v>77.0</v>
      </c>
      <c r="B142" s="76" t="str">
        <f>IFERROR(VLOOKUP($A142,EVENTO!$A$2:$C$4999,2,FALSE),"")</f>
        <v>ADITIVO DE REAJUSTE E PRAZO</v>
      </c>
      <c r="C142" s="76" t="str">
        <f>IFERROR(VLOOKUP($A142,EVENTO!$A$2:$C$4999,3,FALSE),"")</f>
        <v>HEMOCENTRO PB</v>
      </c>
      <c r="D142" s="81" t="s">
        <v>1382</v>
      </c>
      <c r="E142" s="6" t="s">
        <v>1403</v>
      </c>
      <c r="F142" s="78">
        <v>8.0</v>
      </c>
      <c r="G142" s="79">
        <v>352.0</v>
      </c>
    </row>
    <row r="143">
      <c r="A143" s="6">
        <v>72.0</v>
      </c>
      <c r="B143" s="76" t="str">
        <f>IFERROR(VLOOKUP($A143,EVENTO!$A$2:$C$4999,2,FALSE),"")</f>
        <v>ADITIVO DE PRAZO</v>
      </c>
      <c r="C143" s="76" t="str">
        <f>IFERROR(VLOOKUP($A143,EVENTO!$A$2:$C$4999,3,FALSE),"")</f>
        <v>IPAM</v>
      </c>
      <c r="D143" s="78" t="s">
        <v>1467</v>
      </c>
      <c r="F143" s="78">
        <v>30.0</v>
      </c>
      <c r="G143" s="79" t="s">
        <v>1468</v>
      </c>
    </row>
    <row r="144">
      <c r="A144" s="6">
        <v>73.0</v>
      </c>
      <c r="B144" s="76" t="str">
        <f>IFERROR(VLOOKUP($A144,EVENTO!$A$2:$C$4999,2,FALSE),"")</f>
        <v>ADITIVO DE REAJUSTE E PRAZO</v>
      </c>
      <c r="C144" s="76" t="str">
        <f>IFERROR(VLOOKUP($A144,EVENTO!$A$2:$C$4999,3,FALSE),"")</f>
        <v>IPAM</v>
      </c>
      <c r="D144" s="78" t="s">
        <v>1467</v>
      </c>
      <c r="E144" s="6" t="s">
        <v>1467</v>
      </c>
      <c r="F144" s="78">
        <v>30.0</v>
      </c>
      <c r="G144" s="79" t="s">
        <v>1473</v>
      </c>
    </row>
    <row r="145">
      <c r="A145" s="6">
        <v>73.0</v>
      </c>
      <c r="B145" s="76" t="str">
        <f>IFERROR(VLOOKUP($A145,EVENTO!$A$2:$C$4999,2,FALSE),"")</f>
        <v>ADITIVO DE REAJUSTE E PRAZO</v>
      </c>
      <c r="C145" s="76" t="str">
        <f>IFERROR(VLOOKUP($A145,EVENTO!$A$2:$C$4999,3,FALSE),"")</f>
        <v>IPAM</v>
      </c>
      <c r="D145" s="78" t="s">
        <v>1460</v>
      </c>
      <c r="E145" s="6" t="s">
        <v>1461</v>
      </c>
      <c r="F145" s="78">
        <v>12.0</v>
      </c>
      <c r="G145" s="79" t="s">
        <v>1474</v>
      </c>
    </row>
    <row r="146">
      <c r="A146" s="6">
        <v>78.0</v>
      </c>
      <c r="B146" s="76" t="str">
        <f>IFERROR(VLOOKUP($A146,EVENTO!$A$2:$C$4999,2,FALSE),"")</f>
        <v>CADASTRO</v>
      </c>
      <c r="C146" s="76" t="str">
        <f>IFERROR(VLOOKUP($A146,EVENTO!$A$2:$C$4999,3,FALSE),"")</f>
        <v>SEAP-PB</v>
      </c>
      <c r="D146" s="81" t="s">
        <v>1380</v>
      </c>
      <c r="E146" s="6" t="s">
        <v>1475</v>
      </c>
      <c r="F146" s="78">
        <v>2.0</v>
      </c>
      <c r="G146" s="79">
        <v>135.0</v>
      </c>
    </row>
    <row r="147">
      <c r="A147" s="6">
        <v>78.0</v>
      </c>
      <c r="B147" s="76" t="str">
        <f>IFERROR(VLOOKUP($A147,EVENTO!$A$2:$C$4999,2,FALSE),"")</f>
        <v>CADASTRO</v>
      </c>
      <c r="C147" s="76" t="str">
        <f>IFERROR(VLOOKUP($A147,EVENTO!$A$2:$C$4999,3,FALSE),"")</f>
        <v>SEAP-PB</v>
      </c>
      <c r="D147" s="81" t="s">
        <v>1380</v>
      </c>
      <c r="E147" s="6" t="s">
        <v>1476</v>
      </c>
      <c r="F147" s="78">
        <v>25.0</v>
      </c>
      <c r="G147" s="79">
        <v>175.96</v>
      </c>
    </row>
    <row r="148">
      <c r="A148" s="6">
        <v>81.0</v>
      </c>
      <c r="B148" s="76" t="str">
        <f>IFERROR(VLOOKUP($A148,EVENTO!$A$2:$C$4999,2,FALSE),"")</f>
        <v>CADASTRO</v>
      </c>
      <c r="C148" s="76" t="str">
        <f>IFERROR(VLOOKUP($A148,EVENTO!$A$2:$C$4999,3,FALSE),"")</f>
        <v>PCPB</v>
      </c>
      <c r="D148" s="81" t="s">
        <v>1380</v>
      </c>
      <c r="E148" s="6" t="s">
        <v>1403</v>
      </c>
      <c r="F148" s="78">
        <v>10.0</v>
      </c>
      <c r="G148" s="79">
        <v>450.24</v>
      </c>
    </row>
    <row r="149">
      <c r="A149" s="6">
        <v>81.0</v>
      </c>
      <c r="B149" s="76" t="str">
        <f>IFERROR(VLOOKUP($A149,EVENTO!$A$2:$C$4999,2,FALSE),"")</f>
        <v>CADASTRO</v>
      </c>
      <c r="C149" s="76" t="str">
        <f>IFERROR(VLOOKUP($A149,EVENTO!$A$2:$C$4999,3,FALSE),"")</f>
        <v>PCPB</v>
      </c>
      <c r="D149" s="81" t="s">
        <v>1477</v>
      </c>
      <c r="E149" s="6" t="s">
        <v>1478</v>
      </c>
      <c r="F149" s="78">
        <v>341.0</v>
      </c>
      <c r="G149" s="79">
        <v>105.7</v>
      </c>
    </row>
    <row r="150">
      <c r="A150" s="6">
        <v>82.0</v>
      </c>
      <c r="B150" s="76" t="str">
        <f>IFERROR(VLOOKUP($A150,EVENTO!$A$2:$C$4999,2,FALSE),"")</f>
        <v>ADITIVO DE QUANTIDADE E PRAZO</v>
      </c>
      <c r="C150" s="76" t="str">
        <f>IFERROR(VLOOKUP($A150,EVENTO!$A$2:$C$4999,3,FALSE),"")</f>
        <v>SEAP-PB</v>
      </c>
      <c r="D150" s="81" t="s">
        <v>1380</v>
      </c>
      <c r="E150" s="6" t="s">
        <v>1475</v>
      </c>
      <c r="F150" s="78">
        <v>2.0</v>
      </c>
      <c r="G150" s="79">
        <v>135.0</v>
      </c>
    </row>
    <row r="151">
      <c r="A151" s="6">
        <v>82.0</v>
      </c>
      <c r="B151" s="76" t="str">
        <f>IFERROR(VLOOKUP($A151,EVENTO!$A$2:$C$4999,2,FALSE),"")</f>
        <v>ADITIVO DE QUANTIDADE E PRAZO</v>
      </c>
      <c r="C151" s="76" t="str">
        <f>IFERROR(VLOOKUP($A151,EVENTO!$A$2:$C$4999,3,FALSE),"")</f>
        <v>SEAP-PB</v>
      </c>
      <c r="D151" s="81" t="s">
        <v>1380</v>
      </c>
      <c r="E151" s="6" t="s">
        <v>1476</v>
      </c>
      <c r="F151" s="78">
        <v>31.0</v>
      </c>
      <c r="G151" s="79">
        <v>175.96</v>
      </c>
    </row>
    <row r="152">
      <c r="A152" s="6">
        <v>83.0</v>
      </c>
      <c r="B152" s="76" t="str">
        <f>IFERROR(VLOOKUP($A152,EVENTO!$A$2:$C$4999,2,FALSE),"")</f>
        <v>CADASTRO</v>
      </c>
      <c r="C152" s="76" t="str">
        <f>IFERROR(VLOOKUP($A152,EVENTO!$A$2:$C$4999,3,FALSE),"")</f>
        <v>SETUR</v>
      </c>
      <c r="D152" s="81" t="s">
        <v>1409</v>
      </c>
      <c r="E152" s="6" t="s">
        <v>1479</v>
      </c>
      <c r="F152" s="78">
        <v>1.0</v>
      </c>
      <c r="G152" s="79" t="s">
        <v>1480</v>
      </c>
    </row>
    <row r="153">
      <c r="A153" s="6">
        <v>83.0</v>
      </c>
      <c r="B153" s="76" t="str">
        <f>IFERROR(VLOOKUP($A153,EVENTO!$A$2:$C$4999,2,FALSE),"")</f>
        <v>CADASTRO</v>
      </c>
      <c r="C153" s="76" t="str">
        <f>IFERROR(VLOOKUP($A153,EVENTO!$A$2:$C$4999,3,FALSE),"")</f>
        <v>SETUR</v>
      </c>
      <c r="D153" s="81" t="s">
        <v>1409</v>
      </c>
      <c r="E153" s="6" t="s">
        <v>1479</v>
      </c>
      <c r="F153" s="78">
        <v>1.0</v>
      </c>
      <c r="G153" s="79" t="s">
        <v>1480</v>
      </c>
    </row>
    <row r="154">
      <c r="A154" s="6">
        <v>84.0</v>
      </c>
      <c r="B154" s="76" t="str">
        <f>IFERROR(VLOOKUP($A154,EVENTO!$A$2:$C$4999,2,FALSE),"")</f>
        <v>CADASTRO</v>
      </c>
      <c r="C154" s="76" t="str">
        <f>IFERROR(VLOOKUP($A154,EVENTO!$A$2:$C$4999,3,FALSE),"")</f>
        <v>CITINOVA</v>
      </c>
      <c r="D154" s="78" t="s">
        <v>1481</v>
      </c>
      <c r="E154" s="6" t="s">
        <v>1482</v>
      </c>
      <c r="F154" s="78">
        <v>24.0</v>
      </c>
      <c r="G154" s="79">
        <v>534.71</v>
      </c>
    </row>
    <row r="155">
      <c r="A155" s="6">
        <v>84.0</v>
      </c>
      <c r="B155" s="76" t="str">
        <f>IFERROR(VLOOKUP($A155,EVENTO!$A$2:$C$4999,2,FALSE),"")</f>
        <v>CADASTRO</v>
      </c>
      <c r="C155" s="76" t="str">
        <f>IFERROR(VLOOKUP($A155,EVENTO!$A$2:$C$4999,3,FALSE),"")</f>
        <v>CITINOVA</v>
      </c>
      <c r="D155" s="78" t="s">
        <v>1483</v>
      </c>
      <c r="E155" s="6" t="s">
        <v>1484</v>
      </c>
      <c r="F155" s="78">
        <v>20.0</v>
      </c>
      <c r="G155" s="79">
        <v>387.36</v>
      </c>
    </row>
    <row r="156">
      <c r="A156" s="6">
        <v>84.0</v>
      </c>
      <c r="B156" s="76" t="str">
        <f>IFERROR(VLOOKUP($A156,EVENTO!$A$2:$C$4999,2,FALSE),"")</f>
        <v>CADASTRO</v>
      </c>
      <c r="C156" s="76" t="str">
        <f>IFERROR(VLOOKUP($A156,EVENTO!$A$2:$C$4999,3,FALSE),"")</f>
        <v>CITINOVA</v>
      </c>
      <c r="D156" s="78" t="s">
        <v>1485</v>
      </c>
      <c r="E156" s="6" t="s">
        <v>1486</v>
      </c>
      <c r="F156" s="78">
        <v>10.0</v>
      </c>
      <c r="G156" s="79">
        <v>13.42</v>
      </c>
    </row>
    <row r="157">
      <c r="A157" s="6">
        <v>85.0</v>
      </c>
      <c r="B157" s="76" t="str">
        <f>IFERROR(VLOOKUP($A157,EVENTO!$A$2:$C$4999,2,FALSE),"")</f>
        <v>CADASTRO</v>
      </c>
      <c r="C157" s="76" t="str">
        <f>IFERROR(VLOOKUP($A157,EVENTO!$A$2:$C$4999,3,FALSE),"")</f>
        <v>RESENDE / SMA</v>
      </c>
      <c r="D157" s="81" t="s">
        <v>1487</v>
      </c>
      <c r="E157" s="6" t="s">
        <v>1488</v>
      </c>
      <c r="F157" s="78">
        <v>61.0</v>
      </c>
      <c r="G157" s="79">
        <v>275.4</v>
      </c>
    </row>
    <row r="158">
      <c r="A158" s="6">
        <v>85.0</v>
      </c>
      <c r="B158" s="76" t="str">
        <f>IFERROR(VLOOKUP($A158,EVENTO!$A$2:$C$4999,2,FALSE),"")</f>
        <v>CADASTRO</v>
      </c>
      <c r="C158" s="76" t="str">
        <f>IFERROR(VLOOKUP($A158,EVENTO!$A$2:$C$4999,3,FALSE),"")</f>
        <v>RESENDE / SMA</v>
      </c>
      <c r="D158" s="81" t="s">
        <v>1487</v>
      </c>
      <c r="E158" s="6" t="s">
        <v>1488</v>
      </c>
      <c r="F158" s="78">
        <v>27.0</v>
      </c>
      <c r="G158" s="79">
        <v>183.6</v>
      </c>
    </row>
    <row r="159">
      <c r="A159" s="6">
        <v>85.0</v>
      </c>
      <c r="B159" s="76" t="str">
        <f>IFERROR(VLOOKUP($A159,EVENTO!$A$2:$C$4999,2,FALSE),"")</f>
        <v>CADASTRO</v>
      </c>
      <c r="C159" s="76" t="str">
        <f>IFERROR(VLOOKUP($A159,EVENTO!$A$2:$C$4999,3,FALSE),"")</f>
        <v>RESENDE / SMA</v>
      </c>
      <c r="D159" s="81" t="s">
        <v>1489</v>
      </c>
      <c r="E159" s="6" t="s">
        <v>1490</v>
      </c>
      <c r="F159" s="78">
        <v>2.0</v>
      </c>
      <c r="G159" s="79">
        <v>1324.12</v>
      </c>
    </row>
    <row r="160">
      <c r="A160" s="6">
        <v>84.0</v>
      </c>
      <c r="B160" s="76" t="str">
        <f>IFERROR(VLOOKUP($A160,EVENTO!$A$2:$C$4999,2,FALSE),"")</f>
        <v>CADASTRO</v>
      </c>
      <c r="C160" s="76" t="str">
        <f>IFERROR(VLOOKUP($A160,EVENTO!$A$2:$C$4999,3,FALSE),"")</f>
        <v>CITINOVA</v>
      </c>
      <c r="D160" s="77" t="s">
        <v>1491</v>
      </c>
      <c r="E160" s="11" t="s">
        <v>1492</v>
      </c>
      <c r="F160" s="78">
        <v>4.0</v>
      </c>
      <c r="G160" s="79">
        <v>283.89</v>
      </c>
    </row>
    <row r="161">
      <c r="A161" s="6">
        <v>84.0</v>
      </c>
      <c r="B161" s="76" t="str">
        <f>IFERROR(VLOOKUP($A161,EVENTO!$A$2:$C$4999,2,FALSE),"")</f>
        <v>CADASTRO</v>
      </c>
      <c r="C161" s="76" t="str">
        <f>IFERROR(VLOOKUP($A161,EVENTO!$A$2:$C$4999,3,FALSE),"")</f>
        <v>CITINOVA</v>
      </c>
      <c r="D161" s="78" t="s">
        <v>1493</v>
      </c>
      <c r="E161" s="6" t="s">
        <v>1494</v>
      </c>
      <c r="F161" s="78">
        <v>6.0</v>
      </c>
      <c r="G161" s="79">
        <v>91.18</v>
      </c>
    </row>
    <row r="162">
      <c r="A162" s="6">
        <v>84.0</v>
      </c>
      <c r="B162" s="76" t="str">
        <f>IFERROR(VLOOKUP($A162,EVENTO!$A$2:$C$4999,2,FALSE),"")</f>
        <v>CADASTRO</v>
      </c>
      <c r="C162" s="76" t="str">
        <f>IFERROR(VLOOKUP($A162,EVENTO!$A$2:$C$4999,3,FALSE),"")</f>
        <v>CITINOVA</v>
      </c>
      <c r="D162" s="78" t="s">
        <v>1495</v>
      </c>
      <c r="E162" s="6" t="s">
        <v>1496</v>
      </c>
      <c r="F162" s="78">
        <v>5.0</v>
      </c>
      <c r="G162" s="79">
        <v>29.23</v>
      </c>
    </row>
    <row r="163">
      <c r="A163" s="6">
        <v>84.0</v>
      </c>
      <c r="B163" s="76" t="str">
        <f>IFERROR(VLOOKUP($A163,EVENTO!$A$2:$C$4999,2,FALSE),"")</f>
        <v>CADASTRO</v>
      </c>
      <c r="C163" s="76" t="str">
        <f>IFERROR(VLOOKUP($A163,EVENTO!$A$2:$C$4999,3,FALSE),"")</f>
        <v>CITINOVA</v>
      </c>
      <c r="D163" s="78" t="s">
        <v>1497</v>
      </c>
      <c r="E163" s="6" t="s">
        <v>1498</v>
      </c>
      <c r="F163" s="78">
        <v>2.0</v>
      </c>
      <c r="G163" s="79">
        <v>199.46</v>
      </c>
    </row>
    <row r="164">
      <c r="A164" s="6">
        <v>84.0</v>
      </c>
      <c r="B164" s="76" t="str">
        <f>IFERROR(VLOOKUP($A164,EVENTO!$A$2:$C$4999,2,FALSE),"")</f>
        <v>CADASTRO</v>
      </c>
      <c r="C164" s="76" t="str">
        <f>IFERROR(VLOOKUP($A164,EVENTO!$A$2:$C$4999,3,FALSE),"")</f>
        <v>CITINOVA</v>
      </c>
      <c r="D164" s="78" t="s">
        <v>1499</v>
      </c>
      <c r="E164" s="6" t="s">
        <v>1500</v>
      </c>
      <c r="F164" s="78">
        <v>1.0</v>
      </c>
      <c r="G164" s="79">
        <v>264.11</v>
      </c>
    </row>
    <row r="165">
      <c r="A165" s="6">
        <v>86.0</v>
      </c>
      <c r="B165" s="76" t="str">
        <f>IFERROR(VLOOKUP($A165,EVENTO!$A$2:$C$4999,2,FALSE),"")</f>
        <v>CADASTRO</v>
      </c>
      <c r="C165" s="76" t="str">
        <f>IFERROR(VLOOKUP($A165,EVENTO!$A$2:$C$4999,3,FALSE),"")</f>
        <v>SECRETARIA MUNICIPAL DE SEGURANÇA COM CIDADANIA−SEMUSC - 007-2022</v>
      </c>
      <c r="D165" s="78" t="s">
        <v>1467</v>
      </c>
      <c r="E165" s="37" t="s">
        <v>1501</v>
      </c>
      <c r="F165" s="78">
        <v>20.0</v>
      </c>
      <c r="G165" s="79">
        <v>221.78</v>
      </c>
    </row>
    <row r="166">
      <c r="A166" s="6">
        <v>86.0</v>
      </c>
      <c r="B166" s="76" t="str">
        <f>IFERROR(VLOOKUP($A166,EVENTO!$A$2:$C$4999,2,FALSE),"")</f>
        <v>CADASTRO</v>
      </c>
      <c r="C166" s="76" t="str">
        <f>IFERROR(VLOOKUP($A166,EVENTO!$A$2:$C$4999,3,FALSE),"")</f>
        <v>SECRETARIA MUNICIPAL DE SEGURANÇA COM CIDADANIA−SEMUSC - 007-2022</v>
      </c>
      <c r="D166" s="78" t="s">
        <v>1467</v>
      </c>
      <c r="E166" s="37" t="s">
        <v>1502</v>
      </c>
      <c r="F166" s="78">
        <v>10.0</v>
      </c>
      <c r="G166" s="83" t="s">
        <v>1503</v>
      </c>
    </row>
    <row r="167">
      <c r="A167" s="6">
        <v>86.0</v>
      </c>
      <c r="B167" s="76" t="str">
        <f>IFERROR(VLOOKUP($A167,EVENTO!$A$2:$C$4999,2,FALSE),"")</f>
        <v>CADASTRO</v>
      </c>
      <c r="C167" s="76" t="str">
        <f>IFERROR(VLOOKUP($A167,EVENTO!$A$2:$C$4999,3,FALSE),"")</f>
        <v>SECRETARIA MUNICIPAL DE SEGURANÇA COM CIDADANIA−SEMUSC - 007-2022</v>
      </c>
      <c r="D167" s="78" t="s">
        <v>1504</v>
      </c>
      <c r="F167" s="78">
        <v>30.0</v>
      </c>
      <c r="G167" s="83" t="s">
        <v>1505</v>
      </c>
    </row>
    <row r="168">
      <c r="A168" s="6">
        <v>87.0</v>
      </c>
      <c r="B168" s="76" t="str">
        <f>IFERROR(VLOOKUP($A168,EVENTO!$A$2:$C$4999,2,FALSE),"")</f>
        <v>ADITIVO DE PRAZO</v>
      </c>
      <c r="C168" s="76" t="str">
        <f>IFERROR(VLOOKUP($A168,EVENTO!$A$2:$C$4999,3,FALSE),"")</f>
        <v>SECRETARIA MUNICIPAL DE SEGURANÇA COM CIDADANIA−SEMUSC - 007-2022</v>
      </c>
      <c r="D168" s="78" t="s">
        <v>1467</v>
      </c>
      <c r="E168" s="37" t="s">
        <v>1501</v>
      </c>
      <c r="F168" s="78">
        <v>20.0</v>
      </c>
      <c r="G168" s="79">
        <v>221.78</v>
      </c>
    </row>
    <row r="169">
      <c r="A169" s="6">
        <v>87.0</v>
      </c>
      <c r="B169" s="76" t="str">
        <f>IFERROR(VLOOKUP($A169,EVENTO!$A$2:$C$4999,2,FALSE),"")</f>
        <v>ADITIVO DE PRAZO</v>
      </c>
      <c r="C169" s="76" t="str">
        <f>IFERROR(VLOOKUP($A169,EVENTO!$A$2:$C$4999,3,FALSE),"")</f>
        <v>SECRETARIA MUNICIPAL DE SEGURANÇA COM CIDADANIA−SEMUSC - 007-2022</v>
      </c>
      <c r="D169" s="78" t="s">
        <v>1467</v>
      </c>
      <c r="E169" s="37" t="s">
        <v>1502</v>
      </c>
      <c r="F169" s="78">
        <v>10.0</v>
      </c>
      <c r="G169" s="83" t="s">
        <v>1503</v>
      </c>
    </row>
    <row r="170">
      <c r="A170" s="6">
        <v>87.0</v>
      </c>
      <c r="B170" s="76" t="str">
        <f>IFERROR(VLOOKUP($A170,EVENTO!$A$2:$C$4999,2,FALSE),"")</f>
        <v>ADITIVO DE PRAZO</v>
      </c>
      <c r="C170" s="76" t="str">
        <f>IFERROR(VLOOKUP($A170,EVENTO!$A$2:$C$4999,3,FALSE),"")</f>
        <v>SECRETARIA MUNICIPAL DE SEGURANÇA COM CIDADANIA−SEMUSC - 007-2022</v>
      </c>
      <c r="D170" s="78" t="s">
        <v>1504</v>
      </c>
      <c r="F170" s="78">
        <v>30.0</v>
      </c>
      <c r="G170" s="83" t="s">
        <v>1505</v>
      </c>
    </row>
    <row r="171">
      <c r="A171" s="6">
        <v>88.0</v>
      </c>
      <c r="B171" s="76" t="str">
        <f>IFERROR(VLOOKUP($A171,EVENTO!$A$2:$C$4999,2,FALSE),"")</f>
        <v>ADITIVO DE PRAZO</v>
      </c>
      <c r="C171" s="76" t="str">
        <f>IFERROR(VLOOKUP($A171,EVENTO!$A$2:$C$4999,3,FALSE),"")</f>
        <v>SECRETARIA MUNICIPAL DE SEGURANÇA COM CIDADANIA−SEMUSC - 007-2022</v>
      </c>
      <c r="D171" s="78" t="s">
        <v>1467</v>
      </c>
      <c r="E171" s="37" t="s">
        <v>1501</v>
      </c>
      <c r="F171" s="78">
        <v>20.0</v>
      </c>
      <c r="G171" s="79">
        <v>221.78</v>
      </c>
    </row>
    <row r="172">
      <c r="A172" s="6">
        <v>88.0</v>
      </c>
      <c r="B172" s="76" t="str">
        <f>IFERROR(VLOOKUP($A172,EVENTO!$A$2:$C$4999,2,FALSE),"")</f>
        <v>ADITIVO DE PRAZO</v>
      </c>
      <c r="C172" s="76" t="str">
        <f>IFERROR(VLOOKUP($A172,EVENTO!$A$2:$C$4999,3,FALSE),"")</f>
        <v>SECRETARIA MUNICIPAL DE SEGURANÇA COM CIDADANIA−SEMUSC - 007-2022</v>
      </c>
      <c r="D172" s="78" t="s">
        <v>1467</v>
      </c>
      <c r="E172" s="37" t="s">
        <v>1502</v>
      </c>
      <c r="F172" s="78">
        <v>10.0</v>
      </c>
      <c r="G172" s="83" t="s">
        <v>1503</v>
      </c>
    </row>
    <row r="173">
      <c r="A173" s="6">
        <v>88.0</v>
      </c>
      <c r="B173" s="76" t="str">
        <f>IFERROR(VLOOKUP($A173,EVENTO!$A$2:$C$4999,2,FALSE),"")</f>
        <v>ADITIVO DE PRAZO</v>
      </c>
      <c r="C173" s="76" t="str">
        <f>IFERROR(VLOOKUP($A173,EVENTO!$A$2:$C$4999,3,FALSE),"")</f>
        <v>SECRETARIA MUNICIPAL DE SEGURANÇA COM CIDADANIA−SEMUSC - 007-2022</v>
      </c>
      <c r="D173" s="78" t="s">
        <v>1504</v>
      </c>
      <c r="F173" s="78">
        <v>30.0</v>
      </c>
      <c r="G173" s="83" t="s">
        <v>1505</v>
      </c>
    </row>
    <row r="174">
      <c r="A174" s="6">
        <v>89.0</v>
      </c>
      <c r="B174" s="76" t="str">
        <f>IFERROR(VLOOKUP($A174,EVENTO!$A$2:$C$4999,2,FALSE),"")</f>
        <v>APOSTILAMENTO</v>
      </c>
      <c r="C174" s="76" t="str">
        <f>IFERROR(VLOOKUP($A174,EVENTO!$A$2:$C$4999,3,FALSE),"")</f>
        <v>SECRETARIA MUNICIPAL DE SEGURANÇA COM CIDADANIA−SEMUSC - 007-2022</v>
      </c>
      <c r="D174" s="78" t="s">
        <v>1467</v>
      </c>
      <c r="E174" s="37" t="s">
        <v>1501</v>
      </c>
      <c r="F174" s="78">
        <v>20.0</v>
      </c>
      <c r="G174" s="83" t="s">
        <v>1506</v>
      </c>
    </row>
    <row r="175">
      <c r="A175" s="6">
        <v>89.0</v>
      </c>
      <c r="B175" s="76" t="str">
        <f>IFERROR(VLOOKUP($A175,EVENTO!$A$2:$C$4999,2,FALSE),"")</f>
        <v>APOSTILAMENTO</v>
      </c>
      <c r="C175" s="76" t="str">
        <f>IFERROR(VLOOKUP($A175,EVENTO!$A$2:$C$4999,3,FALSE),"")</f>
        <v>SECRETARIA MUNICIPAL DE SEGURANÇA COM CIDADANIA−SEMUSC - 007-2022</v>
      </c>
      <c r="D175" s="78" t="s">
        <v>1467</v>
      </c>
      <c r="E175" s="37" t="s">
        <v>1502</v>
      </c>
      <c r="F175" s="78">
        <v>10.0</v>
      </c>
      <c r="G175" s="83" t="s">
        <v>1507</v>
      </c>
    </row>
    <row r="176">
      <c r="A176" s="6">
        <v>89.0</v>
      </c>
      <c r="B176" s="76" t="str">
        <f>IFERROR(VLOOKUP($A176,EVENTO!$A$2:$C$4999,2,FALSE),"")</f>
        <v>APOSTILAMENTO</v>
      </c>
      <c r="C176" s="76" t="str">
        <f>IFERROR(VLOOKUP($A176,EVENTO!$A$2:$C$4999,3,FALSE),"")</f>
        <v>SECRETARIA MUNICIPAL DE SEGURANÇA COM CIDADANIA−SEMUSC - 007-2022</v>
      </c>
      <c r="D176" s="78" t="s">
        <v>1504</v>
      </c>
      <c r="F176" s="78">
        <v>30.0</v>
      </c>
      <c r="G176" s="83" t="s">
        <v>1508</v>
      </c>
    </row>
    <row r="177">
      <c r="A177" s="6">
        <v>90.0</v>
      </c>
      <c r="B177" s="76" t="str">
        <f>IFERROR(VLOOKUP($A177,EVENTO!$A$2:$C$4999,2,FALSE),"")</f>
        <v>ADITIVO DE PRAZO</v>
      </c>
      <c r="C177" s="76" t="str">
        <f>IFERROR(VLOOKUP($A177,EVENTO!$A$2:$C$4999,3,FALSE),"")</f>
        <v>SECRETARIA MUNICIPAL DE SEGURANÇA COM CIDADANIA−SEMUSC - 007-2022</v>
      </c>
      <c r="D177" s="78" t="s">
        <v>1467</v>
      </c>
      <c r="E177" s="37" t="s">
        <v>1501</v>
      </c>
      <c r="F177" s="78">
        <v>20.0</v>
      </c>
      <c r="G177" s="83" t="s">
        <v>1506</v>
      </c>
    </row>
    <row r="178">
      <c r="A178" s="6">
        <v>90.0</v>
      </c>
      <c r="B178" s="76" t="str">
        <f>IFERROR(VLOOKUP($A178,EVENTO!$A$2:$C$4999,2,FALSE),"")</f>
        <v>ADITIVO DE PRAZO</v>
      </c>
      <c r="C178" s="76" t="str">
        <f>IFERROR(VLOOKUP($A178,EVENTO!$A$2:$C$4999,3,FALSE),"")</f>
        <v>SECRETARIA MUNICIPAL DE SEGURANÇA COM CIDADANIA−SEMUSC - 007-2022</v>
      </c>
      <c r="D178" s="78" t="s">
        <v>1467</v>
      </c>
      <c r="E178" s="37" t="s">
        <v>1502</v>
      </c>
      <c r="F178" s="78">
        <v>10.0</v>
      </c>
      <c r="G178" s="83" t="s">
        <v>1507</v>
      </c>
    </row>
    <row r="179">
      <c r="A179" s="6">
        <v>90.0</v>
      </c>
      <c r="B179" s="76" t="str">
        <f>IFERROR(VLOOKUP($A179,EVENTO!$A$2:$C$4999,2,FALSE),"")</f>
        <v>ADITIVO DE PRAZO</v>
      </c>
      <c r="C179" s="76" t="str">
        <f>IFERROR(VLOOKUP($A179,EVENTO!$A$2:$C$4999,3,FALSE),"")</f>
        <v>SECRETARIA MUNICIPAL DE SEGURANÇA COM CIDADANIA−SEMUSC - 007-2022</v>
      </c>
      <c r="D179" s="78" t="s">
        <v>1504</v>
      </c>
      <c r="E179" s="84"/>
      <c r="F179" s="78">
        <v>30.0</v>
      </c>
      <c r="G179" s="83" t="s">
        <v>1508</v>
      </c>
    </row>
    <row r="180">
      <c r="A180" s="6">
        <v>91.0</v>
      </c>
      <c r="B180" s="76" t="str">
        <f>IFERROR(VLOOKUP($A180,EVENTO!$A$2:$C$4999,2,FALSE),"")</f>
        <v>CADASTRO</v>
      </c>
      <c r="C180" s="76" t="str">
        <f>IFERROR(VLOOKUP($A180,EVENTO!$A$2:$C$4999,3,FALSE),"")</f>
        <v>CAMARA DE HORTOLANDIA </v>
      </c>
      <c r="D180" s="81" t="s">
        <v>1509</v>
      </c>
      <c r="E180" s="84" t="s">
        <v>1510</v>
      </c>
      <c r="F180" s="78">
        <v>2.0</v>
      </c>
      <c r="G180" s="80"/>
    </row>
    <row r="181">
      <c r="A181" s="6">
        <v>91.0</v>
      </c>
      <c r="B181" s="76" t="str">
        <f>IFERROR(VLOOKUP($A181,EVENTO!$A$2:$C$4999,2,FALSE),"")</f>
        <v>CADASTRO</v>
      </c>
      <c r="C181" s="76" t="str">
        <f>IFERROR(VLOOKUP($A181,EVENTO!$A$2:$C$4999,3,FALSE),"")</f>
        <v>CAMARA DE HORTOLANDIA </v>
      </c>
      <c r="D181" s="81" t="s">
        <v>1380</v>
      </c>
      <c r="E181" s="84" t="s">
        <v>1511</v>
      </c>
      <c r="F181" s="78">
        <v>38.0</v>
      </c>
      <c r="G181" s="80"/>
    </row>
    <row r="182">
      <c r="A182" s="6">
        <v>91.0</v>
      </c>
      <c r="B182" s="76" t="str">
        <f>IFERROR(VLOOKUP($A182,EVENTO!$A$2:$C$4999,2,FALSE),"")</f>
        <v>CADASTRO</v>
      </c>
      <c r="C182" s="76" t="str">
        <f>IFERROR(VLOOKUP($A182,EVENTO!$A$2:$C$4999,3,FALSE),"")</f>
        <v>CAMARA DE HORTOLANDIA </v>
      </c>
      <c r="D182" s="81" t="s">
        <v>1477</v>
      </c>
      <c r="E182" s="84" t="s">
        <v>1512</v>
      </c>
      <c r="F182" s="78">
        <v>2.0</v>
      </c>
      <c r="G182" s="80"/>
    </row>
    <row r="183">
      <c r="A183" s="6">
        <v>95.0</v>
      </c>
      <c r="B183" s="76" t="str">
        <f>IFERROR(VLOOKUP($A183,EVENTO!$A$2:$C$4999,2,FALSE),"")</f>
        <v>CADASTRO</v>
      </c>
      <c r="C183" s="76" t="str">
        <f>IFERROR(VLOOKUP($A183,EVENTO!$A$2:$C$4999,3,FALSE),"")</f>
        <v>FMS PB</v>
      </c>
      <c r="D183" s="78" t="s">
        <v>1513</v>
      </c>
      <c r="E183" s="84" t="s">
        <v>1514</v>
      </c>
      <c r="F183" s="78">
        <v>25.0</v>
      </c>
      <c r="G183" s="79" t="s">
        <v>1515</v>
      </c>
    </row>
    <row r="184">
      <c r="A184" s="6">
        <v>95.0</v>
      </c>
      <c r="B184" s="76" t="str">
        <f>IFERROR(VLOOKUP($A184,EVENTO!$A$2:$C$4999,2,FALSE),"")</f>
        <v>CADASTRO</v>
      </c>
      <c r="C184" s="76" t="str">
        <f>IFERROR(VLOOKUP($A184,EVENTO!$A$2:$C$4999,3,FALSE),"")</f>
        <v>FMS PB</v>
      </c>
      <c r="D184" s="81" t="s">
        <v>1487</v>
      </c>
      <c r="E184" s="84" t="s">
        <v>1516</v>
      </c>
      <c r="F184" s="78">
        <v>185.0</v>
      </c>
      <c r="G184" s="79" t="s">
        <v>1517</v>
      </c>
    </row>
    <row r="185">
      <c r="A185" s="6">
        <v>98.0</v>
      </c>
      <c r="B185" s="76" t="str">
        <f>IFERROR(VLOOKUP($A185,EVENTO!$A$2:$C$4999,2,FALSE),"")</f>
        <v>ADITIVO DE REAJUSTE E PRAZO</v>
      </c>
      <c r="C185" s="76" t="str">
        <f>IFERROR(VLOOKUP($A185,EVENTO!$A$2:$C$4999,3,FALSE),"")</f>
        <v>CITINOVA</v>
      </c>
      <c r="D185" s="78" t="s">
        <v>1481</v>
      </c>
      <c r="E185" s="6" t="s">
        <v>1482</v>
      </c>
      <c r="F185" s="78">
        <v>30.0</v>
      </c>
      <c r="G185" s="83" t="s">
        <v>1518</v>
      </c>
    </row>
    <row r="186">
      <c r="A186" s="6">
        <v>98.0</v>
      </c>
      <c r="B186" s="76" t="str">
        <f>IFERROR(VLOOKUP($A186,EVENTO!$A$2:$C$4999,2,FALSE),"")</f>
        <v>ADITIVO DE REAJUSTE E PRAZO</v>
      </c>
      <c r="C186" s="76" t="str">
        <f>IFERROR(VLOOKUP($A186,EVENTO!$A$2:$C$4999,3,FALSE),"")</f>
        <v>CITINOVA</v>
      </c>
      <c r="D186" s="78" t="s">
        <v>1483</v>
      </c>
      <c r="E186" s="6" t="s">
        <v>1484</v>
      </c>
      <c r="F186" s="78">
        <v>25.0</v>
      </c>
      <c r="G186" s="83" t="s">
        <v>1519</v>
      </c>
    </row>
    <row r="187">
      <c r="A187" s="6">
        <v>98.0</v>
      </c>
      <c r="B187" s="76" t="str">
        <f>IFERROR(VLOOKUP($A187,EVENTO!$A$2:$C$4999,2,FALSE),"")</f>
        <v>ADITIVO DE REAJUSTE E PRAZO</v>
      </c>
      <c r="C187" s="76" t="str">
        <f>IFERROR(VLOOKUP($A187,EVENTO!$A$2:$C$4999,3,FALSE),"")</f>
        <v>CITINOVA</v>
      </c>
      <c r="D187" s="78" t="s">
        <v>1485</v>
      </c>
      <c r="E187" s="6" t="s">
        <v>1486</v>
      </c>
      <c r="F187" s="78">
        <v>10.0</v>
      </c>
      <c r="G187" s="83" t="s">
        <v>1520</v>
      </c>
    </row>
    <row r="188">
      <c r="A188" s="6">
        <v>98.0</v>
      </c>
      <c r="B188" s="76" t="str">
        <f>IFERROR(VLOOKUP($A188,EVENTO!$A$2:$C$4999,2,FALSE),"")</f>
        <v>ADITIVO DE REAJUSTE E PRAZO</v>
      </c>
      <c r="C188" s="76" t="str">
        <f>IFERROR(VLOOKUP($A188,EVENTO!$A$2:$C$4999,3,FALSE),"")</f>
        <v>CITINOVA</v>
      </c>
      <c r="D188" s="77" t="s">
        <v>1491</v>
      </c>
      <c r="E188" s="11" t="s">
        <v>1492</v>
      </c>
      <c r="F188" s="78">
        <v>4.0</v>
      </c>
      <c r="G188" s="83" t="s">
        <v>1521</v>
      </c>
    </row>
    <row r="189">
      <c r="A189" s="6">
        <v>98.0</v>
      </c>
      <c r="B189" s="76" t="str">
        <f>IFERROR(VLOOKUP($A189,EVENTO!$A$2:$C$4999,2,FALSE),"")</f>
        <v>ADITIVO DE REAJUSTE E PRAZO</v>
      </c>
      <c r="C189" s="76" t="str">
        <f>IFERROR(VLOOKUP($A189,EVENTO!$A$2:$C$4999,3,FALSE),"")</f>
        <v>CITINOVA</v>
      </c>
      <c r="D189" s="78" t="s">
        <v>1493</v>
      </c>
      <c r="E189" s="6" t="s">
        <v>1494</v>
      </c>
      <c r="F189" s="78">
        <v>7.0</v>
      </c>
      <c r="G189" s="83" t="s">
        <v>1522</v>
      </c>
    </row>
    <row r="190">
      <c r="A190" s="6">
        <v>98.0</v>
      </c>
      <c r="B190" s="76" t="str">
        <f>IFERROR(VLOOKUP($A190,EVENTO!$A$2:$C$4999,2,FALSE),"")</f>
        <v>ADITIVO DE REAJUSTE E PRAZO</v>
      </c>
      <c r="C190" s="76" t="str">
        <f>IFERROR(VLOOKUP($A190,EVENTO!$A$2:$C$4999,3,FALSE),"")</f>
        <v>CITINOVA</v>
      </c>
      <c r="D190" s="78" t="s">
        <v>1495</v>
      </c>
      <c r="E190" s="6" t="s">
        <v>1496</v>
      </c>
      <c r="F190" s="78">
        <v>5.0</v>
      </c>
      <c r="G190" s="83" t="s">
        <v>1523</v>
      </c>
    </row>
    <row r="191">
      <c r="A191" s="6">
        <v>98.0</v>
      </c>
      <c r="B191" s="76" t="str">
        <f>IFERROR(VLOOKUP($A191,EVENTO!$A$2:$C$4999,2,FALSE),"")</f>
        <v>ADITIVO DE REAJUSTE E PRAZO</v>
      </c>
      <c r="C191" s="76" t="str">
        <f>IFERROR(VLOOKUP($A191,EVENTO!$A$2:$C$4999,3,FALSE),"")</f>
        <v>CITINOVA</v>
      </c>
      <c r="D191" s="78" t="s">
        <v>1497</v>
      </c>
      <c r="E191" s="6" t="s">
        <v>1498</v>
      </c>
      <c r="F191" s="78">
        <v>2.0</v>
      </c>
      <c r="G191" s="83" t="s">
        <v>1524</v>
      </c>
    </row>
    <row r="192">
      <c r="A192" s="6">
        <v>98.0</v>
      </c>
      <c r="B192" s="76" t="str">
        <f>IFERROR(VLOOKUP($A192,EVENTO!$A$2:$C$4999,2,FALSE),"")</f>
        <v>ADITIVO DE REAJUSTE E PRAZO</v>
      </c>
      <c r="C192" s="76" t="str">
        <f>IFERROR(VLOOKUP($A192,EVENTO!$A$2:$C$4999,3,FALSE),"")</f>
        <v>CITINOVA</v>
      </c>
      <c r="D192" s="78" t="s">
        <v>1499</v>
      </c>
      <c r="E192" s="6" t="s">
        <v>1500</v>
      </c>
      <c r="F192" s="78">
        <v>1.0</v>
      </c>
      <c r="G192" s="83" t="s">
        <v>1525</v>
      </c>
    </row>
    <row r="193">
      <c r="A193" s="6">
        <v>95.0</v>
      </c>
      <c r="B193" s="76" t="str">
        <f>IFERROR(VLOOKUP($A193,EVENTO!$A$2:$C$4999,2,FALSE),"")</f>
        <v>CADASTRO</v>
      </c>
      <c r="C193" s="76" t="str">
        <f>IFERROR(VLOOKUP($A193,EVENTO!$A$2:$C$4999,3,FALSE),"")</f>
        <v>FMS PB</v>
      </c>
      <c r="D193" s="81" t="s">
        <v>1380</v>
      </c>
      <c r="E193" s="6" t="s">
        <v>1526</v>
      </c>
      <c r="F193" s="78">
        <v>49.0</v>
      </c>
      <c r="G193" s="83" t="s">
        <v>1527</v>
      </c>
    </row>
    <row r="194">
      <c r="A194" s="6">
        <v>95.0</v>
      </c>
      <c r="B194" s="76" t="str">
        <f>IFERROR(VLOOKUP($A194,EVENTO!$A$2:$C$4999,2,FALSE),"")</f>
        <v>CADASTRO</v>
      </c>
      <c r="C194" s="76" t="str">
        <f>IFERROR(VLOOKUP($A194,EVENTO!$A$2:$C$4999,3,FALSE),"")</f>
        <v>FMS PB</v>
      </c>
      <c r="D194" s="81" t="s">
        <v>1409</v>
      </c>
      <c r="E194" s="6" t="s">
        <v>1528</v>
      </c>
      <c r="F194" s="78">
        <v>2.0</v>
      </c>
      <c r="G194" s="83" t="s">
        <v>1529</v>
      </c>
    </row>
    <row r="195">
      <c r="A195" s="6">
        <v>95.0</v>
      </c>
      <c r="B195" s="76" t="str">
        <f>IFERROR(VLOOKUP($A195,EVENTO!$A$2:$C$4999,2,FALSE),"")</f>
        <v>CADASTRO</v>
      </c>
      <c r="C195" s="76" t="str">
        <f>IFERROR(VLOOKUP($A195,EVENTO!$A$2:$C$4999,3,FALSE),"")</f>
        <v>FMS PB</v>
      </c>
      <c r="D195" s="81" t="s">
        <v>1477</v>
      </c>
      <c r="E195" s="6" t="s">
        <v>1530</v>
      </c>
      <c r="F195" s="78">
        <v>2.0</v>
      </c>
      <c r="G195" s="83" t="s">
        <v>1531</v>
      </c>
    </row>
    <row r="196">
      <c r="A196" s="6">
        <v>95.0</v>
      </c>
      <c r="B196" s="76" t="str">
        <f>IFERROR(VLOOKUP($A196,EVENTO!$A$2:$C$4999,2,FALSE),"")</f>
        <v>CADASTRO</v>
      </c>
      <c r="C196" s="76" t="str">
        <f>IFERROR(VLOOKUP($A196,EVENTO!$A$2:$C$4999,3,FALSE),"")</f>
        <v>FMS PB</v>
      </c>
      <c r="D196" s="78" t="s">
        <v>1532</v>
      </c>
      <c r="E196" s="6" t="s">
        <v>1533</v>
      </c>
      <c r="F196" s="78">
        <v>1.0</v>
      </c>
      <c r="G196" s="83" t="s">
        <v>1534</v>
      </c>
    </row>
    <row r="197">
      <c r="A197" s="6">
        <v>99.0</v>
      </c>
      <c r="B197" s="76" t="str">
        <f>IFERROR(VLOOKUP($A197,EVENTO!$A$2:$C$4999,2,FALSE),"")</f>
        <v>ADITIVO DE REAJUSTE E PRAZO</v>
      </c>
      <c r="C197" s="76" t="str">
        <f>IFERROR(VLOOKUP($A197,EVENTO!$A$2:$C$4999,3,FALSE),"")</f>
        <v>CITINOVA</v>
      </c>
      <c r="D197" s="78" t="s">
        <v>1481</v>
      </c>
      <c r="E197" s="6" t="s">
        <v>1482</v>
      </c>
      <c r="F197" s="78">
        <v>30.0</v>
      </c>
      <c r="G197" s="83">
        <v>515.1652</v>
      </c>
    </row>
    <row r="198">
      <c r="A198" s="6">
        <v>99.0</v>
      </c>
      <c r="B198" s="76" t="str">
        <f>IFERROR(VLOOKUP($A198,EVENTO!$A$2:$C$4999,2,FALSE),"")</f>
        <v>ADITIVO DE REAJUSTE E PRAZO</v>
      </c>
      <c r="C198" s="76" t="str">
        <f>IFERROR(VLOOKUP($A198,EVENTO!$A$2:$C$4999,3,FALSE),"")</f>
        <v>CITINOVA</v>
      </c>
      <c r="D198" s="78" t="s">
        <v>1483</v>
      </c>
      <c r="E198" s="6" t="s">
        <v>1484</v>
      </c>
      <c r="F198" s="78">
        <v>25.0</v>
      </c>
      <c r="G198" s="83">
        <v>373.2018</v>
      </c>
    </row>
    <row r="199">
      <c r="A199" s="6">
        <v>99.0</v>
      </c>
      <c r="B199" s="76" t="str">
        <f>IFERROR(VLOOKUP($A199,EVENTO!$A$2:$C$4999,2,FALSE),"")</f>
        <v>ADITIVO DE REAJUSTE E PRAZO</v>
      </c>
      <c r="C199" s="76" t="str">
        <f>IFERROR(VLOOKUP($A199,EVENTO!$A$2:$C$4999,3,FALSE),"")</f>
        <v>CITINOVA</v>
      </c>
      <c r="D199" s="78" t="s">
        <v>1485</v>
      </c>
      <c r="E199" s="6" t="s">
        <v>1486</v>
      </c>
      <c r="F199" s="78">
        <v>10.0</v>
      </c>
      <c r="G199" s="83">
        <v>12.92559</v>
      </c>
    </row>
    <row r="200">
      <c r="A200" s="6">
        <v>99.0</v>
      </c>
      <c r="B200" s="76" t="str">
        <f>IFERROR(VLOOKUP($A200,EVENTO!$A$2:$C$4999,2,FALSE),"")</f>
        <v>ADITIVO DE REAJUSTE E PRAZO</v>
      </c>
      <c r="C200" s="76" t="str">
        <f>IFERROR(VLOOKUP($A200,EVENTO!$A$2:$C$4999,3,FALSE),"")</f>
        <v>CITINOVA</v>
      </c>
      <c r="D200" s="77" t="s">
        <v>1491</v>
      </c>
      <c r="E200" s="11" t="s">
        <v>1492</v>
      </c>
      <c r="F200" s="78">
        <v>4.0</v>
      </c>
      <c r="G200" s="83">
        <v>273.5138</v>
      </c>
    </row>
    <row r="201">
      <c r="A201" s="6">
        <v>99.0</v>
      </c>
      <c r="B201" s="76" t="str">
        <f>IFERROR(VLOOKUP($A201,EVENTO!$A$2:$C$4999,2,FALSE),"")</f>
        <v>ADITIVO DE REAJUSTE E PRAZO</v>
      </c>
      <c r="C201" s="76" t="str">
        <f>IFERROR(VLOOKUP($A201,EVENTO!$A$2:$C$4999,3,FALSE),"")</f>
        <v>CITINOVA</v>
      </c>
      <c r="D201" s="78" t="s">
        <v>1493</v>
      </c>
      <c r="E201" s="6" t="s">
        <v>1494</v>
      </c>
      <c r="F201" s="78">
        <v>7.0</v>
      </c>
      <c r="G201" s="83">
        <v>87.85248</v>
      </c>
    </row>
    <row r="202">
      <c r="A202" s="6">
        <v>99.0</v>
      </c>
      <c r="B202" s="76" t="str">
        <f>IFERROR(VLOOKUP($A202,EVENTO!$A$2:$C$4999,2,FALSE),"")</f>
        <v>ADITIVO DE REAJUSTE E PRAZO</v>
      </c>
      <c r="C202" s="76" t="str">
        <f>IFERROR(VLOOKUP($A202,EVENTO!$A$2:$C$4999,3,FALSE),"")</f>
        <v>CITINOVA</v>
      </c>
      <c r="D202" s="78" t="s">
        <v>1495</v>
      </c>
      <c r="E202" s="6" t="s">
        <v>1496</v>
      </c>
      <c r="F202" s="78">
        <v>5.0</v>
      </c>
      <c r="G202" s="83">
        <v>28.16637</v>
      </c>
    </row>
    <row r="203">
      <c r="A203" s="6">
        <v>99.0</v>
      </c>
      <c r="B203" s="76" t="str">
        <f>IFERROR(VLOOKUP($A203,EVENTO!$A$2:$C$4999,2,FALSE),"")</f>
        <v>ADITIVO DE REAJUSTE E PRAZO</v>
      </c>
      <c r="C203" s="76" t="str">
        <f>IFERROR(VLOOKUP($A203,EVENTO!$A$2:$C$4999,3,FALSE),"")</f>
        <v>CITINOVA</v>
      </c>
      <c r="D203" s="78" t="s">
        <v>1497</v>
      </c>
      <c r="E203" s="6" t="s">
        <v>1498</v>
      </c>
      <c r="F203" s="78">
        <v>2.0</v>
      </c>
      <c r="G203" s="83">
        <v>192.1708</v>
      </c>
    </row>
    <row r="204">
      <c r="A204" s="6">
        <v>99.0</v>
      </c>
      <c r="B204" s="76" t="str">
        <f>IFERROR(VLOOKUP($A204,EVENTO!$A$2:$C$4999,2,FALSE),"")</f>
        <v>ADITIVO DE REAJUSTE E PRAZO</v>
      </c>
      <c r="C204" s="76" t="str">
        <f>IFERROR(VLOOKUP($A204,EVENTO!$A$2:$C$4999,3,FALSE),"")</f>
        <v>CITINOVA</v>
      </c>
      <c r="D204" s="78" t="s">
        <v>1499</v>
      </c>
      <c r="E204" s="6" t="s">
        <v>1500</v>
      </c>
      <c r="F204" s="78">
        <v>1.0</v>
      </c>
      <c r="G204" s="83">
        <v>254.4524</v>
      </c>
    </row>
    <row r="205">
      <c r="A205" s="6">
        <v>100.0</v>
      </c>
      <c r="B205" s="76" t="str">
        <f>IFERROR(VLOOKUP($A205,EVENTO!$A$2:$C$4999,2,FALSE),"")</f>
        <v>ADITIVO DE PRAZO</v>
      </c>
      <c r="C205" s="76" t="str">
        <f>IFERROR(VLOOKUP($A205,EVENTO!$A$2:$C$4999,3,FALSE),"")</f>
        <v>CITINOVA</v>
      </c>
      <c r="D205" s="78" t="s">
        <v>1481</v>
      </c>
      <c r="E205" s="6" t="s">
        <v>1482</v>
      </c>
      <c r="F205" s="78">
        <v>30.0</v>
      </c>
      <c r="G205" s="83">
        <v>515.1652</v>
      </c>
    </row>
    <row r="206">
      <c r="A206" s="6">
        <v>100.0</v>
      </c>
      <c r="B206" s="76" t="str">
        <f>IFERROR(VLOOKUP($A206,EVENTO!$A$2:$C$4999,2,FALSE),"")</f>
        <v>ADITIVO DE PRAZO</v>
      </c>
      <c r="C206" s="76" t="str">
        <f>IFERROR(VLOOKUP($A206,EVENTO!$A$2:$C$4999,3,FALSE),"")</f>
        <v>CITINOVA</v>
      </c>
      <c r="D206" s="78" t="s">
        <v>1483</v>
      </c>
      <c r="E206" s="6" t="s">
        <v>1484</v>
      </c>
      <c r="F206" s="78">
        <v>25.0</v>
      </c>
      <c r="G206" s="83">
        <v>373.2018</v>
      </c>
    </row>
    <row r="207">
      <c r="A207" s="6">
        <v>100.0</v>
      </c>
      <c r="B207" s="76" t="str">
        <f>IFERROR(VLOOKUP($A207,EVENTO!$A$2:$C$4999,2,FALSE),"")</f>
        <v>ADITIVO DE PRAZO</v>
      </c>
      <c r="C207" s="76" t="str">
        <f>IFERROR(VLOOKUP($A207,EVENTO!$A$2:$C$4999,3,FALSE),"")</f>
        <v>CITINOVA</v>
      </c>
      <c r="D207" s="78" t="s">
        <v>1485</v>
      </c>
      <c r="E207" s="6" t="s">
        <v>1486</v>
      </c>
      <c r="F207" s="78">
        <v>10.0</v>
      </c>
      <c r="G207" s="83">
        <v>12.92559</v>
      </c>
    </row>
    <row r="208">
      <c r="A208" s="6">
        <v>100.0</v>
      </c>
      <c r="B208" s="76" t="str">
        <f>IFERROR(VLOOKUP($A208,EVENTO!$A$2:$C$4999,2,FALSE),"")</f>
        <v>ADITIVO DE PRAZO</v>
      </c>
      <c r="C208" s="76" t="str">
        <f>IFERROR(VLOOKUP($A208,EVENTO!$A$2:$C$4999,3,FALSE),"")</f>
        <v>CITINOVA</v>
      </c>
      <c r="D208" s="77" t="s">
        <v>1491</v>
      </c>
      <c r="E208" s="11" t="s">
        <v>1492</v>
      </c>
      <c r="F208" s="78">
        <v>4.0</v>
      </c>
      <c r="G208" s="83">
        <v>273.5138</v>
      </c>
    </row>
    <row r="209">
      <c r="A209" s="6">
        <v>100.0</v>
      </c>
      <c r="B209" s="76" t="str">
        <f>IFERROR(VLOOKUP($A209,EVENTO!$A$2:$C$4999,2,FALSE),"")</f>
        <v>ADITIVO DE PRAZO</v>
      </c>
      <c r="C209" s="76" t="str">
        <f>IFERROR(VLOOKUP($A209,EVENTO!$A$2:$C$4999,3,FALSE),"")</f>
        <v>CITINOVA</v>
      </c>
      <c r="D209" s="78" t="s">
        <v>1493</v>
      </c>
      <c r="E209" s="6" t="s">
        <v>1494</v>
      </c>
      <c r="F209" s="78">
        <v>7.0</v>
      </c>
      <c r="G209" s="83">
        <v>87.85248</v>
      </c>
    </row>
    <row r="210">
      <c r="A210" s="6">
        <v>100.0</v>
      </c>
      <c r="B210" s="76" t="str">
        <f>IFERROR(VLOOKUP($A210,EVENTO!$A$2:$C$4999,2,FALSE),"")</f>
        <v>ADITIVO DE PRAZO</v>
      </c>
      <c r="C210" s="76" t="str">
        <f>IFERROR(VLOOKUP($A210,EVENTO!$A$2:$C$4999,3,FALSE),"")</f>
        <v>CITINOVA</v>
      </c>
      <c r="D210" s="78" t="s">
        <v>1495</v>
      </c>
      <c r="E210" s="6" t="s">
        <v>1496</v>
      </c>
      <c r="F210" s="78">
        <v>5.0</v>
      </c>
      <c r="G210" s="83">
        <v>28.16637</v>
      </c>
    </row>
    <row r="211">
      <c r="A211" s="6">
        <v>100.0</v>
      </c>
      <c r="B211" s="76" t="str">
        <f>IFERROR(VLOOKUP($A211,EVENTO!$A$2:$C$4999,2,FALSE),"")</f>
        <v>ADITIVO DE PRAZO</v>
      </c>
      <c r="C211" s="76" t="str">
        <f>IFERROR(VLOOKUP($A211,EVENTO!$A$2:$C$4999,3,FALSE),"")</f>
        <v>CITINOVA</v>
      </c>
      <c r="D211" s="78" t="s">
        <v>1497</v>
      </c>
      <c r="E211" s="6" t="s">
        <v>1498</v>
      </c>
      <c r="F211" s="78">
        <v>2.0</v>
      </c>
      <c r="G211" s="83">
        <v>192.1708</v>
      </c>
    </row>
    <row r="212">
      <c r="A212" s="6">
        <v>100.0</v>
      </c>
      <c r="B212" s="76" t="str">
        <f>IFERROR(VLOOKUP($A212,EVENTO!$A$2:$C$4999,2,FALSE),"")</f>
        <v>ADITIVO DE PRAZO</v>
      </c>
      <c r="C212" s="76" t="str">
        <f>IFERROR(VLOOKUP($A212,EVENTO!$A$2:$C$4999,3,FALSE),"")</f>
        <v>CITINOVA</v>
      </c>
      <c r="D212" s="78" t="s">
        <v>1499</v>
      </c>
      <c r="E212" s="6" t="s">
        <v>1500</v>
      </c>
      <c r="F212" s="78">
        <v>1.0</v>
      </c>
      <c r="G212" s="83">
        <v>254.4524</v>
      </c>
    </row>
    <row r="213">
      <c r="A213" s="6">
        <v>96.0</v>
      </c>
      <c r="B213" s="76" t="str">
        <f>IFERROR(VLOOKUP($A213,EVENTO!$A$2:$C$4999,2,FALSE),"")</f>
        <v>ADITIVO DE PRAZO</v>
      </c>
      <c r="C213" s="76" t="str">
        <f>IFERROR(VLOOKUP($A213,EVENTO!$A$2:$C$4999,3,FALSE),"")</f>
        <v>FMS PB</v>
      </c>
      <c r="D213" s="78" t="s">
        <v>1513</v>
      </c>
      <c r="E213" s="84" t="s">
        <v>1514</v>
      </c>
      <c r="F213" s="78">
        <v>25.0</v>
      </c>
      <c r="G213" s="79" t="s">
        <v>1515</v>
      </c>
    </row>
    <row r="214">
      <c r="A214" s="6">
        <v>96.0</v>
      </c>
      <c r="B214" s="76" t="str">
        <f>IFERROR(VLOOKUP($A214,EVENTO!$A$2:$C$4999,2,FALSE),"")</f>
        <v>ADITIVO DE PRAZO</v>
      </c>
      <c r="C214" s="76" t="str">
        <f>IFERROR(VLOOKUP($A214,EVENTO!$A$2:$C$4999,3,FALSE),"")</f>
        <v>FMS PB</v>
      </c>
      <c r="D214" s="81" t="s">
        <v>1487</v>
      </c>
      <c r="E214" s="84" t="s">
        <v>1516</v>
      </c>
      <c r="F214" s="78">
        <v>185.0</v>
      </c>
      <c r="G214" s="79" t="s">
        <v>1517</v>
      </c>
    </row>
    <row r="215">
      <c r="A215" s="6">
        <v>96.0</v>
      </c>
      <c r="B215" s="76" t="str">
        <f>IFERROR(VLOOKUP($A215,EVENTO!$A$2:$C$4999,2,FALSE),"")</f>
        <v>ADITIVO DE PRAZO</v>
      </c>
      <c r="C215" s="76" t="str">
        <f>IFERROR(VLOOKUP($A215,EVENTO!$A$2:$C$4999,3,FALSE),"")</f>
        <v>FMS PB</v>
      </c>
      <c r="D215" s="81" t="s">
        <v>1380</v>
      </c>
      <c r="E215" s="6" t="s">
        <v>1526</v>
      </c>
      <c r="F215" s="78">
        <v>49.0</v>
      </c>
      <c r="G215" s="83" t="s">
        <v>1527</v>
      </c>
    </row>
    <row r="216">
      <c r="A216" s="6">
        <v>96.0</v>
      </c>
      <c r="B216" s="76" t="str">
        <f>IFERROR(VLOOKUP($A216,EVENTO!$A$2:$C$4999,2,FALSE),"")</f>
        <v>ADITIVO DE PRAZO</v>
      </c>
      <c r="C216" s="76" t="str">
        <f>IFERROR(VLOOKUP($A216,EVENTO!$A$2:$C$4999,3,FALSE),"")</f>
        <v>FMS PB</v>
      </c>
      <c r="D216" s="81" t="s">
        <v>1409</v>
      </c>
      <c r="E216" s="6" t="s">
        <v>1528</v>
      </c>
      <c r="F216" s="78">
        <v>2.0</v>
      </c>
      <c r="G216" s="83" t="s">
        <v>1529</v>
      </c>
    </row>
    <row r="217">
      <c r="A217" s="6">
        <v>96.0</v>
      </c>
      <c r="B217" s="76" t="str">
        <f>IFERROR(VLOOKUP($A217,EVENTO!$A$2:$C$4999,2,FALSE),"")</f>
        <v>ADITIVO DE PRAZO</v>
      </c>
      <c r="C217" s="76" t="str">
        <f>IFERROR(VLOOKUP($A217,EVENTO!$A$2:$C$4999,3,FALSE),"")</f>
        <v>FMS PB</v>
      </c>
      <c r="D217" s="81" t="s">
        <v>1477</v>
      </c>
      <c r="E217" s="6" t="s">
        <v>1530</v>
      </c>
      <c r="F217" s="78">
        <v>2.0</v>
      </c>
      <c r="G217" s="83" t="s">
        <v>1531</v>
      </c>
    </row>
    <row r="218">
      <c r="A218" s="6">
        <v>96.0</v>
      </c>
      <c r="B218" s="76" t="str">
        <f>IFERROR(VLOOKUP($A218,EVENTO!$A$2:$C$4999,2,FALSE),"")</f>
        <v>ADITIVO DE PRAZO</v>
      </c>
      <c r="C218" s="76" t="str">
        <f>IFERROR(VLOOKUP($A218,EVENTO!$A$2:$C$4999,3,FALSE),"")</f>
        <v>FMS PB</v>
      </c>
      <c r="D218" s="78" t="s">
        <v>1532</v>
      </c>
      <c r="E218" s="6" t="s">
        <v>1533</v>
      </c>
      <c r="F218" s="78">
        <v>1.0</v>
      </c>
      <c r="G218" s="83" t="s">
        <v>1534</v>
      </c>
    </row>
    <row r="219">
      <c r="A219" s="6">
        <v>97.0</v>
      </c>
      <c r="B219" s="76" t="str">
        <f>IFERROR(VLOOKUP($A219,EVENTO!$A$2:$C$4999,2,FALSE),"")</f>
        <v>ADITIVO DE PRAZO</v>
      </c>
      <c r="C219" s="76" t="str">
        <f>IFERROR(VLOOKUP($A219,EVENTO!$A$2:$C$4999,3,FALSE),"")</f>
        <v>FMS PB</v>
      </c>
      <c r="D219" s="78" t="s">
        <v>1513</v>
      </c>
      <c r="E219" s="84" t="s">
        <v>1514</v>
      </c>
      <c r="F219" s="78">
        <v>25.0</v>
      </c>
      <c r="G219" s="79" t="s">
        <v>1515</v>
      </c>
    </row>
    <row r="220">
      <c r="A220" s="6">
        <v>97.0</v>
      </c>
      <c r="B220" s="76" t="str">
        <f>IFERROR(VLOOKUP($A220,EVENTO!$A$2:$C$4999,2,FALSE),"")</f>
        <v>ADITIVO DE PRAZO</v>
      </c>
      <c r="C220" s="76" t="str">
        <f>IFERROR(VLOOKUP($A220,EVENTO!$A$2:$C$4999,3,FALSE),"")</f>
        <v>FMS PB</v>
      </c>
      <c r="D220" s="81" t="s">
        <v>1487</v>
      </c>
      <c r="E220" s="84" t="s">
        <v>1516</v>
      </c>
      <c r="F220" s="78">
        <v>185.0</v>
      </c>
      <c r="G220" s="79" t="s">
        <v>1517</v>
      </c>
    </row>
    <row r="221">
      <c r="A221" s="6">
        <v>97.0</v>
      </c>
      <c r="B221" s="76" t="str">
        <f>IFERROR(VLOOKUP($A221,EVENTO!$A$2:$C$4999,2,FALSE),"")</f>
        <v>ADITIVO DE PRAZO</v>
      </c>
      <c r="C221" s="76" t="str">
        <f>IFERROR(VLOOKUP($A221,EVENTO!$A$2:$C$4999,3,FALSE),"")</f>
        <v>FMS PB</v>
      </c>
      <c r="D221" s="81" t="s">
        <v>1380</v>
      </c>
      <c r="E221" s="6" t="s">
        <v>1526</v>
      </c>
      <c r="F221" s="78">
        <v>49.0</v>
      </c>
      <c r="G221" s="83" t="s">
        <v>1527</v>
      </c>
    </row>
    <row r="222">
      <c r="A222" s="6">
        <v>97.0</v>
      </c>
      <c r="B222" s="76" t="str">
        <f>IFERROR(VLOOKUP($A222,EVENTO!$A$2:$C$4999,2,FALSE),"")</f>
        <v>ADITIVO DE PRAZO</v>
      </c>
      <c r="C222" s="76" t="str">
        <f>IFERROR(VLOOKUP($A222,EVENTO!$A$2:$C$4999,3,FALSE),"")</f>
        <v>FMS PB</v>
      </c>
      <c r="D222" s="81" t="s">
        <v>1409</v>
      </c>
      <c r="E222" s="6" t="s">
        <v>1528</v>
      </c>
      <c r="F222" s="78">
        <v>2.0</v>
      </c>
      <c r="G222" s="83" t="s">
        <v>1529</v>
      </c>
    </row>
    <row r="223">
      <c r="A223" s="6">
        <v>97.0</v>
      </c>
      <c r="B223" s="76" t="str">
        <f>IFERROR(VLOOKUP($A223,EVENTO!$A$2:$C$4999,2,FALSE),"")</f>
        <v>ADITIVO DE PRAZO</v>
      </c>
      <c r="C223" s="76" t="str">
        <f>IFERROR(VLOOKUP($A223,EVENTO!$A$2:$C$4999,3,FALSE),"")</f>
        <v>FMS PB</v>
      </c>
      <c r="D223" s="81" t="s">
        <v>1477</v>
      </c>
      <c r="E223" s="6" t="s">
        <v>1530</v>
      </c>
      <c r="F223" s="78">
        <v>2.0</v>
      </c>
      <c r="G223" s="83" t="s">
        <v>1531</v>
      </c>
    </row>
    <row r="224">
      <c r="A224" s="6">
        <v>97.0</v>
      </c>
      <c r="B224" s="76" t="str">
        <f>IFERROR(VLOOKUP($A224,EVENTO!$A$2:$C$4999,2,FALSE),"")</f>
        <v>ADITIVO DE PRAZO</v>
      </c>
      <c r="C224" s="76" t="str">
        <f>IFERROR(VLOOKUP($A224,EVENTO!$A$2:$C$4999,3,FALSE),"")</f>
        <v>FMS PB</v>
      </c>
      <c r="D224" s="78" t="s">
        <v>1532</v>
      </c>
      <c r="E224" s="6" t="s">
        <v>1533</v>
      </c>
      <c r="F224" s="78">
        <v>1.0</v>
      </c>
      <c r="G224" s="83" t="s">
        <v>1534</v>
      </c>
    </row>
    <row r="225">
      <c r="A225" s="6">
        <v>101.0</v>
      </c>
      <c r="B225" s="76" t="str">
        <f>IFERROR(VLOOKUP($A225,EVENTO!$A$2:$C$4999,2,FALSE),"")</f>
        <v>CADASTRO</v>
      </c>
      <c r="C225" s="76" t="str">
        <f>IFERROR(VLOOKUP($A225,EVENTO!$A$2:$C$4999,3,FALSE),"")</f>
        <v>SEMCAS - 017-2022</v>
      </c>
      <c r="D225" s="78" t="s">
        <v>1460</v>
      </c>
      <c r="E225" s="6" t="s">
        <v>1535</v>
      </c>
      <c r="F225" s="78">
        <v>10.0</v>
      </c>
      <c r="G225" s="79">
        <v>344.75</v>
      </c>
    </row>
    <row r="226">
      <c r="A226" s="6">
        <v>101.0</v>
      </c>
      <c r="B226" s="76" t="str">
        <f>IFERROR(VLOOKUP($A226,EVENTO!$A$2:$C$4999,2,FALSE),"")</f>
        <v>CADASTRO</v>
      </c>
      <c r="C226" s="76" t="str">
        <f>IFERROR(VLOOKUP($A226,EVENTO!$A$2:$C$4999,3,FALSE),"")</f>
        <v>SEMCAS - 017-2022</v>
      </c>
      <c r="D226" s="78" t="s">
        <v>1467</v>
      </c>
      <c r="E226" s="6" t="s">
        <v>1536</v>
      </c>
      <c r="F226" s="78">
        <v>300.0</v>
      </c>
      <c r="G226" s="79">
        <v>173.93</v>
      </c>
    </row>
    <row r="227">
      <c r="A227" s="6">
        <v>101.0</v>
      </c>
      <c r="B227" s="76" t="str">
        <f>IFERROR(VLOOKUP($A227,EVENTO!$A$2:$C$4999,2,FALSE),"")</f>
        <v>CADASTRO</v>
      </c>
      <c r="C227" s="76" t="str">
        <f>IFERROR(VLOOKUP($A227,EVENTO!$A$2:$C$4999,3,FALSE),"")</f>
        <v>SEMCAS - 017-2022</v>
      </c>
      <c r="D227" s="78" t="s">
        <v>1537</v>
      </c>
      <c r="E227" s="6" t="s">
        <v>1538</v>
      </c>
      <c r="F227" s="78">
        <v>1.0</v>
      </c>
      <c r="G227" s="79">
        <v>199.46</v>
      </c>
    </row>
    <row r="228">
      <c r="A228" s="6">
        <v>101.0</v>
      </c>
      <c r="B228" s="76" t="str">
        <f>IFERROR(VLOOKUP($A228,EVENTO!$A$2:$C$4999,2,FALSE),"")</f>
        <v>CADASTRO</v>
      </c>
      <c r="C228" s="76" t="str">
        <f>IFERROR(VLOOKUP($A228,EVENTO!$A$2:$C$4999,3,FALSE),"")</f>
        <v>SEMCAS - 017-2022</v>
      </c>
      <c r="D228" s="78" t="s">
        <v>1539</v>
      </c>
      <c r="E228" s="6" t="s">
        <v>1540</v>
      </c>
      <c r="F228" s="78">
        <v>1.0</v>
      </c>
      <c r="G228" s="79">
        <v>63.8</v>
      </c>
    </row>
    <row r="229">
      <c r="A229" s="6">
        <v>101.0</v>
      </c>
      <c r="B229" s="76" t="str">
        <f>IFERROR(VLOOKUP($A229,EVENTO!$A$2:$C$4999,2,FALSE),"")</f>
        <v>CADASTRO</v>
      </c>
      <c r="C229" s="76" t="str">
        <f>IFERROR(VLOOKUP($A229,EVENTO!$A$2:$C$4999,3,FALSE),"")</f>
        <v>SEMCAS - 017-2022</v>
      </c>
      <c r="D229" s="78" t="s">
        <v>1541</v>
      </c>
      <c r="E229" s="6" t="s">
        <v>1541</v>
      </c>
      <c r="F229" s="78">
        <v>1.0</v>
      </c>
      <c r="G229" s="79">
        <v>182.78</v>
      </c>
    </row>
    <row r="230">
      <c r="A230" s="6">
        <v>102.0</v>
      </c>
      <c r="B230" s="76" t="str">
        <f>IFERROR(VLOOKUP($A230,EVENTO!$A$2:$C$4999,2,FALSE),"")</f>
        <v>ADITIVO DE PRAZO</v>
      </c>
      <c r="C230" s="76" t="str">
        <f>IFERROR(VLOOKUP($A230,EVENTO!$A$2:$C$4999,3,FALSE),"")</f>
        <v>SEMCAS - 017-2022</v>
      </c>
      <c r="D230" s="78" t="s">
        <v>1460</v>
      </c>
      <c r="E230" s="6" t="s">
        <v>1535</v>
      </c>
      <c r="F230" s="78">
        <v>10.0</v>
      </c>
      <c r="G230" s="79">
        <v>344.75</v>
      </c>
    </row>
    <row r="231">
      <c r="A231" s="6">
        <v>102.0</v>
      </c>
      <c r="B231" s="76" t="str">
        <f>IFERROR(VLOOKUP($A231,EVENTO!$A$2:$C$4999,2,FALSE),"")</f>
        <v>ADITIVO DE PRAZO</v>
      </c>
      <c r="C231" s="76" t="str">
        <f>IFERROR(VLOOKUP($A231,EVENTO!$A$2:$C$4999,3,FALSE),"")</f>
        <v>SEMCAS - 017-2022</v>
      </c>
      <c r="D231" s="78" t="s">
        <v>1467</v>
      </c>
      <c r="E231" s="6" t="s">
        <v>1536</v>
      </c>
      <c r="F231" s="78">
        <v>300.0</v>
      </c>
      <c r="G231" s="79">
        <v>173.93</v>
      </c>
    </row>
    <row r="232">
      <c r="A232" s="6">
        <v>102.0</v>
      </c>
      <c r="B232" s="76" t="str">
        <f>IFERROR(VLOOKUP($A232,EVENTO!$A$2:$C$4999,2,FALSE),"")</f>
        <v>ADITIVO DE PRAZO</v>
      </c>
      <c r="C232" s="76" t="str">
        <f>IFERROR(VLOOKUP($A232,EVENTO!$A$2:$C$4999,3,FALSE),"")</f>
        <v>SEMCAS - 017-2022</v>
      </c>
      <c r="D232" s="78" t="s">
        <v>1537</v>
      </c>
      <c r="E232" s="6" t="s">
        <v>1538</v>
      </c>
      <c r="F232" s="78">
        <v>1.0</v>
      </c>
      <c r="G232" s="79">
        <v>199.46</v>
      </c>
    </row>
    <row r="233">
      <c r="A233" s="6">
        <v>102.0</v>
      </c>
      <c r="B233" s="76" t="str">
        <f>IFERROR(VLOOKUP($A233,EVENTO!$A$2:$C$4999,2,FALSE),"")</f>
        <v>ADITIVO DE PRAZO</v>
      </c>
      <c r="C233" s="76" t="str">
        <f>IFERROR(VLOOKUP($A233,EVENTO!$A$2:$C$4999,3,FALSE),"")</f>
        <v>SEMCAS - 017-2022</v>
      </c>
      <c r="D233" s="78" t="s">
        <v>1539</v>
      </c>
      <c r="E233" s="6" t="s">
        <v>1540</v>
      </c>
      <c r="F233" s="78">
        <v>1.0</v>
      </c>
      <c r="G233" s="79">
        <v>63.8</v>
      </c>
    </row>
    <row r="234">
      <c r="A234" s="6">
        <v>102.0</v>
      </c>
      <c r="B234" s="76" t="str">
        <f>IFERROR(VLOOKUP($A234,EVENTO!$A$2:$C$4999,2,FALSE),"")</f>
        <v>ADITIVO DE PRAZO</v>
      </c>
      <c r="C234" s="76" t="str">
        <f>IFERROR(VLOOKUP($A234,EVENTO!$A$2:$C$4999,3,FALSE),"")</f>
        <v>SEMCAS - 017-2022</v>
      </c>
      <c r="D234" s="78" t="s">
        <v>1541</v>
      </c>
      <c r="E234" s="6" t="s">
        <v>1541</v>
      </c>
      <c r="F234" s="78">
        <v>1.0</v>
      </c>
      <c r="G234" s="79">
        <v>182.78</v>
      </c>
    </row>
    <row r="235">
      <c r="A235" s="6">
        <v>105.0</v>
      </c>
      <c r="B235" s="76" t="str">
        <f>IFERROR(VLOOKUP($A235,EVENTO!$A$2:$C$4999,2,FALSE),"")</f>
        <v>CADASTRO</v>
      </c>
      <c r="C235" s="76" t="str">
        <f>IFERROR(VLOOKUP($A235,EVENTO!$A$2:$C$4999,3,FALSE),"")</f>
        <v>SEMCAS - 019-2022</v>
      </c>
      <c r="D235" s="81" t="s">
        <v>1542</v>
      </c>
      <c r="E235" s="6" t="s">
        <v>1543</v>
      </c>
      <c r="F235" s="78">
        <v>60.0</v>
      </c>
      <c r="G235" s="79">
        <v>286.34</v>
      </c>
    </row>
    <row r="236">
      <c r="A236" s="6">
        <v>103.0</v>
      </c>
      <c r="B236" s="76" t="str">
        <f>IFERROR(VLOOKUP($A236,EVENTO!$A$2:$C$4999,2,FALSE),"")</f>
        <v>ADITIVO DE QUANTIDADE</v>
      </c>
      <c r="C236" s="76" t="str">
        <f>IFERROR(VLOOKUP($A236,EVENTO!$A$2:$C$4999,3,FALSE),"")</f>
        <v>SEMCAS - 017-2022</v>
      </c>
      <c r="D236" s="78" t="s">
        <v>1460</v>
      </c>
      <c r="E236" s="6" t="s">
        <v>1535</v>
      </c>
      <c r="F236" s="78">
        <v>12.0</v>
      </c>
      <c r="G236" s="79">
        <v>344.75</v>
      </c>
    </row>
    <row r="237">
      <c r="A237" s="6">
        <v>103.0</v>
      </c>
      <c r="B237" s="76" t="str">
        <f>IFERROR(VLOOKUP($A237,EVENTO!$A$2:$C$4999,2,FALSE),"")</f>
        <v>ADITIVO DE QUANTIDADE</v>
      </c>
      <c r="C237" s="76" t="str">
        <f>IFERROR(VLOOKUP($A237,EVENTO!$A$2:$C$4999,3,FALSE),"")</f>
        <v>SEMCAS - 017-2022</v>
      </c>
      <c r="D237" s="78" t="s">
        <v>1467</v>
      </c>
      <c r="E237" s="6" t="s">
        <v>1536</v>
      </c>
      <c r="F237" s="78">
        <v>375.0</v>
      </c>
      <c r="G237" s="79">
        <v>173.93</v>
      </c>
    </row>
    <row r="238">
      <c r="A238" s="6">
        <v>103.0</v>
      </c>
      <c r="B238" s="76" t="str">
        <f>IFERROR(VLOOKUP($A238,EVENTO!$A$2:$C$4999,2,FALSE),"")</f>
        <v>ADITIVO DE QUANTIDADE</v>
      </c>
      <c r="C238" s="76" t="str">
        <f>IFERROR(VLOOKUP($A238,EVENTO!$A$2:$C$4999,3,FALSE),"")</f>
        <v>SEMCAS - 017-2022</v>
      </c>
      <c r="D238" s="78" t="s">
        <v>1537</v>
      </c>
      <c r="E238" s="6" t="s">
        <v>1538</v>
      </c>
      <c r="F238" s="78">
        <v>1.0</v>
      </c>
      <c r="G238" s="79">
        <v>199.46</v>
      </c>
    </row>
    <row r="239">
      <c r="A239" s="6">
        <v>103.0</v>
      </c>
      <c r="B239" s="76" t="str">
        <f>IFERROR(VLOOKUP($A239,EVENTO!$A$2:$C$4999,2,FALSE),"")</f>
        <v>ADITIVO DE QUANTIDADE</v>
      </c>
      <c r="C239" s="76" t="str">
        <f>IFERROR(VLOOKUP($A239,EVENTO!$A$2:$C$4999,3,FALSE),"")</f>
        <v>SEMCAS - 017-2022</v>
      </c>
      <c r="D239" s="78" t="s">
        <v>1539</v>
      </c>
      <c r="E239" s="6" t="s">
        <v>1540</v>
      </c>
      <c r="F239" s="78">
        <v>1.0</v>
      </c>
      <c r="G239" s="79">
        <v>63.8</v>
      </c>
    </row>
    <row r="240">
      <c r="A240" s="6">
        <v>103.0</v>
      </c>
      <c r="B240" s="76" t="str">
        <f>IFERROR(VLOOKUP($A240,EVENTO!$A$2:$C$4999,2,FALSE),"")</f>
        <v>ADITIVO DE QUANTIDADE</v>
      </c>
      <c r="C240" s="76" t="str">
        <f>IFERROR(VLOOKUP($A240,EVENTO!$A$2:$C$4999,3,FALSE),"")</f>
        <v>SEMCAS - 017-2022</v>
      </c>
      <c r="D240" s="78" t="s">
        <v>1541</v>
      </c>
      <c r="E240" s="6" t="s">
        <v>1541</v>
      </c>
      <c r="F240" s="78">
        <v>1.0</v>
      </c>
      <c r="G240" s="79">
        <v>182.78</v>
      </c>
    </row>
    <row r="241">
      <c r="A241" s="6">
        <v>104.0</v>
      </c>
      <c r="B241" s="76" t="str">
        <f>IFERROR(VLOOKUP($A241,EVENTO!$A$2:$C$4999,2,FALSE),"")</f>
        <v>ADITIVO DE PRAZO</v>
      </c>
      <c r="C241" s="76" t="str">
        <f>IFERROR(VLOOKUP($A241,EVENTO!$A$2:$C$4999,3,FALSE),"")</f>
        <v>SEMCAS - 017-2022</v>
      </c>
      <c r="D241" s="78" t="s">
        <v>1460</v>
      </c>
      <c r="E241" s="6" t="s">
        <v>1535</v>
      </c>
      <c r="F241" s="78">
        <v>12.0</v>
      </c>
      <c r="G241" s="79">
        <v>344.75</v>
      </c>
    </row>
    <row r="242">
      <c r="A242" s="6">
        <v>104.0</v>
      </c>
      <c r="B242" s="76" t="str">
        <f>IFERROR(VLOOKUP($A242,EVENTO!$A$2:$C$4999,2,FALSE),"")</f>
        <v>ADITIVO DE PRAZO</v>
      </c>
      <c r="C242" s="76" t="str">
        <f>IFERROR(VLOOKUP($A242,EVENTO!$A$2:$C$4999,3,FALSE),"")</f>
        <v>SEMCAS - 017-2022</v>
      </c>
      <c r="D242" s="78" t="s">
        <v>1467</v>
      </c>
      <c r="E242" s="6" t="s">
        <v>1536</v>
      </c>
      <c r="F242" s="78">
        <v>375.0</v>
      </c>
      <c r="G242" s="79">
        <v>173.93</v>
      </c>
    </row>
    <row r="243">
      <c r="A243" s="6">
        <v>104.0</v>
      </c>
      <c r="B243" s="76" t="str">
        <f>IFERROR(VLOOKUP($A243,EVENTO!$A$2:$C$4999,2,FALSE),"")</f>
        <v>ADITIVO DE PRAZO</v>
      </c>
      <c r="C243" s="76" t="str">
        <f>IFERROR(VLOOKUP($A243,EVENTO!$A$2:$C$4999,3,FALSE),"")</f>
        <v>SEMCAS - 017-2022</v>
      </c>
      <c r="D243" s="78" t="s">
        <v>1537</v>
      </c>
      <c r="E243" s="6" t="s">
        <v>1538</v>
      </c>
      <c r="F243" s="78">
        <v>1.0</v>
      </c>
      <c r="G243" s="79">
        <v>199.46</v>
      </c>
    </row>
    <row r="244">
      <c r="A244" s="6">
        <v>104.0</v>
      </c>
      <c r="B244" s="76" t="str">
        <f>IFERROR(VLOOKUP($A244,EVENTO!$A$2:$C$4999,2,FALSE),"")</f>
        <v>ADITIVO DE PRAZO</v>
      </c>
      <c r="C244" s="76" t="str">
        <f>IFERROR(VLOOKUP($A244,EVENTO!$A$2:$C$4999,3,FALSE),"")</f>
        <v>SEMCAS - 017-2022</v>
      </c>
      <c r="D244" s="78" t="s">
        <v>1539</v>
      </c>
      <c r="E244" s="6" t="s">
        <v>1540</v>
      </c>
      <c r="F244" s="78">
        <v>1.0</v>
      </c>
      <c r="G244" s="79">
        <v>63.8</v>
      </c>
    </row>
    <row r="245">
      <c r="A245" s="6">
        <v>104.0</v>
      </c>
      <c r="B245" s="76" t="str">
        <f>IFERROR(VLOOKUP($A245,EVENTO!$A$2:$C$4999,2,FALSE),"")</f>
        <v>ADITIVO DE PRAZO</v>
      </c>
      <c r="C245" s="76" t="str">
        <f>IFERROR(VLOOKUP($A245,EVENTO!$A$2:$C$4999,3,FALSE),"")</f>
        <v>SEMCAS - 017-2022</v>
      </c>
      <c r="D245" s="78" t="s">
        <v>1541</v>
      </c>
      <c r="E245" s="6" t="s">
        <v>1541</v>
      </c>
      <c r="F245" s="78">
        <v>1.0</v>
      </c>
      <c r="G245" s="79">
        <v>182.78</v>
      </c>
    </row>
    <row r="246">
      <c r="A246" s="6">
        <v>106.0</v>
      </c>
      <c r="B246" s="76" t="str">
        <f>IFERROR(VLOOKUP($A246,EVENTO!$A$2:$C$4999,2,FALSE),"")</f>
        <v>ADITIVO DE REAJUSTE E PRAZO</v>
      </c>
      <c r="C246" s="76" t="str">
        <f>IFERROR(VLOOKUP($A246,EVENTO!$A$2:$C$4999,3,FALSE),"")</f>
        <v>SEMCAS - 019-2022</v>
      </c>
      <c r="D246" s="78" t="s">
        <v>1460</v>
      </c>
      <c r="E246" s="6" t="s">
        <v>1535</v>
      </c>
      <c r="F246" s="78">
        <v>12.0</v>
      </c>
      <c r="G246" s="79">
        <v>344.75</v>
      </c>
    </row>
    <row r="247">
      <c r="A247" s="6">
        <v>106.0</v>
      </c>
      <c r="B247" s="76" t="str">
        <f>IFERROR(VLOOKUP($A247,EVENTO!$A$2:$C$4999,2,FALSE),"")</f>
        <v>ADITIVO DE REAJUSTE E PRAZO</v>
      </c>
      <c r="C247" s="76" t="str">
        <f>IFERROR(VLOOKUP($A247,EVENTO!$A$2:$C$4999,3,FALSE),"")</f>
        <v>SEMCAS - 019-2022</v>
      </c>
      <c r="D247" s="78" t="s">
        <v>1467</v>
      </c>
      <c r="E247" s="6" t="s">
        <v>1536</v>
      </c>
      <c r="F247" s="78">
        <v>375.0</v>
      </c>
      <c r="G247" s="79">
        <v>173.93</v>
      </c>
    </row>
    <row r="248">
      <c r="A248" s="6">
        <v>106.0</v>
      </c>
      <c r="B248" s="76" t="str">
        <f>IFERROR(VLOOKUP($A248,EVENTO!$A$2:$C$4999,2,FALSE),"")</f>
        <v>ADITIVO DE REAJUSTE E PRAZO</v>
      </c>
      <c r="C248" s="76" t="str">
        <f>IFERROR(VLOOKUP($A248,EVENTO!$A$2:$C$4999,3,FALSE),"")</f>
        <v>SEMCAS - 019-2022</v>
      </c>
      <c r="D248" s="78" t="s">
        <v>1537</v>
      </c>
      <c r="E248" s="6" t="s">
        <v>1538</v>
      </c>
      <c r="F248" s="78">
        <v>1.0</v>
      </c>
      <c r="G248" s="79">
        <v>199.46</v>
      </c>
    </row>
    <row r="249">
      <c r="A249" s="6">
        <v>106.0</v>
      </c>
      <c r="B249" s="76" t="str">
        <f>IFERROR(VLOOKUP($A249,EVENTO!$A$2:$C$4999,2,FALSE),"")</f>
        <v>ADITIVO DE REAJUSTE E PRAZO</v>
      </c>
      <c r="C249" s="76" t="str">
        <f>IFERROR(VLOOKUP($A249,EVENTO!$A$2:$C$4999,3,FALSE),"")</f>
        <v>SEMCAS - 019-2022</v>
      </c>
      <c r="D249" s="78" t="s">
        <v>1539</v>
      </c>
      <c r="E249" s="6" t="s">
        <v>1540</v>
      </c>
      <c r="F249" s="78">
        <v>1.0</v>
      </c>
      <c r="G249" s="79">
        <v>63.8</v>
      </c>
    </row>
    <row r="250">
      <c r="A250" s="6">
        <v>106.0</v>
      </c>
      <c r="B250" s="76" t="str">
        <f>IFERROR(VLOOKUP($A250,EVENTO!$A$2:$C$4999,2,FALSE),"")</f>
        <v>ADITIVO DE REAJUSTE E PRAZO</v>
      </c>
      <c r="C250" s="76" t="str">
        <f>IFERROR(VLOOKUP($A250,EVENTO!$A$2:$C$4999,3,FALSE),"")</f>
        <v>SEMCAS - 019-2022</v>
      </c>
      <c r="D250" s="78" t="s">
        <v>1541</v>
      </c>
      <c r="E250" s="6" t="s">
        <v>1541</v>
      </c>
      <c r="F250" s="78">
        <v>1.0</v>
      </c>
      <c r="G250" s="79">
        <v>182.78</v>
      </c>
    </row>
    <row r="251">
      <c r="A251" s="6">
        <v>109.0</v>
      </c>
      <c r="B251" s="76" t="str">
        <f>IFERROR(VLOOKUP($A251,EVENTO!$A$2:$C$4999,2,FALSE),"")</f>
        <v>ADITIVO DE PRAZO</v>
      </c>
      <c r="C251" s="76" t="str">
        <f>IFERROR(VLOOKUP($A251,EVENTO!$A$2:$C$4999,3,FALSE),"")</f>
        <v>SEMCAS - 019-2022</v>
      </c>
      <c r="D251" s="81" t="s">
        <v>1542</v>
      </c>
      <c r="E251" s="6" t="s">
        <v>1543</v>
      </c>
      <c r="F251" s="78">
        <v>60.0</v>
      </c>
      <c r="G251" s="79">
        <v>295.03</v>
      </c>
    </row>
    <row r="252">
      <c r="A252" s="6">
        <v>110.0</v>
      </c>
      <c r="B252" s="76" t="str">
        <f>IFERROR(VLOOKUP($A252,EVENTO!$A$2:$C$4999,2,FALSE),"")</f>
        <v>CADASTRO</v>
      </c>
      <c r="C252" s="76" t="str">
        <f>IFERROR(VLOOKUP($A252,EVENTO!$A$2:$C$4999,3,FALSE),"")</f>
        <v>PREFEITURA MUNICIPAL DE ARACATI - CASA CIVIL</v>
      </c>
      <c r="D252" s="78" t="s">
        <v>1544</v>
      </c>
      <c r="E252" s="6" t="s">
        <v>1545</v>
      </c>
      <c r="F252" s="78">
        <v>5.0</v>
      </c>
      <c r="G252" s="79">
        <v>534.71</v>
      </c>
    </row>
    <row r="253">
      <c r="A253" s="6">
        <v>110.0</v>
      </c>
      <c r="B253" s="76" t="str">
        <f>IFERROR(VLOOKUP($A253,EVENTO!$A$2:$C$4999,2,FALSE),"")</f>
        <v>CADASTRO</v>
      </c>
      <c r="C253" s="76" t="str">
        <f>IFERROR(VLOOKUP($A253,EVENTO!$A$2:$C$4999,3,FALSE),"")</f>
        <v>PREFEITURA MUNICIPAL DE ARACATI - CASA CIVIL</v>
      </c>
      <c r="D253" s="78" t="s">
        <v>1458</v>
      </c>
      <c r="E253" s="6" t="s">
        <v>1535</v>
      </c>
      <c r="F253" s="78">
        <v>3.0</v>
      </c>
      <c r="G253" s="79">
        <v>344.75</v>
      </c>
    </row>
    <row r="254">
      <c r="A254" s="6">
        <v>110.0</v>
      </c>
      <c r="B254" s="76" t="str">
        <f>IFERROR(VLOOKUP($A254,EVENTO!$A$2:$C$4999,2,FALSE),"")</f>
        <v>CADASTRO</v>
      </c>
      <c r="C254" s="76" t="str">
        <f>IFERROR(VLOOKUP($A254,EVENTO!$A$2:$C$4999,3,FALSE),"")</f>
        <v>PREFEITURA MUNICIPAL DE ARACATI - CASA CIVIL</v>
      </c>
      <c r="D254" s="78" t="s">
        <v>1546</v>
      </c>
      <c r="E254" s="6" t="s">
        <v>1547</v>
      </c>
      <c r="F254" s="78">
        <v>3.0</v>
      </c>
      <c r="G254" s="79">
        <v>270.39</v>
      </c>
    </row>
    <row r="255">
      <c r="A255" s="6">
        <v>110.0</v>
      </c>
      <c r="B255" s="76" t="str">
        <f>IFERROR(VLOOKUP($A255,EVENTO!$A$2:$C$4999,2,FALSE),"")</f>
        <v>CADASTRO</v>
      </c>
      <c r="C255" s="76" t="str">
        <f>IFERROR(VLOOKUP($A255,EVENTO!$A$2:$C$4999,3,FALSE),"")</f>
        <v>PREFEITURA MUNICIPAL DE ARACATI - CASA CIVIL</v>
      </c>
      <c r="D255" s="78" t="s">
        <v>1456</v>
      </c>
      <c r="E255" s="6" t="s">
        <v>1548</v>
      </c>
      <c r="F255" s="78">
        <v>3.0</v>
      </c>
      <c r="G255" s="79">
        <v>387.36</v>
      </c>
    </row>
    <row r="256">
      <c r="A256" s="6">
        <v>110.0</v>
      </c>
      <c r="B256" s="76" t="str">
        <f>IFERROR(VLOOKUP($A256,EVENTO!$A$2:$C$4999,2,FALSE),"")</f>
        <v>CADASTRO</v>
      </c>
      <c r="C256" s="76" t="str">
        <f>IFERROR(VLOOKUP($A256,EVENTO!$A$2:$C$4999,3,FALSE),"")</f>
        <v>PREFEITURA MUNICIPAL DE ARACATI - CASA CIVIL</v>
      </c>
      <c r="D256" s="78" t="s">
        <v>1549</v>
      </c>
      <c r="E256" s="6" t="s">
        <v>1550</v>
      </c>
      <c r="F256" s="78">
        <v>8.0</v>
      </c>
      <c r="G256" s="79">
        <v>221.78</v>
      </c>
    </row>
    <row r="257">
      <c r="A257" s="6">
        <v>110.0</v>
      </c>
      <c r="B257" s="76" t="str">
        <f>IFERROR(VLOOKUP($A257,EVENTO!$A$2:$C$4999,2,FALSE),"")</f>
        <v>CADASTRO</v>
      </c>
      <c r="C257" s="76" t="str">
        <f>IFERROR(VLOOKUP($A257,EVENTO!$A$2:$C$4999,3,FALSE),"")</f>
        <v>PREFEITURA MUNICIPAL DE ARACATI - CASA CIVIL</v>
      </c>
      <c r="D257" s="78" t="s">
        <v>1551</v>
      </c>
      <c r="E257" s="6" t="s">
        <v>1552</v>
      </c>
      <c r="F257" s="78">
        <v>8.0</v>
      </c>
      <c r="G257" s="79">
        <v>173.93</v>
      </c>
    </row>
    <row r="258">
      <c r="A258" s="6">
        <v>110.0</v>
      </c>
      <c r="B258" s="76" t="str">
        <f>IFERROR(VLOOKUP($A258,EVENTO!$A$2:$C$4999,2,FALSE),"")</f>
        <v>CADASTRO</v>
      </c>
      <c r="C258" s="76" t="str">
        <f>IFERROR(VLOOKUP($A258,EVENTO!$A$2:$C$4999,3,FALSE),"")</f>
        <v>PREFEITURA MUNICIPAL DE ARACATI - CASA CIVIL</v>
      </c>
      <c r="D258" s="78" t="s">
        <v>1553</v>
      </c>
      <c r="F258" s="78">
        <v>2.0</v>
      </c>
      <c r="G258" s="79">
        <v>286.34</v>
      </c>
    </row>
    <row r="259">
      <c r="A259" s="6">
        <v>110.0</v>
      </c>
      <c r="B259" s="76" t="str">
        <f>IFERROR(VLOOKUP($A259,EVENTO!$A$2:$C$4999,2,FALSE),"")</f>
        <v>CADASTRO</v>
      </c>
      <c r="C259" s="76" t="str">
        <f>IFERROR(VLOOKUP($A259,EVENTO!$A$2:$C$4999,3,FALSE),"")</f>
        <v>PREFEITURA MUNICIPAL DE ARACATI - CASA CIVIL</v>
      </c>
      <c r="D259" s="78" t="s">
        <v>1487</v>
      </c>
      <c r="F259" s="78">
        <v>2.0</v>
      </c>
      <c r="G259" s="79">
        <v>234.7</v>
      </c>
    </row>
    <row r="260">
      <c r="A260" s="6">
        <v>110.0</v>
      </c>
      <c r="B260" s="76" t="str">
        <f>IFERROR(VLOOKUP($A260,EVENTO!$A$2:$C$4999,2,FALSE),"")</f>
        <v>CADASTRO</v>
      </c>
      <c r="C260" s="76" t="str">
        <f>IFERROR(VLOOKUP($A260,EVENTO!$A$2:$C$4999,3,FALSE),"")</f>
        <v>PREFEITURA MUNICIPAL DE ARACATI - CASA CIVIL</v>
      </c>
      <c r="D260" s="78" t="s">
        <v>1554</v>
      </c>
      <c r="F260" s="78">
        <v>2.0</v>
      </c>
      <c r="G260" s="83" t="s">
        <v>1555</v>
      </c>
    </row>
    <row r="261">
      <c r="A261" s="6">
        <v>110.0</v>
      </c>
      <c r="B261" s="76" t="str">
        <f>IFERROR(VLOOKUP($A261,EVENTO!$A$2:$C$4999,2,FALSE),"")</f>
        <v>CADASTRO</v>
      </c>
      <c r="C261" s="76" t="str">
        <f>IFERROR(VLOOKUP($A261,EVENTO!$A$2:$C$4999,3,FALSE),"")</f>
        <v>PREFEITURA MUNICIPAL DE ARACATI - CASA CIVIL</v>
      </c>
      <c r="D261" s="85" t="s">
        <v>1556</v>
      </c>
      <c r="E261" s="86"/>
      <c r="F261" s="78">
        <v>3.0</v>
      </c>
      <c r="G261" s="79">
        <v>148.11</v>
      </c>
    </row>
    <row r="262">
      <c r="A262" s="6">
        <v>110.0</v>
      </c>
      <c r="B262" s="76" t="str">
        <f>IFERROR(VLOOKUP($A262,EVENTO!$A$2:$C$4999,2,FALSE),"")</f>
        <v>CADASTRO</v>
      </c>
      <c r="C262" s="76" t="str">
        <f>IFERROR(VLOOKUP($A262,EVENTO!$A$2:$C$4999,3,FALSE),"")</f>
        <v>PREFEITURA MUNICIPAL DE ARACATI - CASA CIVIL</v>
      </c>
      <c r="D262" s="78" t="s">
        <v>1491</v>
      </c>
      <c r="F262" s="78">
        <v>1.0</v>
      </c>
      <c r="G262" s="79">
        <v>193.47</v>
      </c>
    </row>
    <row r="263">
      <c r="A263" s="6">
        <v>110.0</v>
      </c>
      <c r="B263" s="76" t="str">
        <f>IFERROR(VLOOKUP($A263,EVENTO!$A$2:$C$4999,2,FALSE),"")</f>
        <v>CADASTRO</v>
      </c>
      <c r="C263" s="76" t="str">
        <f>IFERROR(VLOOKUP($A263,EVENTO!$A$2:$C$4999,3,FALSE),"")</f>
        <v>PREFEITURA MUNICIPAL DE ARACATI - CASA CIVIL</v>
      </c>
      <c r="D263" s="78" t="s">
        <v>1557</v>
      </c>
      <c r="F263" s="78">
        <v>3.0</v>
      </c>
      <c r="G263" s="79">
        <v>91.18</v>
      </c>
    </row>
    <row r="264">
      <c r="A264" s="6">
        <v>110.0</v>
      </c>
      <c r="B264" s="76" t="str">
        <f>IFERROR(VLOOKUP($A264,EVENTO!$A$2:$C$4999,2,FALSE),"")</f>
        <v>CADASTRO</v>
      </c>
      <c r="C264" s="76" t="str">
        <f>IFERROR(VLOOKUP($A264,EVENTO!$A$2:$C$4999,3,FALSE),"")</f>
        <v>PREFEITURA MUNICIPAL DE ARACATI - CASA CIVIL</v>
      </c>
      <c r="D264" s="78" t="s">
        <v>1497</v>
      </c>
      <c r="F264" s="78">
        <v>1.0</v>
      </c>
      <c r="G264" s="79">
        <v>199.46</v>
      </c>
    </row>
    <row r="265">
      <c r="A265" s="6">
        <v>110.0</v>
      </c>
      <c r="B265" s="76" t="str">
        <f>IFERROR(VLOOKUP($A265,EVENTO!$A$2:$C$4999,2,FALSE),"")</f>
        <v>CADASTRO</v>
      </c>
      <c r="C265" s="76" t="str">
        <f>IFERROR(VLOOKUP($A265,EVENTO!$A$2:$C$4999,3,FALSE),"")</f>
        <v>PREFEITURA MUNICIPAL DE ARACATI - CASA CIVIL</v>
      </c>
      <c r="D265" s="78" t="s">
        <v>1504</v>
      </c>
      <c r="F265" s="78">
        <v>3.0</v>
      </c>
      <c r="G265" s="79">
        <v>41.95</v>
      </c>
    </row>
    <row r="266">
      <c r="A266" s="6">
        <v>110.0</v>
      </c>
      <c r="B266" s="76" t="str">
        <f>IFERROR(VLOOKUP($A266,EVENTO!$A$2:$C$4999,2,FALSE),"")</f>
        <v>CADASTRO</v>
      </c>
      <c r="C266" s="76" t="str">
        <f>IFERROR(VLOOKUP($A266,EVENTO!$A$2:$C$4999,3,FALSE),"")</f>
        <v>PREFEITURA MUNICIPAL DE ARACATI - CASA CIVIL</v>
      </c>
      <c r="D266" s="78" t="s">
        <v>1499</v>
      </c>
      <c r="F266" s="78">
        <v>1.0</v>
      </c>
      <c r="G266" s="79">
        <v>264.11</v>
      </c>
    </row>
    <row r="267">
      <c r="A267" s="6">
        <v>110.0</v>
      </c>
      <c r="B267" s="76" t="str">
        <f>IFERROR(VLOOKUP($A267,EVENTO!$A$2:$C$4999,2,FALSE),"")</f>
        <v>CADASTRO</v>
      </c>
      <c r="C267" s="76" t="str">
        <f>IFERROR(VLOOKUP($A267,EVENTO!$A$2:$C$4999,3,FALSE),"")</f>
        <v>PREFEITURA MUNICIPAL DE ARACATI - CASA CIVIL</v>
      </c>
      <c r="D267" s="78" t="s">
        <v>1558</v>
      </c>
      <c r="F267" s="78">
        <v>3.0</v>
      </c>
      <c r="G267" s="79">
        <v>169.29</v>
      </c>
    </row>
    <row r="268">
      <c r="A268" s="6">
        <v>110.0</v>
      </c>
      <c r="B268" s="76" t="str">
        <f>IFERROR(VLOOKUP($A268,EVENTO!$A$2:$C$4999,2,FALSE),"")</f>
        <v>CADASTRO</v>
      </c>
      <c r="C268" s="76" t="str">
        <f>IFERROR(VLOOKUP($A268,EVENTO!$A$2:$C$4999,3,FALSE),"")</f>
        <v>PREFEITURA MUNICIPAL DE ARACATI - CASA CIVIL</v>
      </c>
      <c r="D268" s="78" t="s">
        <v>1559</v>
      </c>
      <c r="F268" s="78">
        <v>3.0</v>
      </c>
      <c r="G268" s="79">
        <v>105.09</v>
      </c>
    </row>
    <row r="269">
      <c r="A269" s="6">
        <v>110.0</v>
      </c>
      <c r="B269" s="76" t="str">
        <f>IFERROR(VLOOKUP($A269,EVENTO!$A$2:$C$4999,2,FALSE),"")</f>
        <v>CADASTRO</v>
      </c>
      <c r="C269" s="76" t="str">
        <f>IFERROR(VLOOKUP($A269,EVENTO!$A$2:$C$4999,3,FALSE),"")</f>
        <v>PREFEITURA MUNICIPAL DE ARACATI - CASA CIVIL</v>
      </c>
      <c r="D269" s="78" t="s">
        <v>1560</v>
      </c>
      <c r="F269" s="78">
        <v>2.0</v>
      </c>
      <c r="G269" s="79">
        <v>50.3</v>
      </c>
    </row>
    <row r="270">
      <c r="A270" s="6">
        <v>110.0</v>
      </c>
      <c r="B270" s="76" t="str">
        <f>IFERROR(VLOOKUP($A270,EVENTO!$A$2:$C$4999,2,FALSE),"")</f>
        <v>CADASTRO</v>
      </c>
      <c r="C270" s="76" t="str">
        <f>IFERROR(VLOOKUP($A270,EVENTO!$A$2:$C$4999,3,FALSE),"")</f>
        <v>PREFEITURA MUNICIPAL DE ARACATI - CASA CIVIL</v>
      </c>
      <c r="D270" s="78" t="s">
        <v>1561</v>
      </c>
      <c r="F270" s="78">
        <v>1.0</v>
      </c>
      <c r="G270" s="79">
        <v>13.42</v>
      </c>
    </row>
    <row r="271">
      <c r="A271" s="6">
        <v>111.0</v>
      </c>
      <c r="B271" s="76" t="str">
        <f>IFERROR(VLOOKUP($A271,EVENTO!$A$2:$C$4999,2,FALSE),"")</f>
        <v>ADITIVO DE PRAZO</v>
      </c>
      <c r="C271" s="76" t="str">
        <f>IFERROR(VLOOKUP($A271,EVENTO!$A$2:$C$4999,3,FALSE),"")</f>
        <v>PREFEITURA MUNICIPAL DE ARACATI - CASA CIVIL</v>
      </c>
      <c r="D271" s="78" t="s">
        <v>1544</v>
      </c>
      <c r="E271" s="6" t="s">
        <v>1545</v>
      </c>
      <c r="F271" s="78">
        <v>5.0</v>
      </c>
      <c r="G271" s="79">
        <v>534.71</v>
      </c>
    </row>
    <row r="272">
      <c r="A272" s="6">
        <v>111.0</v>
      </c>
      <c r="B272" s="76" t="str">
        <f>IFERROR(VLOOKUP($A272,EVENTO!$A$2:$C$4999,2,FALSE),"")</f>
        <v>ADITIVO DE PRAZO</v>
      </c>
      <c r="C272" s="76" t="str">
        <f>IFERROR(VLOOKUP($A272,EVENTO!$A$2:$C$4999,3,FALSE),"")</f>
        <v>PREFEITURA MUNICIPAL DE ARACATI - CASA CIVIL</v>
      </c>
      <c r="D272" s="78" t="s">
        <v>1458</v>
      </c>
      <c r="E272" s="6" t="s">
        <v>1535</v>
      </c>
      <c r="F272" s="78">
        <v>3.0</v>
      </c>
      <c r="G272" s="79">
        <v>344.75</v>
      </c>
    </row>
    <row r="273">
      <c r="A273" s="6">
        <v>111.0</v>
      </c>
      <c r="B273" s="76" t="str">
        <f>IFERROR(VLOOKUP($A273,EVENTO!$A$2:$C$4999,2,FALSE),"")</f>
        <v>ADITIVO DE PRAZO</v>
      </c>
      <c r="C273" s="76" t="str">
        <f>IFERROR(VLOOKUP($A273,EVENTO!$A$2:$C$4999,3,FALSE),"")</f>
        <v>PREFEITURA MUNICIPAL DE ARACATI - CASA CIVIL</v>
      </c>
      <c r="D273" s="78" t="s">
        <v>1546</v>
      </c>
      <c r="E273" s="6" t="s">
        <v>1547</v>
      </c>
      <c r="F273" s="78">
        <v>3.0</v>
      </c>
      <c r="G273" s="79">
        <v>270.39</v>
      </c>
    </row>
    <row r="274">
      <c r="A274" s="6">
        <v>111.0</v>
      </c>
      <c r="B274" s="76" t="str">
        <f>IFERROR(VLOOKUP($A274,EVENTO!$A$2:$C$4999,2,FALSE),"")</f>
        <v>ADITIVO DE PRAZO</v>
      </c>
      <c r="C274" s="76" t="str">
        <f>IFERROR(VLOOKUP($A274,EVENTO!$A$2:$C$4999,3,FALSE),"")</f>
        <v>PREFEITURA MUNICIPAL DE ARACATI - CASA CIVIL</v>
      </c>
      <c r="D274" s="78" t="s">
        <v>1456</v>
      </c>
      <c r="E274" s="6" t="s">
        <v>1548</v>
      </c>
      <c r="F274" s="78">
        <v>3.0</v>
      </c>
      <c r="G274" s="79">
        <v>387.36</v>
      </c>
    </row>
    <row r="275">
      <c r="A275" s="6">
        <v>111.0</v>
      </c>
      <c r="B275" s="76" t="str">
        <f>IFERROR(VLOOKUP($A275,EVENTO!$A$2:$C$4999,2,FALSE),"")</f>
        <v>ADITIVO DE PRAZO</v>
      </c>
      <c r="C275" s="76" t="str">
        <f>IFERROR(VLOOKUP($A275,EVENTO!$A$2:$C$4999,3,FALSE),"")</f>
        <v>PREFEITURA MUNICIPAL DE ARACATI - CASA CIVIL</v>
      </c>
      <c r="D275" s="78" t="s">
        <v>1549</v>
      </c>
      <c r="E275" s="6" t="s">
        <v>1550</v>
      </c>
      <c r="F275" s="78">
        <v>8.0</v>
      </c>
      <c r="G275" s="79">
        <v>221.78</v>
      </c>
    </row>
    <row r="276">
      <c r="A276" s="6">
        <v>111.0</v>
      </c>
      <c r="B276" s="76" t="str">
        <f>IFERROR(VLOOKUP($A276,EVENTO!$A$2:$C$4999,2,FALSE),"")</f>
        <v>ADITIVO DE PRAZO</v>
      </c>
      <c r="C276" s="76" t="str">
        <f>IFERROR(VLOOKUP($A276,EVENTO!$A$2:$C$4999,3,FALSE),"")</f>
        <v>PREFEITURA MUNICIPAL DE ARACATI - CASA CIVIL</v>
      </c>
      <c r="D276" s="78" t="s">
        <v>1551</v>
      </c>
      <c r="E276" s="6" t="s">
        <v>1552</v>
      </c>
      <c r="F276" s="78">
        <v>8.0</v>
      </c>
      <c r="G276" s="79">
        <v>173.93</v>
      </c>
    </row>
    <row r="277">
      <c r="A277" s="6">
        <v>111.0</v>
      </c>
      <c r="B277" s="76" t="str">
        <f>IFERROR(VLOOKUP($A277,EVENTO!$A$2:$C$4999,2,FALSE),"")</f>
        <v>ADITIVO DE PRAZO</v>
      </c>
      <c r="C277" s="76" t="str">
        <f>IFERROR(VLOOKUP($A277,EVENTO!$A$2:$C$4999,3,FALSE),"")</f>
        <v>PREFEITURA MUNICIPAL DE ARACATI - CASA CIVIL</v>
      </c>
      <c r="D277" s="78" t="s">
        <v>1553</v>
      </c>
      <c r="F277" s="78">
        <v>2.0</v>
      </c>
      <c r="G277" s="79">
        <v>286.34</v>
      </c>
    </row>
    <row r="278">
      <c r="A278" s="6">
        <v>111.0</v>
      </c>
      <c r="B278" s="76" t="str">
        <f>IFERROR(VLOOKUP($A278,EVENTO!$A$2:$C$4999,2,FALSE),"")</f>
        <v>ADITIVO DE PRAZO</v>
      </c>
      <c r="C278" s="76" t="str">
        <f>IFERROR(VLOOKUP($A278,EVENTO!$A$2:$C$4999,3,FALSE),"")</f>
        <v>PREFEITURA MUNICIPAL DE ARACATI - CASA CIVIL</v>
      </c>
      <c r="D278" s="78" t="s">
        <v>1487</v>
      </c>
      <c r="F278" s="78">
        <v>2.0</v>
      </c>
      <c r="G278" s="79">
        <v>234.7</v>
      </c>
    </row>
    <row r="279">
      <c r="A279" s="6">
        <v>111.0</v>
      </c>
      <c r="B279" s="76" t="str">
        <f>IFERROR(VLOOKUP($A279,EVENTO!$A$2:$C$4999,2,FALSE),"")</f>
        <v>ADITIVO DE PRAZO</v>
      </c>
      <c r="C279" s="76" t="str">
        <f>IFERROR(VLOOKUP($A279,EVENTO!$A$2:$C$4999,3,FALSE),"")</f>
        <v>PREFEITURA MUNICIPAL DE ARACATI - CASA CIVIL</v>
      </c>
      <c r="D279" s="78" t="s">
        <v>1554</v>
      </c>
      <c r="F279" s="78">
        <v>2.0</v>
      </c>
      <c r="G279" s="83" t="s">
        <v>1555</v>
      </c>
    </row>
    <row r="280">
      <c r="A280" s="6">
        <v>111.0</v>
      </c>
      <c r="B280" s="76" t="str">
        <f>IFERROR(VLOOKUP($A280,EVENTO!$A$2:$C$4999,2,FALSE),"")</f>
        <v>ADITIVO DE PRAZO</v>
      </c>
      <c r="C280" s="76" t="str">
        <f>IFERROR(VLOOKUP($A280,EVENTO!$A$2:$C$4999,3,FALSE),"")</f>
        <v>PREFEITURA MUNICIPAL DE ARACATI - CASA CIVIL</v>
      </c>
      <c r="D280" s="85" t="s">
        <v>1556</v>
      </c>
      <c r="E280" s="86"/>
      <c r="F280" s="78">
        <v>3.0</v>
      </c>
      <c r="G280" s="79">
        <v>148.11</v>
      </c>
    </row>
    <row r="281">
      <c r="A281" s="6">
        <v>111.0</v>
      </c>
      <c r="B281" s="76" t="str">
        <f>IFERROR(VLOOKUP($A281,EVENTO!$A$2:$C$4999,2,FALSE),"")</f>
        <v>ADITIVO DE PRAZO</v>
      </c>
      <c r="C281" s="76" t="str">
        <f>IFERROR(VLOOKUP($A281,EVENTO!$A$2:$C$4999,3,FALSE),"")</f>
        <v>PREFEITURA MUNICIPAL DE ARACATI - CASA CIVIL</v>
      </c>
      <c r="D281" s="78" t="s">
        <v>1491</v>
      </c>
      <c r="F281" s="78">
        <v>1.0</v>
      </c>
      <c r="G281" s="79">
        <v>193.47</v>
      </c>
    </row>
    <row r="282">
      <c r="A282" s="6">
        <v>111.0</v>
      </c>
      <c r="B282" s="76" t="str">
        <f>IFERROR(VLOOKUP($A282,EVENTO!$A$2:$C$4999,2,FALSE),"")</f>
        <v>ADITIVO DE PRAZO</v>
      </c>
      <c r="C282" s="76" t="str">
        <f>IFERROR(VLOOKUP($A282,EVENTO!$A$2:$C$4999,3,FALSE),"")</f>
        <v>PREFEITURA MUNICIPAL DE ARACATI - CASA CIVIL</v>
      </c>
      <c r="D282" s="78" t="s">
        <v>1557</v>
      </c>
      <c r="F282" s="78">
        <v>3.0</v>
      </c>
      <c r="G282" s="79">
        <v>91.18</v>
      </c>
    </row>
    <row r="283">
      <c r="A283" s="6">
        <v>111.0</v>
      </c>
      <c r="B283" s="76" t="str">
        <f>IFERROR(VLOOKUP($A283,EVENTO!$A$2:$C$4999,2,FALSE),"")</f>
        <v>ADITIVO DE PRAZO</v>
      </c>
      <c r="C283" s="76" t="str">
        <f>IFERROR(VLOOKUP($A283,EVENTO!$A$2:$C$4999,3,FALSE),"")</f>
        <v>PREFEITURA MUNICIPAL DE ARACATI - CASA CIVIL</v>
      </c>
      <c r="D283" s="78" t="s">
        <v>1497</v>
      </c>
      <c r="F283" s="78">
        <v>1.0</v>
      </c>
      <c r="G283" s="79">
        <v>199.46</v>
      </c>
    </row>
    <row r="284">
      <c r="A284" s="6">
        <v>111.0</v>
      </c>
      <c r="B284" s="76" t="str">
        <f>IFERROR(VLOOKUP($A284,EVENTO!$A$2:$C$4999,2,FALSE),"")</f>
        <v>ADITIVO DE PRAZO</v>
      </c>
      <c r="C284" s="76" t="str">
        <f>IFERROR(VLOOKUP($A284,EVENTO!$A$2:$C$4999,3,FALSE),"")</f>
        <v>PREFEITURA MUNICIPAL DE ARACATI - CASA CIVIL</v>
      </c>
      <c r="D284" s="78" t="s">
        <v>1504</v>
      </c>
      <c r="F284" s="78">
        <v>3.0</v>
      </c>
      <c r="G284" s="79">
        <v>41.95</v>
      </c>
    </row>
    <row r="285">
      <c r="A285" s="6">
        <v>111.0</v>
      </c>
      <c r="B285" s="76" t="str">
        <f>IFERROR(VLOOKUP($A285,EVENTO!$A$2:$C$4999,2,FALSE),"")</f>
        <v>ADITIVO DE PRAZO</v>
      </c>
      <c r="C285" s="76" t="str">
        <f>IFERROR(VLOOKUP($A285,EVENTO!$A$2:$C$4999,3,FALSE),"")</f>
        <v>PREFEITURA MUNICIPAL DE ARACATI - CASA CIVIL</v>
      </c>
      <c r="D285" s="78" t="s">
        <v>1499</v>
      </c>
      <c r="F285" s="78">
        <v>1.0</v>
      </c>
      <c r="G285" s="79">
        <v>264.11</v>
      </c>
    </row>
    <row r="286">
      <c r="A286" s="6">
        <v>111.0</v>
      </c>
      <c r="B286" s="76" t="str">
        <f>IFERROR(VLOOKUP($A286,EVENTO!$A$2:$C$4999,2,FALSE),"")</f>
        <v>ADITIVO DE PRAZO</v>
      </c>
      <c r="C286" s="76" t="str">
        <f>IFERROR(VLOOKUP($A286,EVENTO!$A$2:$C$4999,3,FALSE),"")</f>
        <v>PREFEITURA MUNICIPAL DE ARACATI - CASA CIVIL</v>
      </c>
      <c r="D286" s="78" t="s">
        <v>1558</v>
      </c>
      <c r="F286" s="78">
        <v>3.0</v>
      </c>
      <c r="G286" s="79">
        <v>169.29</v>
      </c>
    </row>
    <row r="287">
      <c r="A287" s="6">
        <v>111.0</v>
      </c>
      <c r="B287" s="76" t="str">
        <f>IFERROR(VLOOKUP($A287,EVENTO!$A$2:$C$4999,2,FALSE),"")</f>
        <v>ADITIVO DE PRAZO</v>
      </c>
      <c r="C287" s="76" t="str">
        <f>IFERROR(VLOOKUP($A287,EVENTO!$A$2:$C$4999,3,FALSE),"")</f>
        <v>PREFEITURA MUNICIPAL DE ARACATI - CASA CIVIL</v>
      </c>
      <c r="D287" s="78" t="s">
        <v>1559</v>
      </c>
      <c r="F287" s="78">
        <v>3.0</v>
      </c>
      <c r="G287" s="79">
        <v>105.09</v>
      </c>
    </row>
    <row r="288">
      <c r="A288" s="6">
        <v>111.0</v>
      </c>
      <c r="B288" s="76" t="str">
        <f>IFERROR(VLOOKUP($A288,EVENTO!$A$2:$C$4999,2,FALSE),"")</f>
        <v>ADITIVO DE PRAZO</v>
      </c>
      <c r="C288" s="76" t="str">
        <f>IFERROR(VLOOKUP($A288,EVENTO!$A$2:$C$4999,3,FALSE),"")</f>
        <v>PREFEITURA MUNICIPAL DE ARACATI - CASA CIVIL</v>
      </c>
      <c r="D288" s="78" t="s">
        <v>1560</v>
      </c>
      <c r="F288" s="78">
        <v>2.0</v>
      </c>
      <c r="G288" s="79">
        <v>50.3</v>
      </c>
    </row>
    <row r="289">
      <c r="A289" s="6">
        <v>111.0</v>
      </c>
      <c r="B289" s="76" t="str">
        <f>IFERROR(VLOOKUP($A289,EVENTO!$A$2:$C$4999,2,FALSE),"")</f>
        <v>ADITIVO DE PRAZO</v>
      </c>
      <c r="C289" s="76" t="str">
        <f>IFERROR(VLOOKUP($A289,EVENTO!$A$2:$C$4999,3,FALSE),"")</f>
        <v>PREFEITURA MUNICIPAL DE ARACATI - CASA CIVIL</v>
      </c>
      <c r="D289" s="78" t="s">
        <v>1561</v>
      </c>
      <c r="F289" s="78">
        <v>1.0</v>
      </c>
      <c r="G289" s="79">
        <v>13.42</v>
      </c>
    </row>
    <row r="290">
      <c r="A290" s="6">
        <v>112.0</v>
      </c>
      <c r="B290" s="76" t="str">
        <f>IFERROR(VLOOKUP($A290,EVENTO!$A$2:$C$4999,2,FALSE),"")</f>
        <v>ADITIVO DE PRAZO</v>
      </c>
      <c r="C290" s="76" t="str">
        <f>IFERROR(VLOOKUP($A290,EVENTO!$A$2:$C$4999,3,FALSE),"")</f>
        <v>PREFEITURA MUNICIPAL DE ARACATI - CASA CIVIL</v>
      </c>
      <c r="D290" s="78" t="s">
        <v>1544</v>
      </c>
      <c r="E290" s="6" t="s">
        <v>1545</v>
      </c>
      <c r="F290" s="78">
        <v>5.0</v>
      </c>
      <c r="G290" s="79">
        <v>534.71</v>
      </c>
    </row>
    <row r="291">
      <c r="A291" s="6">
        <v>112.0</v>
      </c>
      <c r="B291" s="76" t="str">
        <f>IFERROR(VLOOKUP($A291,EVENTO!$A$2:$C$4999,2,FALSE),"")</f>
        <v>ADITIVO DE PRAZO</v>
      </c>
      <c r="C291" s="76" t="str">
        <f>IFERROR(VLOOKUP($A291,EVENTO!$A$2:$C$4999,3,FALSE),"")</f>
        <v>PREFEITURA MUNICIPAL DE ARACATI - CASA CIVIL</v>
      </c>
      <c r="D291" s="78" t="s">
        <v>1458</v>
      </c>
      <c r="E291" s="6" t="s">
        <v>1535</v>
      </c>
      <c r="F291" s="78">
        <v>3.0</v>
      </c>
      <c r="G291" s="79">
        <v>344.75</v>
      </c>
    </row>
    <row r="292">
      <c r="A292" s="6">
        <v>112.0</v>
      </c>
      <c r="B292" s="76" t="str">
        <f>IFERROR(VLOOKUP($A292,EVENTO!$A$2:$C$4999,2,FALSE),"")</f>
        <v>ADITIVO DE PRAZO</v>
      </c>
      <c r="C292" s="76" t="str">
        <f>IFERROR(VLOOKUP($A292,EVENTO!$A$2:$C$4999,3,FALSE),"")</f>
        <v>PREFEITURA MUNICIPAL DE ARACATI - CASA CIVIL</v>
      </c>
      <c r="D292" s="78" t="s">
        <v>1546</v>
      </c>
      <c r="E292" s="6" t="s">
        <v>1547</v>
      </c>
      <c r="F292" s="78">
        <v>3.0</v>
      </c>
      <c r="G292" s="79">
        <v>270.39</v>
      </c>
    </row>
    <row r="293">
      <c r="A293" s="6">
        <v>112.0</v>
      </c>
      <c r="B293" s="76" t="str">
        <f>IFERROR(VLOOKUP($A293,EVENTO!$A$2:$C$4999,2,FALSE),"")</f>
        <v>ADITIVO DE PRAZO</v>
      </c>
      <c r="C293" s="76" t="str">
        <f>IFERROR(VLOOKUP($A293,EVENTO!$A$2:$C$4999,3,FALSE),"")</f>
        <v>PREFEITURA MUNICIPAL DE ARACATI - CASA CIVIL</v>
      </c>
      <c r="D293" s="78" t="s">
        <v>1456</v>
      </c>
      <c r="E293" s="6" t="s">
        <v>1548</v>
      </c>
      <c r="F293" s="78">
        <v>3.0</v>
      </c>
      <c r="G293" s="79">
        <v>387.36</v>
      </c>
    </row>
    <row r="294">
      <c r="A294" s="6">
        <v>112.0</v>
      </c>
      <c r="B294" s="76" t="str">
        <f>IFERROR(VLOOKUP($A294,EVENTO!$A$2:$C$4999,2,FALSE),"")</f>
        <v>ADITIVO DE PRAZO</v>
      </c>
      <c r="C294" s="76" t="str">
        <f>IFERROR(VLOOKUP($A294,EVENTO!$A$2:$C$4999,3,FALSE),"")</f>
        <v>PREFEITURA MUNICIPAL DE ARACATI - CASA CIVIL</v>
      </c>
      <c r="D294" s="78" t="s">
        <v>1549</v>
      </c>
      <c r="E294" s="6" t="s">
        <v>1550</v>
      </c>
      <c r="F294" s="78">
        <v>8.0</v>
      </c>
      <c r="G294" s="79">
        <v>221.78</v>
      </c>
    </row>
    <row r="295">
      <c r="A295" s="6">
        <v>112.0</v>
      </c>
      <c r="B295" s="76" t="str">
        <f>IFERROR(VLOOKUP($A295,EVENTO!$A$2:$C$4999,2,FALSE),"")</f>
        <v>ADITIVO DE PRAZO</v>
      </c>
      <c r="C295" s="76" t="str">
        <f>IFERROR(VLOOKUP($A295,EVENTO!$A$2:$C$4999,3,FALSE),"")</f>
        <v>PREFEITURA MUNICIPAL DE ARACATI - CASA CIVIL</v>
      </c>
      <c r="D295" s="78" t="s">
        <v>1551</v>
      </c>
      <c r="E295" s="6" t="s">
        <v>1552</v>
      </c>
      <c r="F295" s="78">
        <v>8.0</v>
      </c>
      <c r="G295" s="79">
        <v>173.93</v>
      </c>
    </row>
    <row r="296">
      <c r="A296" s="6">
        <v>112.0</v>
      </c>
      <c r="B296" s="76" t="str">
        <f>IFERROR(VLOOKUP($A296,EVENTO!$A$2:$C$4999,2,FALSE),"")</f>
        <v>ADITIVO DE PRAZO</v>
      </c>
      <c r="C296" s="76" t="str">
        <f>IFERROR(VLOOKUP($A296,EVENTO!$A$2:$C$4999,3,FALSE),"")</f>
        <v>PREFEITURA MUNICIPAL DE ARACATI - CASA CIVIL</v>
      </c>
      <c r="D296" s="78" t="s">
        <v>1553</v>
      </c>
      <c r="F296" s="78">
        <v>2.0</v>
      </c>
      <c r="G296" s="79">
        <v>286.34</v>
      </c>
    </row>
    <row r="297">
      <c r="A297" s="6">
        <v>112.0</v>
      </c>
      <c r="B297" s="76" t="str">
        <f>IFERROR(VLOOKUP($A297,EVENTO!$A$2:$C$4999,2,FALSE),"")</f>
        <v>ADITIVO DE PRAZO</v>
      </c>
      <c r="C297" s="76" t="str">
        <f>IFERROR(VLOOKUP($A297,EVENTO!$A$2:$C$4999,3,FALSE),"")</f>
        <v>PREFEITURA MUNICIPAL DE ARACATI - CASA CIVIL</v>
      </c>
      <c r="D297" s="78" t="s">
        <v>1487</v>
      </c>
      <c r="F297" s="78">
        <v>2.0</v>
      </c>
      <c r="G297" s="79">
        <v>234.7</v>
      </c>
    </row>
    <row r="298">
      <c r="A298" s="6">
        <v>112.0</v>
      </c>
      <c r="B298" s="76" t="str">
        <f>IFERROR(VLOOKUP($A298,EVENTO!$A$2:$C$4999,2,FALSE),"")</f>
        <v>ADITIVO DE PRAZO</v>
      </c>
      <c r="C298" s="76" t="str">
        <f>IFERROR(VLOOKUP($A298,EVENTO!$A$2:$C$4999,3,FALSE),"")</f>
        <v>PREFEITURA MUNICIPAL DE ARACATI - CASA CIVIL</v>
      </c>
      <c r="D298" s="78" t="s">
        <v>1554</v>
      </c>
      <c r="F298" s="78">
        <v>2.0</v>
      </c>
      <c r="G298" s="83" t="s">
        <v>1555</v>
      </c>
    </row>
    <row r="299">
      <c r="A299" s="6">
        <v>112.0</v>
      </c>
      <c r="B299" s="76" t="str">
        <f>IFERROR(VLOOKUP($A299,EVENTO!$A$2:$C$4999,2,FALSE),"")</f>
        <v>ADITIVO DE PRAZO</v>
      </c>
      <c r="C299" s="76" t="str">
        <f>IFERROR(VLOOKUP($A299,EVENTO!$A$2:$C$4999,3,FALSE),"")</f>
        <v>PREFEITURA MUNICIPAL DE ARACATI - CASA CIVIL</v>
      </c>
      <c r="D299" s="85" t="s">
        <v>1556</v>
      </c>
      <c r="E299" s="86"/>
      <c r="F299" s="78">
        <v>3.0</v>
      </c>
      <c r="G299" s="79">
        <v>148.11</v>
      </c>
    </row>
    <row r="300">
      <c r="A300" s="6">
        <v>112.0</v>
      </c>
      <c r="B300" s="76" t="str">
        <f>IFERROR(VLOOKUP($A300,EVENTO!$A$2:$C$4999,2,FALSE),"")</f>
        <v>ADITIVO DE PRAZO</v>
      </c>
      <c r="C300" s="76" t="str">
        <f>IFERROR(VLOOKUP($A300,EVENTO!$A$2:$C$4999,3,FALSE),"")</f>
        <v>PREFEITURA MUNICIPAL DE ARACATI - CASA CIVIL</v>
      </c>
      <c r="D300" s="78" t="s">
        <v>1491</v>
      </c>
      <c r="F300" s="78">
        <v>1.0</v>
      </c>
      <c r="G300" s="79">
        <v>193.47</v>
      </c>
    </row>
    <row r="301">
      <c r="A301" s="6">
        <v>112.0</v>
      </c>
      <c r="B301" s="76" t="str">
        <f>IFERROR(VLOOKUP($A301,EVENTO!$A$2:$C$4999,2,FALSE),"")</f>
        <v>ADITIVO DE PRAZO</v>
      </c>
      <c r="C301" s="76" t="str">
        <f>IFERROR(VLOOKUP($A301,EVENTO!$A$2:$C$4999,3,FALSE),"")</f>
        <v>PREFEITURA MUNICIPAL DE ARACATI - CASA CIVIL</v>
      </c>
      <c r="D301" s="78" t="s">
        <v>1557</v>
      </c>
      <c r="F301" s="78">
        <v>3.0</v>
      </c>
      <c r="G301" s="79">
        <v>91.18</v>
      </c>
    </row>
    <row r="302">
      <c r="A302" s="6">
        <v>112.0</v>
      </c>
      <c r="B302" s="76" t="str">
        <f>IFERROR(VLOOKUP($A302,EVENTO!$A$2:$C$4999,2,FALSE),"")</f>
        <v>ADITIVO DE PRAZO</v>
      </c>
      <c r="C302" s="76" t="str">
        <f>IFERROR(VLOOKUP($A302,EVENTO!$A$2:$C$4999,3,FALSE),"")</f>
        <v>PREFEITURA MUNICIPAL DE ARACATI - CASA CIVIL</v>
      </c>
      <c r="D302" s="78" t="s">
        <v>1497</v>
      </c>
      <c r="F302" s="78">
        <v>1.0</v>
      </c>
      <c r="G302" s="79">
        <v>199.46</v>
      </c>
    </row>
    <row r="303">
      <c r="A303" s="6">
        <v>112.0</v>
      </c>
      <c r="B303" s="76" t="str">
        <f>IFERROR(VLOOKUP($A303,EVENTO!$A$2:$C$4999,2,FALSE),"")</f>
        <v>ADITIVO DE PRAZO</v>
      </c>
      <c r="C303" s="76" t="str">
        <f>IFERROR(VLOOKUP($A303,EVENTO!$A$2:$C$4999,3,FALSE),"")</f>
        <v>PREFEITURA MUNICIPAL DE ARACATI - CASA CIVIL</v>
      </c>
      <c r="D303" s="78" t="s">
        <v>1504</v>
      </c>
      <c r="F303" s="78">
        <v>3.0</v>
      </c>
      <c r="G303" s="79">
        <v>41.95</v>
      </c>
    </row>
    <row r="304">
      <c r="A304" s="6">
        <v>112.0</v>
      </c>
      <c r="B304" s="76" t="str">
        <f>IFERROR(VLOOKUP($A304,EVENTO!$A$2:$C$4999,2,FALSE),"")</f>
        <v>ADITIVO DE PRAZO</v>
      </c>
      <c r="C304" s="76" t="str">
        <f>IFERROR(VLOOKUP($A304,EVENTO!$A$2:$C$4999,3,FALSE),"")</f>
        <v>PREFEITURA MUNICIPAL DE ARACATI - CASA CIVIL</v>
      </c>
      <c r="D304" s="78" t="s">
        <v>1499</v>
      </c>
      <c r="F304" s="78">
        <v>1.0</v>
      </c>
      <c r="G304" s="79">
        <v>264.11</v>
      </c>
    </row>
    <row r="305">
      <c r="A305" s="6">
        <v>112.0</v>
      </c>
      <c r="B305" s="76" t="str">
        <f>IFERROR(VLOOKUP($A305,EVENTO!$A$2:$C$4999,2,FALSE),"")</f>
        <v>ADITIVO DE PRAZO</v>
      </c>
      <c r="C305" s="76" t="str">
        <f>IFERROR(VLOOKUP($A305,EVENTO!$A$2:$C$4999,3,FALSE),"")</f>
        <v>PREFEITURA MUNICIPAL DE ARACATI - CASA CIVIL</v>
      </c>
      <c r="D305" s="78" t="s">
        <v>1558</v>
      </c>
      <c r="F305" s="78">
        <v>3.0</v>
      </c>
      <c r="G305" s="79">
        <v>169.29</v>
      </c>
    </row>
    <row r="306">
      <c r="A306" s="6">
        <v>112.0</v>
      </c>
      <c r="B306" s="76" t="str">
        <f>IFERROR(VLOOKUP($A306,EVENTO!$A$2:$C$4999,2,FALSE),"")</f>
        <v>ADITIVO DE PRAZO</v>
      </c>
      <c r="C306" s="76" t="str">
        <f>IFERROR(VLOOKUP($A306,EVENTO!$A$2:$C$4999,3,FALSE),"")</f>
        <v>PREFEITURA MUNICIPAL DE ARACATI - CASA CIVIL</v>
      </c>
      <c r="D306" s="78" t="s">
        <v>1559</v>
      </c>
      <c r="F306" s="78">
        <v>3.0</v>
      </c>
      <c r="G306" s="79">
        <v>105.09</v>
      </c>
    </row>
    <row r="307">
      <c r="A307" s="6">
        <v>112.0</v>
      </c>
      <c r="B307" s="76" t="str">
        <f>IFERROR(VLOOKUP($A307,EVENTO!$A$2:$C$4999,2,FALSE),"")</f>
        <v>ADITIVO DE PRAZO</v>
      </c>
      <c r="C307" s="76" t="str">
        <f>IFERROR(VLOOKUP($A307,EVENTO!$A$2:$C$4999,3,FALSE),"")</f>
        <v>PREFEITURA MUNICIPAL DE ARACATI - CASA CIVIL</v>
      </c>
      <c r="D307" s="78" t="s">
        <v>1560</v>
      </c>
      <c r="F307" s="78">
        <v>2.0</v>
      </c>
      <c r="G307" s="79">
        <v>50.3</v>
      </c>
    </row>
    <row r="308">
      <c r="A308" s="6">
        <v>112.0</v>
      </c>
      <c r="B308" s="76" t="str">
        <f>IFERROR(VLOOKUP($A308,EVENTO!$A$2:$C$4999,2,FALSE),"")</f>
        <v>ADITIVO DE PRAZO</v>
      </c>
      <c r="C308" s="76" t="str">
        <f>IFERROR(VLOOKUP($A308,EVENTO!$A$2:$C$4999,3,FALSE),"")</f>
        <v>PREFEITURA MUNICIPAL DE ARACATI - CASA CIVIL</v>
      </c>
      <c r="D308" s="78" t="s">
        <v>1561</v>
      </c>
      <c r="F308" s="78">
        <v>1.0</v>
      </c>
      <c r="G308" s="79">
        <v>13.42</v>
      </c>
    </row>
    <row r="309">
      <c r="A309" s="6">
        <v>113.0</v>
      </c>
      <c r="B309" s="76" t="str">
        <f>IFERROR(VLOOKUP($A309,EVENTO!$A$2:$C$4999,2,FALSE),"")</f>
        <v>ADITIVO DE PRAZO</v>
      </c>
      <c r="C309" s="76" t="str">
        <f>IFERROR(VLOOKUP($A309,EVENTO!$A$2:$C$4999,3,FALSE),"")</f>
        <v>PREFEITURA MUNICIPAL DE ARACATI - CASA CIVIL</v>
      </c>
      <c r="D309" s="78" t="s">
        <v>1544</v>
      </c>
      <c r="E309" s="6" t="s">
        <v>1545</v>
      </c>
      <c r="F309" s="78">
        <v>5.0</v>
      </c>
      <c r="G309" s="79">
        <v>534.71</v>
      </c>
    </row>
    <row r="310">
      <c r="A310" s="6">
        <v>113.0</v>
      </c>
      <c r="B310" s="76" t="str">
        <f>IFERROR(VLOOKUP($A310,EVENTO!$A$2:$C$4999,2,FALSE),"")</f>
        <v>ADITIVO DE PRAZO</v>
      </c>
      <c r="C310" s="76" t="str">
        <f>IFERROR(VLOOKUP($A310,EVENTO!$A$2:$C$4999,3,FALSE),"")</f>
        <v>PREFEITURA MUNICIPAL DE ARACATI - CASA CIVIL</v>
      </c>
      <c r="D310" s="78" t="s">
        <v>1458</v>
      </c>
      <c r="E310" s="6" t="s">
        <v>1535</v>
      </c>
      <c r="F310" s="78">
        <v>3.0</v>
      </c>
      <c r="G310" s="79">
        <v>344.75</v>
      </c>
    </row>
    <row r="311">
      <c r="A311" s="6">
        <v>113.0</v>
      </c>
      <c r="B311" s="76" t="str">
        <f>IFERROR(VLOOKUP($A311,EVENTO!$A$2:$C$4999,2,FALSE),"")</f>
        <v>ADITIVO DE PRAZO</v>
      </c>
      <c r="C311" s="76" t="str">
        <f>IFERROR(VLOOKUP($A311,EVENTO!$A$2:$C$4999,3,FALSE),"")</f>
        <v>PREFEITURA MUNICIPAL DE ARACATI - CASA CIVIL</v>
      </c>
      <c r="D311" s="78" t="s">
        <v>1546</v>
      </c>
      <c r="E311" s="6" t="s">
        <v>1547</v>
      </c>
      <c r="F311" s="78">
        <v>3.0</v>
      </c>
      <c r="G311" s="79">
        <v>270.39</v>
      </c>
    </row>
    <row r="312">
      <c r="A312" s="6">
        <v>113.0</v>
      </c>
      <c r="B312" s="76" t="str">
        <f>IFERROR(VLOOKUP($A312,EVENTO!$A$2:$C$4999,2,FALSE),"")</f>
        <v>ADITIVO DE PRAZO</v>
      </c>
      <c r="C312" s="76" t="str">
        <f>IFERROR(VLOOKUP($A312,EVENTO!$A$2:$C$4999,3,FALSE),"")</f>
        <v>PREFEITURA MUNICIPAL DE ARACATI - CASA CIVIL</v>
      </c>
      <c r="D312" s="78" t="s">
        <v>1456</v>
      </c>
      <c r="E312" s="6" t="s">
        <v>1548</v>
      </c>
      <c r="F312" s="78">
        <v>3.0</v>
      </c>
      <c r="G312" s="79">
        <v>387.36</v>
      </c>
    </row>
    <row r="313">
      <c r="A313" s="6">
        <v>113.0</v>
      </c>
      <c r="B313" s="76" t="str">
        <f>IFERROR(VLOOKUP($A313,EVENTO!$A$2:$C$4999,2,FALSE),"")</f>
        <v>ADITIVO DE PRAZO</v>
      </c>
      <c r="C313" s="76" t="str">
        <f>IFERROR(VLOOKUP($A313,EVENTO!$A$2:$C$4999,3,FALSE),"")</f>
        <v>PREFEITURA MUNICIPAL DE ARACATI - CASA CIVIL</v>
      </c>
      <c r="D313" s="78" t="s">
        <v>1549</v>
      </c>
      <c r="E313" s="6" t="s">
        <v>1550</v>
      </c>
      <c r="F313" s="78">
        <v>8.0</v>
      </c>
      <c r="G313" s="79">
        <v>221.78</v>
      </c>
    </row>
    <row r="314">
      <c r="A314" s="6">
        <v>113.0</v>
      </c>
      <c r="B314" s="76" t="str">
        <f>IFERROR(VLOOKUP($A314,EVENTO!$A$2:$C$4999,2,FALSE),"")</f>
        <v>ADITIVO DE PRAZO</v>
      </c>
      <c r="C314" s="76" t="str">
        <f>IFERROR(VLOOKUP($A314,EVENTO!$A$2:$C$4999,3,FALSE),"")</f>
        <v>PREFEITURA MUNICIPAL DE ARACATI - CASA CIVIL</v>
      </c>
      <c r="D314" s="78" t="s">
        <v>1551</v>
      </c>
      <c r="E314" s="6" t="s">
        <v>1552</v>
      </c>
      <c r="F314" s="78">
        <v>8.0</v>
      </c>
      <c r="G314" s="79">
        <v>173.93</v>
      </c>
    </row>
    <row r="315">
      <c r="A315" s="6">
        <v>113.0</v>
      </c>
      <c r="B315" s="76" t="str">
        <f>IFERROR(VLOOKUP($A315,EVENTO!$A$2:$C$4999,2,FALSE),"")</f>
        <v>ADITIVO DE PRAZO</v>
      </c>
      <c r="C315" s="76" t="str">
        <f>IFERROR(VLOOKUP($A315,EVENTO!$A$2:$C$4999,3,FALSE),"")</f>
        <v>PREFEITURA MUNICIPAL DE ARACATI - CASA CIVIL</v>
      </c>
      <c r="D315" s="78" t="s">
        <v>1553</v>
      </c>
      <c r="F315" s="78">
        <v>2.0</v>
      </c>
      <c r="G315" s="79">
        <v>286.34</v>
      </c>
    </row>
    <row r="316">
      <c r="A316" s="6">
        <v>113.0</v>
      </c>
      <c r="B316" s="76" t="str">
        <f>IFERROR(VLOOKUP($A316,EVENTO!$A$2:$C$4999,2,FALSE),"")</f>
        <v>ADITIVO DE PRAZO</v>
      </c>
      <c r="C316" s="76" t="str">
        <f>IFERROR(VLOOKUP($A316,EVENTO!$A$2:$C$4999,3,FALSE),"")</f>
        <v>PREFEITURA MUNICIPAL DE ARACATI - CASA CIVIL</v>
      </c>
      <c r="D316" s="78" t="s">
        <v>1487</v>
      </c>
      <c r="F316" s="78">
        <v>2.0</v>
      </c>
      <c r="G316" s="79">
        <v>234.7</v>
      </c>
    </row>
    <row r="317">
      <c r="A317" s="6">
        <v>113.0</v>
      </c>
      <c r="B317" s="76" t="str">
        <f>IFERROR(VLOOKUP($A317,EVENTO!$A$2:$C$4999,2,FALSE),"")</f>
        <v>ADITIVO DE PRAZO</v>
      </c>
      <c r="C317" s="76" t="str">
        <f>IFERROR(VLOOKUP($A317,EVENTO!$A$2:$C$4999,3,FALSE),"")</f>
        <v>PREFEITURA MUNICIPAL DE ARACATI - CASA CIVIL</v>
      </c>
      <c r="D317" s="78" t="s">
        <v>1554</v>
      </c>
      <c r="F317" s="78">
        <v>2.0</v>
      </c>
      <c r="G317" s="83" t="s">
        <v>1555</v>
      </c>
    </row>
    <row r="318">
      <c r="A318" s="6">
        <v>113.0</v>
      </c>
      <c r="B318" s="76" t="str">
        <f>IFERROR(VLOOKUP($A318,EVENTO!$A$2:$C$4999,2,FALSE),"")</f>
        <v>ADITIVO DE PRAZO</v>
      </c>
      <c r="C318" s="76" t="str">
        <f>IFERROR(VLOOKUP($A318,EVENTO!$A$2:$C$4999,3,FALSE),"")</f>
        <v>PREFEITURA MUNICIPAL DE ARACATI - CASA CIVIL</v>
      </c>
      <c r="D318" s="85" t="s">
        <v>1556</v>
      </c>
      <c r="E318" s="86"/>
      <c r="F318" s="78">
        <v>3.0</v>
      </c>
      <c r="G318" s="79">
        <v>148.11</v>
      </c>
    </row>
    <row r="319">
      <c r="A319" s="6">
        <v>113.0</v>
      </c>
      <c r="B319" s="76" t="str">
        <f>IFERROR(VLOOKUP($A319,EVENTO!$A$2:$C$4999,2,FALSE),"")</f>
        <v>ADITIVO DE PRAZO</v>
      </c>
      <c r="C319" s="76" t="str">
        <f>IFERROR(VLOOKUP($A319,EVENTO!$A$2:$C$4999,3,FALSE),"")</f>
        <v>PREFEITURA MUNICIPAL DE ARACATI - CASA CIVIL</v>
      </c>
      <c r="D319" s="78" t="s">
        <v>1491</v>
      </c>
      <c r="F319" s="78">
        <v>1.0</v>
      </c>
      <c r="G319" s="79">
        <v>193.47</v>
      </c>
    </row>
    <row r="320">
      <c r="A320" s="6">
        <v>113.0</v>
      </c>
      <c r="B320" s="76" t="str">
        <f>IFERROR(VLOOKUP($A320,EVENTO!$A$2:$C$4999,2,FALSE),"")</f>
        <v>ADITIVO DE PRAZO</v>
      </c>
      <c r="C320" s="76" t="str">
        <f>IFERROR(VLOOKUP($A320,EVENTO!$A$2:$C$4999,3,FALSE),"")</f>
        <v>PREFEITURA MUNICIPAL DE ARACATI - CASA CIVIL</v>
      </c>
      <c r="D320" s="78" t="s">
        <v>1557</v>
      </c>
      <c r="F320" s="78">
        <v>3.0</v>
      </c>
      <c r="G320" s="79">
        <v>91.18</v>
      </c>
    </row>
    <row r="321">
      <c r="A321" s="6">
        <v>113.0</v>
      </c>
      <c r="B321" s="76" t="str">
        <f>IFERROR(VLOOKUP($A321,EVENTO!$A$2:$C$4999,2,FALSE),"")</f>
        <v>ADITIVO DE PRAZO</v>
      </c>
      <c r="C321" s="76" t="str">
        <f>IFERROR(VLOOKUP($A321,EVENTO!$A$2:$C$4999,3,FALSE),"")</f>
        <v>PREFEITURA MUNICIPAL DE ARACATI - CASA CIVIL</v>
      </c>
      <c r="D321" s="78" t="s">
        <v>1504</v>
      </c>
      <c r="F321" s="78">
        <v>3.0</v>
      </c>
      <c r="G321" s="79">
        <v>41.12</v>
      </c>
    </row>
    <row r="322">
      <c r="A322" s="6">
        <v>113.0</v>
      </c>
      <c r="B322" s="76" t="str">
        <f>IFERROR(VLOOKUP($A322,EVENTO!$A$2:$C$4999,2,FALSE),"")</f>
        <v>ADITIVO DE PRAZO</v>
      </c>
      <c r="C322" s="76" t="str">
        <f>IFERROR(VLOOKUP($A322,EVENTO!$A$2:$C$4999,3,FALSE),"")</f>
        <v>PREFEITURA MUNICIPAL DE ARACATI - CASA CIVIL</v>
      </c>
      <c r="D322" s="78" t="s">
        <v>1499</v>
      </c>
      <c r="F322" s="78">
        <v>1.0</v>
      </c>
      <c r="G322" s="79">
        <v>264.11</v>
      </c>
    </row>
    <row r="323">
      <c r="A323" s="6">
        <v>113.0</v>
      </c>
      <c r="B323" s="76" t="str">
        <f>IFERROR(VLOOKUP($A323,EVENTO!$A$2:$C$4999,2,FALSE),"")</f>
        <v>ADITIVO DE PRAZO</v>
      </c>
      <c r="C323" s="76" t="str">
        <f>IFERROR(VLOOKUP($A323,EVENTO!$A$2:$C$4999,3,FALSE),"")</f>
        <v>PREFEITURA MUNICIPAL DE ARACATI - CASA CIVIL</v>
      </c>
      <c r="D323" s="78" t="s">
        <v>1558</v>
      </c>
      <c r="F323" s="78">
        <v>3.0</v>
      </c>
      <c r="G323" s="79">
        <v>169.29</v>
      </c>
    </row>
    <row r="324">
      <c r="A324" s="6">
        <v>113.0</v>
      </c>
      <c r="B324" s="76" t="str">
        <f>IFERROR(VLOOKUP($A324,EVENTO!$A$2:$C$4999,2,FALSE),"")</f>
        <v>ADITIVO DE PRAZO</v>
      </c>
      <c r="C324" s="76" t="str">
        <f>IFERROR(VLOOKUP($A324,EVENTO!$A$2:$C$4999,3,FALSE),"")</f>
        <v>PREFEITURA MUNICIPAL DE ARACATI - CASA CIVIL</v>
      </c>
      <c r="D324" s="78" t="s">
        <v>1559</v>
      </c>
      <c r="F324" s="78">
        <v>3.0</v>
      </c>
      <c r="G324" s="79">
        <v>105.09</v>
      </c>
    </row>
    <row r="325">
      <c r="A325" s="6">
        <v>113.0</v>
      </c>
      <c r="B325" s="76" t="str">
        <f>IFERROR(VLOOKUP($A325,EVENTO!$A$2:$C$4999,2,FALSE),"")</f>
        <v>ADITIVO DE PRAZO</v>
      </c>
      <c r="C325" s="76" t="str">
        <f>IFERROR(VLOOKUP($A325,EVENTO!$A$2:$C$4999,3,FALSE),"")</f>
        <v>PREFEITURA MUNICIPAL DE ARACATI - CASA CIVIL</v>
      </c>
      <c r="D325" s="78" t="s">
        <v>1560</v>
      </c>
      <c r="F325" s="78">
        <v>2.0</v>
      </c>
      <c r="G325" s="79">
        <v>50.3</v>
      </c>
    </row>
    <row r="326">
      <c r="A326" s="6">
        <v>113.0</v>
      </c>
      <c r="B326" s="76" t="str">
        <f>IFERROR(VLOOKUP($A326,EVENTO!$A$2:$C$4999,2,FALSE),"")</f>
        <v>ADITIVO DE PRAZO</v>
      </c>
      <c r="C326" s="76" t="str">
        <f>IFERROR(VLOOKUP($A326,EVENTO!$A$2:$C$4999,3,FALSE),"")</f>
        <v>PREFEITURA MUNICIPAL DE ARACATI - CASA CIVIL</v>
      </c>
      <c r="D326" s="78" t="s">
        <v>1561</v>
      </c>
      <c r="F326" s="78">
        <v>1.0</v>
      </c>
      <c r="G326" s="79">
        <v>13.42</v>
      </c>
    </row>
    <row r="327">
      <c r="A327" s="6">
        <v>114.0</v>
      </c>
      <c r="B327" s="76" t="str">
        <f>IFERROR(VLOOKUP($A327,EVENTO!$A$2:$C$4999,2,FALSE),"")</f>
        <v>ADITIVO DE PRAZO</v>
      </c>
      <c r="C327" s="76" t="str">
        <f>IFERROR(VLOOKUP($A327,EVENTO!$A$2:$C$4999,3,FALSE),"")</f>
        <v>PREFEITURA MUNICIPAL DE ARACATI - CASA CIVIL</v>
      </c>
      <c r="D327" s="78" t="s">
        <v>1544</v>
      </c>
      <c r="E327" s="6" t="s">
        <v>1545</v>
      </c>
      <c r="F327" s="78">
        <v>5.0</v>
      </c>
      <c r="G327" s="79">
        <v>534.71</v>
      </c>
    </row>
    <row r="328">
      <c r="A328" s="6">
        <v>114.0</v>
      </c>
      <c r="B328" s="76" t="str">
        <f>IFERROR(VLOOKUP($A328,EVENTO!$A$2:$C$4999,2,FALSE),"")</f>
        <v>ADITIVO DE PRAZO</v>
      </c>
      <c r="C328" s="76" t="str">
        <f>IFERROR(VLOOKUP($A328,EVENTO!$A$2:$C$4999,3,FALSE),"")</f>
        <v>PREFEITURA MUNICIPAL DE ARACATI - CASA CIVIL</v>
      </c>
      <c r="D328" s="78" t="s">
        <v>1458</v>
      </c>
      <c r="E328" s="6" t="s">
        <v>1535</v>
      </c>
      <c r="F328" s="78">
        <v>3.0</v>
      </c>
      <c r="G328" s="79">
        <v>344.75</v>
      </c>
    </row>
    <row r="329">
      <c r="A329" s="6">
        <v>114.0</v>
      </c>
      <c r="B329" s="76" t="str">
        <f>IFERROR(VLOOKUP($A329,EVENTO!$A$2:$C$4999,2,FALSE),"")</f>
        <v>ADITIVO DE PRAZO</v>
      </c>
      <c r="C329" s="76" t="str">
        <f>IFERROR(VLOOKUP($A329,EVENTO!$A$2:$C$4999,3,FALSE),"")</f>
        <v>PREFEITURA MUNICIPAL DE ARACATI - CASA CIVIL</v>
      </c>
      <c r="D329" s="78" t="s">
        <v>1546</v>
      </c>
      <c r="E329" s="6" t="s">
        <v>1547</v>
      </c>
      <c r="F329" s="78">
        <v>3.0</v>
      </c>
      <c r="G329" s="79">
        <v>270.39</v>
      </c>
    </row>
    <row r="330">
      <c r="A330" s="6">
        <v>114.0</v>
      </c>
      <c r="B330" s="76" t="str">
        <f>IFERROR(VLOOKUP($A330,EVENTO!$A$2:$C$4999,2,FALSE),"")</f>
        <v>ADITIVO DE PRAZO</v>
      </c>
      <c r="C330" s="76" t="str">
        <f>IFERROR(VLOOKUP($A330,EVENTO!$A$2:$C$4999,3,FALSE),"")</f>
        <v>PREFEITURA MUNICIPAL DE ARACATI - CASA CIVIL</v>
      </c>
      <c r="D330" s="78" t="s">
        <v>1456</v>
      </c>
      <c r="E330" s="6" t="s">
        <v>1548</v>
      </c>
      <c r="F330" s="78">
        <v>3.0</v>
      </c>
      <c r="G330" s="79">
        <v>387.36</v>
      </c>
    </row>
    <row r="331">
      <c r="A331" s="6">
        <v>114.0</v>
      </c>
      <c r="B331" s="76" t="str">
        <f>IFERROR(VLOOKUP($A331,EVENTO!$A$2:$C$4999,2,FALSE),"")</f>
        <v>ADITIVO DE PRAZO</v>
      </c>
      <c r="C331" s="76" t="str">
        <f>IFERROR(VLOOKUP($A331,EVENTO!$A$2:$C$4999,3,FALSE),"")</f>
        <v>PREFEITURA MUNICIPAL DE ARACATI - CASA CIVIL</v>
      </c>
      <c r="D331" s="78" t="s">
        <v>1549</v>
      </c>
      <c r="E331" s="6" t="s">
        <v>1550</v>
      </c>
      <c r="F331" s="78">
        <v>8.0</v>
      </c>
      <c r="G331" s="79">
        <v>221.78</v>
      </c>
    </row>
    <row r="332">
      <c r="A332" s="6">
        <v>114.0</v>
      </c>
      <c r="B332" s="76" t="str">
        <f>IFERROR(VLOOKUP($A332,EVENTO!$A$2:$C$4999,2,FALSE),"")</f>
        <v>ADITIVO DE PRAZO</v>
      </c>
      <c r="C332" s="76" t="str">
        <f>IFERROR(VLOOKUP($A332,EVENTO!$A$2:$C$4999,3,FALSE),"")</f>
        <v>PREFEITURA MUNICIPAL DE ARACATI - CASA CIVIL</v>
      </c>
      <c r="D332" s="78" t="s">
        <v>1551</v>
      </c>
      <c r="E332" s="6" t="s">
        <v>1552</v>
      </c>
      <c r="F332" s="78">
        <v>8.0</v>
      </c>
      <c r="G332" s="79">
        <v>173.93</v>
      </c>
    </row>
    <row r="333">
      <c r="A333" s="6">
        <v>114.0</v>
      </c>
      <c r="B333" s="76" t="str">
        <f>IFERROR(VLOOKUP($A333,EVENTO!$A$2:$C$4999,2,FALSE),"")</f>
        <v>ADITIVO DE PRAZO</v>
      </c>
      <c r="C333" s="76" t="str">
        <f>IFERROR(VLOOKUP($A333,EVENTO!$A$2:$C$4999,3,FALSE),"")</f>
        <v>PREFEITURA MUNICIPAL DE ARACATI - CASA CIVIL</v>
      </c>
      <c r="D333" s="78" t="s">
        <v>1553</v>
      </c>
      <c r="F333" s="78">
        <v>2.0</v>
      </c>
      <c r="G333" s="79">
        <v>286.34</v>
      </c>
    </row>
    <row r="334">
      <c r="A334" s="6">
        <v>114.0</v>
      </c>
      <c r="B334" s="76" t="str">
        <f>IFERROR(VLOOKUP($A334,EVENTO!$A$2:$C$4999,2,FALSE),"")</f>
        <v>ADITIVO DE PRAZO</v>
      </c>
      <c r="C334" s="76" t="str">
        <f>IFERROR(VLOOKUP($A334,EVENTO!$A$2:$C$4999,3,FALSE),"")</f>
        <v>PREFEITURA MUNICIPAL DE ARACATI - CASA CIVIL</v>
      </c>
      <c r="D334" s="78" t="s">
        <v>1487</v>
      </c>
      <c r="F334" s="78">
        <v>2.0</v>
      </c>
      <c r="G334" s="79">
        <v>234.7</v>
      </c>
    </row>
    <row r="335">
      <c r="A335" s="6">
        <v>114.0</v>
      </c>
      <c r="B335" s="76" t="str">
        <f>IFERROR(VLOOKUP($A335,EVENTO!$A$2:$C$4999,2,FALSE),"")</f>
        <v>ADITIVO DE PRAZO</v>
      </c>
      <c r="C335" s="76" t="str">
        <f>IFERROR(VLOOKUP($A335,EVENTO!$A$2:$C$4999,3,FALSE),"")</f>
        <v>PREFEITURA MUNICIPAL DE ARACATI - CASA CIVIL</v>
      </c>
      <c r="D335" s="78" t="s">
        <v>1554</v>
      </c>
      <c r="F335" s="78">
        <v>2.0</v>
      </c>
      <c r="G335" s="83" t="s">
        <v>1555</v>
      </c>
    </row>
    <row r="336">
      <c r="A336" s="6">
        <v>114.0</v>
      </c>
      <c r="B336" s="76" t="str">
        <f>IFERROR(VLOOKUP($A336,EVENTO!$A$2:$C$4999,2,FALSE),"")</f>
        <v>ADITIVO DE PRAZO</v>
      </c>
      <c r="C336" s="76" t="str">
        <f>IFERROR(VLOOKUP($A336,EVENTO!$A$2:$C$4999,3,FALSE),"")</f>
        <v>PREFEITURA MUNICIPAL DE ARACATI - CASA CIVIL</v>
      </c>
      <c r="D336" s="85" t="s">
        <v>1556</v>
      </c>
      <c r="E336" s="86"/>
      <c r="F336" s="78">
        <v>3.0</v>
      </c>
      <c r="G336" s="79">
        <v>148.11</v>
      </c>
    </row>
    <row r="337">
      <c r="A337" s="6">
        <v>114.0</v>
      </c>
      <c r="B337" s="76" t="str">
        <f>IFERROR(VLOOKUP($A337,EVENTO!$A$2:$C$4999,2,FALSE),"")</f>
        <v>ADITIVO DE PRAZO</v>
      </c>
      <c r="C337" s="76" t="str">
        <f>IFERROR(VLOOKUP($A337,EVENTO!$A$2:$C$4999,3,FALSE),"")</f>
        <v>PREFEITURA MUNICIPAL DE ARACATI - CASA CIVIL</v>
      </c>
      <c r="D337" s="78" t="s">
        <v>1491</v>
      </c>
      <c r="F337" s="78">
        <v>1.0</v>
      </c>
      <c r="G337" s="79">
        <v>193.47</v>
      </c>
    </row>
    <row r="338">
      <c r="A338" s="6">
        <v>114.0</v>
      </c>
      <c r="B338" s="76" t="str">
        <f>IFERROR(VLOOKUP($A338,EVENTO!$A$2:$C$4999,2,FALSE),"")</f>
        <v>ADITIVO DE PRAZO</v>
      </c>
      <c r="C338" s="76" t="str">
        <f>IFERROR(VLOOKUP($A338,EVENTO!$A$2:$C$4999,3,FALSE),"")</f>
        <v>PREFEITURA MUNICIPAL DE ARACATI - CASA CIVIL</v>
      </c>
      <c r="D338" s="78" t="s">
        <v>1557</v>
      </c>
      <c r="F338" s="78">
        <v>3.0</v>
      </c>
      <c r="G338" s="79">
        <v>91.18</v>
      </c>
    </row>
    <row r="339">
      <c r="A339" s="6">
        <v>114.0</v>
      </c>
      <c r="B339" s="76" t="str">
        <f>IFERROR(VLOOKUP($A339,EVENTO!$A$2:$C$4999,2,FALSE),"")</f>
        <v>ADITIVO DE PRAZO</v>
      </c>
      <c r="C339" s="76" t="str">
        <f>IFERROR(VLOOKUP($A339,EVENTO!$A$2:$C$4999,3,FALSE),"")</f>
        <v>PREFEITURA MUNICIPAL DE ARACATI - CASA CIVIL</v>
      </c>
      <c r="D339" s="78" t="s">
        <v>1504</v>
      </c>
      <c r="F339" s="78">
        <v>3.0</v>
      </c>
      <c r="G339" s="79">
        <v>41.12</v>
      </c>
    </row>
    <row r="340">
      <c r="A340" s="6">
        <v>114.0</v>
      </c>
      <c r="B340" s="76" t="str">
        <f>IFERROR(VLOOKUP($A340,EVENTO!$A$2:$C$4999,2,FALSE),"")</f>
        <v>ADITIVO DE PRAZO</v>
      </c>
      <c r="C340" s="76" t="str">
        <f>IFERROR(VLOOKUP($A340,EVENTO!$A$2:$C$4999,3,FALSE),"")</f>
        <v>PREFEITURA MUNICIPAL DE ARACATI - CASA CIVIL</v>
      </c>
      <c r="D340" s="78" t="s">
        <v>1499</v>
      </c>
      <c r="F340" s="78">
        <v>1.0</v>
      </c>
      <c r="G340" s="79">
        <v>264.11</v>
      </c>
    </row>
    <row r="341">
      <c r="A341" s="6">
        <v>114.0</v>
      </c>
      <c r="B341" s="76" t="str">
        <f>IFERROR(VLOOKUP($A341,EVENTO!$A$2:$C$4999,2,FALSE),"")</f>
        <v>ADITIVO DE PRAZO</v>
      </c>
      <c r="C341" s="76" t="str">
        <f>IFERROR(VLOOKUP($A341,EVENTO!$A$2:$C$4999,3,FALSE),"")</f>
        <v>PREFEITURA MUNICIPAL DE ARACATI - CASA CIVIL</v>
      </c>
      <c r="D341" s="78" t="s">
        <v>1558</v>
      </c>
      <c r="F341" s="78">
        <v>3.0</v>
      </c>
      <c r="G341" s="79">
        <v>169.29</v>
      </c>
    </row>
    <row r="342">
      <c r="A342" s="6">
        <v>114.0</v>
      </c>
      <c r="B342" s="76" t="str">
        <f>IFERROR(VLOOKUP($A342,EVENTO!$A$2:$C$4999,2,FALSE),"")</f>
        <v>ADITIVO DE PRAZO</v>
      </c>
      <c r="C342" s="76" t="str">
        <f>IFERROR(VLOOKUP($A342,EVENTO!$A$2:$C$4999,3,FALSE),"")</f>
        <v>PREFEITURA MUNICIPAL DE ARACATI - CASA CIVIL</v>
      </c>
      <c r="D342" s="78" t="s">
        <v>1559</v>
      </c>
      <c r="F342" s="78">
        <v>3.0</v>
      </c>
      <c r="G342" s="79">
        <v>105.09</v>
      </c>
    </row>
    <row r="343">
      <c r="A343" s="6">
        <v>114.0</v>
      </c>
      <c r="B343" s="76" t="str">
        <f>IFERROR(VLOOKUP($A343,EVENTO!$A$2:$C$4999,2,FALSE),"")</f>
        <v>ADITIVO DE PRAZO</v>
      </c>
      <c r="C343" s="76" t="str">
        <f>IFERROR(VLOOKUP($A343,EVENTO!$A$2:$C$4999,3,FALSE),"")</f>
        <v>PREFEITURA MUNICIPAL DE ARACATI - CASA CIVIL</v>
      </c>
      <c r="D343" s="78" t="s">
        <v>1560</v>
      </c>
      <c r="F343" s="78">
        <v>2.0</v>
      </c>
      <c r="G343" s="79">
        <v>50.3</v>
      </c>
    </row>
    <row r="344">
      <c r="A344" s="6">
        <v>114.0</v>
      </c>
      <c r="B344" s="76" t="str">
        <f>IFERROR(VLOOKUP($A344,EVENTO!$A$2:$C$4999,2,FALSE),"")</f>
        <v>ADITIVO DE PRAZO</v>
      </c>
      <c r="C344" s="76" t="str">
        <f>IFERROR(VLOOKUP($A344,EVENTO!$A$2:$C$4999,3,FALSE),"")</f>
        <v>PREFEITURA MUNICIPAL DE ARACATI - CASA CIVIL</v>
      </c>
      <c r="D344" s="78" t="s">
        <v>1561</v>
      </c>
      <c r="F344" s="78">
        <v>1.0</v>
      </c>
      <c r="G344" s="79">
        <v>13.42</v>
      </c>
    </row>
    <row r="345">
      <c r="A345" s="6">
        <v>117.0</v>
      </c>
      <c r="B345" s="76" t="str">
        <f>IFERROR(VLOOKUP($A345,EVENTO!$A$2:$C$4999,2,FALSE),"")</f>
        <v>ADITIVO DE PRAZO</v>
      </c>
      <c r="C345" s="76" t="str">
        <f>IFERROR(VLOOKUP($A345,EVENTO!$A$2:$C$4999,3,FALSE),"")</f>
        <v>PREFEITURA MUNICIPAL DE ARACATI - CASA CIVIL</v>
      </c>
      <c r="D345" s="78" t="s">
        <v>1544</v>
      </c>
      <c r="E345" s="6" t="s">
        <v>1545</v>
      </c>
      <c r="F345" s="78">
        <v>5.0</v>
      </c>
      <c r="G345" s="79">
        <v>534.71</v>
      </c>
    </row>
    <row r="346">
      <c r="A346" s="6">
        <v>117.0</v>
      </c>
      <c r="B346" s="76" t="str">
        <f>IFERROR(VLOOKUP($A346,EVENTO!$A$2:$C$4999,2,FALSE),"")</f>
        <v>ADITIVO DE PRAZO</v>
      </c>
      <c r="C346" s="76" t="str">
        <f>IFERROR(VLOOKUP($A346,EVENTO!$A$2:$C$4999,3,FALSE),"")</f>
        <v>PREFEITURA MUNICIPAL DE ARACATI - CASA CIVIL</v>
      </c>
      <c r="D346" s="78" t="s">
        <v>1458</v>
      </c>
      <c r="E346" s="6" t="s">
        <v>1535</v>
      </c>
      <c r="F346" s="78">
        <v>3.0</v>
      </c>
      <c r="G346" s="79">
        <v>344.75</v>
      </c>
    </row>
    <row r="347">
      <c r="A347" s="6">
        <v>117.0</v>
      </c>
      <c r="B347" s="76" t="str">
        <f>IFERROR(VLOOKUP($A347,EVENTO!$A$2:$C$4999,2,FALSE),"")</f>
        <v>ADITIVO DE PRAZO</v>
      </c>
      <c r="C347" s="76" t="str">
        <f>IFERROR(VLOOKUP($A347,EVENTO!$A$2:$C$4999,3,FALSE),"")</f>
        <v>PREFEITURA MUNICIPAL DE ARACATI - CASA CIVIL</v>
      </c>
      <c r="D347" s="78" t="s">
        <v>1546</v>
      </c>
      <c r="E347" s="6" t="s">
        <v>1547</v>
      </c>
      <c r="F347" s="78">
        <v>3.0</v>
      </c>
      <c r="G347" s="79">
        <v>270.39</v>
      </c>
    </row>
    <row r="348">
      <c r="A348" s="6">
        <v>117.0</v>
      </c>
      <c r="B348" s="76" t="str">
        <f>IFERROR(VLOOKUP($A348,EVENTO!$A$2:$C$4999,2,FALSE),"")</f>
        <v>ADITIVO DE PRAZO</v>
      </c>
      <c r="C348" s="76" t="str">
        <f>IFERROR(VLOOKUP($A348,EVENTO!$A$2:$C$4999,3,FALSE),"")</f>
        <v>PREFEITURA MUNICIPAL DE ARACATI - CASA CIVIL</v>
      </c>
      <c r="D348" s="78" t="s">
        <v>1456</v>
      </c>
      <c r="E348" s="6" t="s">
        <v>1548</v>
      </c>
      <c r="F348" s="78">
        <v>3.0</v>
      </c>
      <c r="G348" s="79">
        <v>387.36</v>
      </c>
    </row>
    <row r="349">
      <c r="A349" s="6">
        <v>117.0</v>
      </c>
      <c r="B349" s="76" t="str">
        <f>IFERROR(VLOOKUP($A349,EVENTO!$A$2:$C$4999,2,FALSE),"")</f>
        <v>ADITIVO DE PRAZO</v>
      </c>
      <c r="C349" s="76" t="str">
        <f>IFERROR(VLOOKUP($A349,EVENTO!$A$2:$C$4999,3,FALSE),"")</f>
        <v>PREFEITURA MUNICIPAL DE ARACATI - CASA CIVIL</v>
      </c>
      <c r="D349" s="78" t="s">
        <v>1549</v>
      </c>
      <c r="E349" s="6" t="s">
        <v>1550</v>
      </c>
      <c r="F349" s="78">
        <v>8.0</v>
      </c>
      <c r="G349" s="79">
        <v>221.78</v>
      </c>
    </row>
    <row r="350">
      <c r="A350" s="6">
        <v>117.0</v>
      </c>
      <c r="B350" s="76" t="str">
        <f>IFERROR(VLOOKUP($A350,EVENTO!$A$2:$C$4999,2,FALSE),"")</f>
        <v>ADITIVO DE PRAZO</v>
      </c>
      <c r="C350" s="76" t="str">
        <f>IFERROR(VLOOKUP($A350,EVENTO!$A$2:$C$4999,3,FALSE),"")</f>
        <v>PREFEITURA MUNICIPAL DE ARACATI - CASA CIVIL</v>
      </c>
      <c r="D350" s="78" t="s">
        <v>1551</v>
      </c>
      <c r="E350" s="6" t="s">
        <v>1552</v>
      </c>
      <c r="F350" s="78">
        <v>8.0</v>
      </c>
      <c r="G350" s="79">
        <v>173.93</v>
      </c>
    </row>
    <row r="351">
      <c r="A351" s="6">
        <v>117.0</v>
      </c>
      <c r="B351" s="76" t="str">
        <f>IFERROR(VLOOKUP($A351,EVENTO!$A$2:$C$4999,2,FALSE),"")</f>
        <v>ADITIVO DE PRAZO</v>
      </c>
      <c r="C351" s="76" t="str">
        <f>IFERROR(VLOOKUP($A351,EVENTO!$A$2:$C$4999,3,FALSE),"")</f>
        <v>PREFEITURA MUNICIPAL DE ARACATI - CASA CIVIL</v>
      </c>
      <c r="D351" s="78" t="s">
        <v>1553</v>
      </c>
      <c r="F351" s="78">
        <v>2.0</v>
      </c>
      <c r="G351" s="79">
        <v>286.34</v>
      </c>
    </row>
    <row r="352">
      <c r="A352" s="6">
        <v>117.0</v>
      </c>
      <c r="B352" s="76" t="str">
        <f>IFERROR(VLOOKUP($A352,EVENTO!$A$2:$C$4999,2,FALSE),"")</f>
        <v>ADITIVO DE PRAZO</v>
      </c>
      <c r="C352" s="76" t="str">
        <f>IFERROR(VLOOKUP($A352,EVENTO!$A$2:$C$4999,3,FALSE),"")</f>
        <v>PREFEITURA MUNICIPAL DE ARACATI - CASA CIVIL</v>
      </c>
      <c r="D352" s="78" t="s">
        <v>1487</v>
      </c>
      <c r="F352" s="78">
        <v>2.0</v>
      </c>
      <c r="G352" s="79">
        <v>234.7</v>
      </c>
    </row>
    <row r="353">
      <c r="A353" s="6">
        <v>117.0</v>
      </c>
      <c r="B353" s="76" t="str">
        <f>IFERROR(VLOOKUP($A353,EVENTO!$A$2:$C$4999,2,FALSE),"")</f>
        <v>ADITIVO DE PRAZO</v>
      </c>
      <c r="C353" s="76" t="str">
        <f>IFERROR(VLOOKUP($A353,EVENTO!$A$2:$C$4999,3,FALSE),"")</f>
        <v>PREFEITURA MUNICIPAL DE ARACATI - CASA CIVIL</v>
      </c>
      <c r="D353" s="78" t="s">
        <v>1554</v>
      </c>
      <c r="F353" s="78">
        <v>2.0</v>
      </c>
      <c r="G353" s="83" t="s">
        <v>1555</v>
      </c>
    </row>
    <row r="354">
      <c r="A354" s="6">
        <v>117.0</v>
      </c>
      <c r="B354" s="76" t="str">
        <f>IFERROR(VLOOKUP($A354,EVENTO!$A$2:$C$4999,2,FALSE),"")</f>
        <v>ADITIVO DE PRAZO</v>
      </c>
      <c r="C354" s="76" t="str">
        <f>IFERROR(VLOOKUP($A354,EVENTO!$A$2:$C$4999,3,FALSE),"")</f>
        <v>PREFEITURA MUNICIPAL DE ARACATI - CASA CIVIL</v>
      </c>
      <c r="D354" s="85" t="s">
        <v>1556</v>
      </c>
      <c r="E354" s="86"/>
      <c r="F354" s="78">
        <v>3.0</v>
      </c>
      <c r="G354" s="79">
        <v>148.11</v>
      </c>
    </row>
    <row r="355">
      <c r="A355" s="6">
        <v>117.0</v>
      </c>
      <c r="B355" s="76" t="str">
        <f>IFERROR(VLOOKUP($A355,EVENTO!$A$2:$C$4999,2,FALSE),"")</f>
        <v>ADITIVO DE PRAZO</v>
      </c>
      <c r="C355" s="76" t="str">
        <f>IFERROR(VLOOKUP($A355,EVENTO!$A$2:$C$4999,3,FALSE),"")</f>
        <v>PREFEITURA MUNICIPAL DE ARACATI - CASA CIVIL</v>
      </c>
      <c r="D355" s="78" t="s">
        <v>1491</v>
      </c>
      <c r="F355" s="78">
        <v>1.0</v>
      </c>
      <c r="G355" s="79">
        <v>193.47</v>
      </c>
    </row>
    <row r="356">
      <c r="A356" s="6">
        <v>117.0</v>
      </c>
      <c r="B356" s="76" t="str">
        <f>IFERROR(VLOOKUP($A356,EVENTO!$A$2:$C$4999,2,FALSE),"")</f>
        <v>ADITIVO DE PRAZO</v>
      </c>
      <c r="C356" s="76" t="str">
        <f>IFERROR(VLOOKUP($A356,EVENTO!$A$2:$C$4999,3,FALSE),"")</f>
        <v>PREFEITURA MUNICIPAL DE ARACATI - CASA CIVIL</v>
      </c>
      <c r="D356" s="78" t="s">
        <v>1557</v>
      </c>
      <c r="F356" s="78">
        <v>3.0</v>
      </c>
      <c r="G356" s="79">
        <v>91.18</v>
      </c>
    </row>
    <row r="357">
      <c r="A357" s="6">
        <v>117.0</v>
      </c>
      <c r="B357" s="76" t="str">
        <f>IFERROR(VLOOKUP($A357,EVENTO!$A$2:$C$4999,2,FALSE),"")</f>
        <v>ADITIVO DE PRAZO</v>
      </c>
      <c r="C357" s="76" t="str">
        <f>IFERROR(VLOOKUP($A357,EVENTO!$A$2:$C$4999,3,FALSE),"")</f>
        <v>PREFEITURA MUNICIPAL DE ARACATI - CASA CIVIL</v>
      </c>
      <c r="D357" s="78" t="s">
        <v>1504</v>
      </c>
      <c r="F357" s="78">
        <v>3.0</v>
      </c>
      <c r="G357" s="79">
        <v>41.12</v>
      </c>
    </row>
    <row r="358">
      <c r="A358" s="6">
        <v>117.0</v>
      </c>
      <c r="B358" s="76" t="str">
        <f>IFERROR(VLOOKUP($A358,EVENTO!$A$2:$C$4999,2,FALSE),"")</f>
        <v>ADITIVO DE PRAZO</v>
      </c>
      <c r="C358" s="76" t="str">
        <f>IFERROR(VLOOKUP($A358,EVENTO!$A$2:$C$4999,3,FALSE),"")</f>
        <v>PREFEITURA MUNICIPAL DE ARACATI - CASA CIVIL</v>
      </c>
      <c r="D358" s="78" t="s">
        <v>1499</v>
      </c>
      <c r="F358" s="78">
        <v>1.0</v>
      </c>
      <c r="G358" s="79">
        <v>264.11</v>
      </c>
    </row>
    <row r="359">
      <c r="A359" s="6">
        <v>117.0</v>
      </c>
      <c r="B359" s="76" t="str">
        <f>IFERROR(VLOOKUP($A359,EVENTO!$A$2:$C$4999,2,FALSE),"")</f>
        <v>ADITIVO DE PRAZO</v>
      </c>
      <c r="C359" s="76" t="str">
        <f>IFERROR(VLOOKUP($A359,EVENTO!$A$2:$C$4999,3,FALSE),"")</f>
        <v>PREFEITURA MUNICIPAL DE ARACATI - CASA CIVIL</v>
      </c>
      <c r="D359" s="78" t="s">
        <v>1558</v>
      </c>
      <c r="F359" s="78">
        <v>3.0</v>
      </c>
      <c r="G359" s="79">
        <v>169.29</v>
      </c>
    </row>
    <row r="360">
      <c r="A360" s="6">
        <v>117.0</v>
      </c>
      <c r="B360" s="76" t="str">
        <f>IFERROR(VLOOKUP($A360,EVENTO!$A$2:$C$4999,2,FALSE),"")</f>
        <v>ADITIVO DE PRAZO</v>
      </c>
      <c r="C360" s="76" t="str">
        <f>IFERROR(VLOOKUP($A360,EVENTO!$A$2:$C$4999,3,FALSE),"")</f>
        <v>PREFEITURA MUNICIPAL DE ARACATI - CASA CIVIL</v>
      </c>
      <c r="D360" s="78" t="s">
        <v>1559</v>
      </c>
      <c r="F360" s="78">
        <v>3.0</v>
      </c>
      <c r="G360" s="79">
        <v>105.09</v>
      </c>
    </row>
    <row r="361">
      <c r="A361" s="6">
        <v>117.0</v>
      </c>
      <c r="B361" s="76" t="str">
        <f>IFERROR(VLOOKUP($A361,EVENTO!$A$2:$C$4999,2,FALSE),"")</f>
        <v>ADITIVO DE PRAZO</v>
      </c>
      <c r="C361" s="76" t="str">
        <f>IFERROR(VLOOKUP($A361,EVENTO!$A$2:$C$4999,3,FALSE),"")</f>
        <v>PREFEITURA MUNICIPAL DE ARACATI - CASA CIVIL</v>
      </c>
      <c r="D361" s="78" t="s">
        <v>1560</v>
      </c>
      <c r="F361" s="78">
        <v>2.0</v>
      </c>
      <c r="G361" s="79">
        <v>50.3</v>
      </c>
    </row>
    <row r="362">
      <c r="A362" s="6">
        <v>117.0</v>
      </c>
      <c r="B362" s="76" t="str">
        <f>IFERROR(VLOOKUP($A362,EVENTO!$A$2:$C$4999,2,FALSE),"")</f>
        <v>ADITIVO DE PRAZO</v>
      </c>
      <c r="C362" s="76" t="str">
        <f>IFERROR(VLOOKUP($A362,EVENTO!$A$2:$C$4999,3,FALSE),"")</f>
        <v>PREFEITURA MUNICIPAL DE ARACATI - CASA CIVIL</v>
      </c>
      <c r="D362" s="78" t="s">
        <v>1561</v>
      </c>
      <c r="F362" s="78">
        <v>1.0</v>
      </c>
      <c r="G362" s="79">
        <v>13.42</v>
      </c>
    </row>
    <row r="363">
      <c r="A363" s="6">
        <v>116.0</v>
      </c>
      <c r="B363" s="76" t="str">
        <f>IFERROR(VLOOKUP($A363,EVENTO!$A$2:$C$4999,2,FALSE),"")</f>
        <v>CADASTRO</v>
      </c>
      <c r="C363" s="76" t="str">
        <f>IFERROR(VLOOKUP($A363,EVENTO!$A$2:$C$4999,3,FALSE),"")</f>
        <v>PREF. MUNICIPAL DE CANINDE - AGRICULTURA</v>
      </c>
      <c r="D363" s="78" t="s">
        <v>1562</v>
      </c>
      <c r="E363" s="6" t="s">
        <v>1563</v>
      </c>
      <c r="F363" s="78">
        <v>1.0</v>
      </c>
      <c r="G363" s="79">
        <v>502.37</v>
      </c>
    </row>
    <row r="364">
      <c r="A364" s="6">
        <v>116.0</v>
      </c>
      <c r="B364" s="76" t="str">
        <f>IFERROR(VLOOKUP($A364,EVENTO!$A$2:$C$4999,2,FALSE),"")</f>
        <v>CADASTRO</v>
      </c>
      <c r="C364" s="76" t="str">
        <f>IFERROR(VLOOKUP($A364,EVENTO!$A$2:$C$4999,3,FALSE),"")</f>
        <v>PREF. MUNICIPAL DE CANINDE - AGRICULTURA</v>
      </c>
      <c r="D364" s="78" t="s">
        <v>1564</v>
      </c>
      <c r="E364" s="6" t="s">
        <v>1565</v>
      </c>
      <c r="F364" s="78">
        <v>1.0</v>
      </c>
      <c r="G364" s="79">
        <v>200.0</v>
      </c>
    </row>
    <row r="365">
      <c r="A365" s="6">
        <v>120.0</v>
      </c>
      <c r="B365" s="76" t="str">
        <f>IFERROR(VLOOKUP($A365,EVENTO!$A$2:$C$4999,2,FALSE),"")</f>
        <v>CADASTRO</v>
      </c>
      <c r="C365" s="76" t="str">
        <f>IFERROR(VLOOKUP($A365,EVENTO!$A$2:$C$4999,3,FALSE),"")</f>
        <v>PREF. MUNICIPAL DE ARACATI - SEGURANÇA CIDADÃ - 017-2022</v>
      </c>
      <c r="D365" s="78" t="s">
        <v>1544</v>
      </c>
      <c r="E365" s="6" t="s">
        <v>1545</v>
      </c>
      <c r="F365" s="78">
        <v>1.0</v>
      </c>
      <c r="G365" s="79">
        <v>534.71</v>
      </c>
    </row>
    <row r="366">
      <c r="A366" s="6">
        <v>120.0</v>
      </c>
      <c r="B366" s="76" t="str">
        <f>IFERROR(VLOOKUP($A366,EVENTO!$A$2:$C$4999,2,FALSE),"")</f>
        <v>CADASTRO</v>
      </c>
      <c r="C366" s="76" t="str">
        <f>IFERROR(VLOOKUP($A366,EVENTO!$A$2:$C$4999,3,FALSE),"")</f>
        <v>PREF. MUNICIPAL DE ARACATI - SEGURANÇA CIDADÃ - 017-2022</v>
      </c>
      <c r="D366" s="78" t="s">
        <v>1458</v>
      </c>
      <c r="E366" s="6" t="s">
        <v>1535</v>
      </c>
      <c r="F366" s="78">
        <v>3.0</v>
      </c>
      <c r="G366" s="79">
        <v>344.75</v>
      </c>
    </row>
    <row r="367">
      <c r="A367" s="6">
        <v>120.0</v>
      </c>
      <c r="B367" s="76" t="str">
        <f>IFERROR(VLOOKUP($A367,EVENTO!$A$2:$C$4999,2,FALSE),"")</f>
        <v>CADASTRO</v>
      </c>
      <c r="C367" s="76" t="str">
        <f>IFERROR(VLOOKUP($A367,EVENTO!$A$2:$C$4999,3,FALSE),"")</f>
        <v>PREF. MUNICIPAL DE ARACATI - SEGURANÇA CIDADÃ - 017-2022</v>
      </c>
      <c r="D367" s="78" t="s">
        <v>1546</v>
      </c>
      <c r="E367" s="6" t="s">
        <v>1547</v>
      </c>
      <c r="F367" s="78">
        <v>3.0</v>
      </c>
      <c r="G367" s="79">
        <v>270.39</v>
      </c>
    </row>
    <row r="368">
      <c r="A368" s="6">
        <v>120.0</v>
      </c>
      <c r="B368" s="76" t="str">
        <f>IFERROR(VLOOKUP($A368,EVENTO!$A$2:$C$4999,2,FALSE),"")</f>
        <v>CADASTRO</v>
      </c>
      <c r="C368" s="76" t="str">
        <f>IFERROR(VLOOKUP($A368,EVENTO!$A$2:$C$4999,3,FALSE),"")</f>
        <v>PREF. MUNICIPAL DE ARACATI - SEGURANÇA CIDADÃ - 017-2022</v>
      </c>
      <c r="D368" s="78" t="s">
        <v>1456</v>
      </c>
      <c r="E368" s="6" t="s">
        <v>1548</v>
      </c>
      <c r="F368" s="78">
        <v>2.0</v>
      </c>
      <c r="G368" s="79">
        <v>387.36</v>
      </c>
    </row>
    <row r="369">
      <c r="A369" s="6">
        <v>120.0</v>
      </c>
      <c r="B369" s="76" t="str">
        <f>IFERROR(VLOOKUP($A369,EVENTO!$A$2:$C$4999,2,FALSE),"")</f>
        <v>CADASTRO</v>
      </c>
      <c r="C369" s="76" t="str">
        <f>IFERROR(VLOOKUP($A369,EVENTO!$A$2:$C$4999,3,FALSE),"")</f>
        <v>PREF. MUNICIPAL DE ARACATI - SEGURANÇA CIDADÃ - 017-2022</v>
      </c>
      <c r="D369" s="78" t="s">
        <v>1549</v>
      </c>
      <c r="E369" s="6" t="s">
        <v>1550</v>
      </c>
      <c r="F369" s="78">
        <v>6.0</v>
      </c>
      <c r="G369" s="79">
        <v>221.78</v>
      </c>
    </row>
    <row r="370">
      <c r="A370" s="6">
        <v>120.0</v>
      </c>
      <c r="B370" s="76" t="str">
        <f>IFERROR(VLOOKUP($A370,EVENTO!$A$2:$C$4999,2,FALSE),"")</f>
        <v>CADASTRO</v>
      </c>
      <c r="C370" s="76" t="str">
        <f>IFERROR(VLOOKUP($A370,EVENTO!$A$2:$C$4999,3,FALSE),"")</f>
        <v>PREF. MUNICIPAL DE ARACATI - SEGURANÇA CIDADÃ - 017-2022</v>
      </c>
      <c r="D370" s="78" t="s">
        <v>1551</v>
      </c>
      <c r="E370" s="6" t="s">
        <v>1552</v>
      </c>
      <c r="F370" s="78">
        <v>11.0</v>
      </c>
      <c r="G370" s="79">
        <v>173.93</v>
      </c>
    </row>
    <row r="371">
      <c r="A371" s="6">
        <v>120.0</v>
      </c>
      <c r="B371" s="76" t="str">
        <f>IFERROR(VLOOKUP($A371,EVENTO!$A$2:$C$4999,2,FALSE),"")</f>
        <v>CADASTRO</v>
      </c>
      <c r="C371" s="76" t="str">
        <f>IFERROR(VLOOKUP($A371,EVENTO!$A$2:$C$4999,3,FALSE),"")</f>
        <v>PREF. MUNICIPAL DE ARACATI - SEGURANÇA CIDADÃ - 017-2022</v>
      </c>
      <c r="D371" s="87" t="s">
        <v>1553</v>
      </c>
      <c r="F371" s="78">
        <v>4.0</v>
      </c>
      <c r="G371" s="79">
        <v>286.34</v>
      </c>
    </row>
    <row r="372">
      <c r="A372" s="6">
        <v>120.0</v>
      </c>
      <c r="B372" s="76" t="str">
        <f>IFERROR(VLOOKUP($A372,EVENTO!$A$2:$C$4999,2,FALSE),"")</f>
        <v>CADASTRO</v>
      </c>
      <c r="C372" s="76" t="str">
        <f>IFERROR(VLOOKUP($A372,EVENTO!$A$2:$C$4999,3,FALSE),"")</f>
        <v>PREF. MUNICIPAL DE ARACATI - SEGURANÇA CIDADÃ - 017-2022</v>
      </c>
      <c r="D372" s="87" t="s">
        <v>1487</v>
      </c>
      <c r="F372" s="78">
        <v>3.0</v>
      </c>
      <c r="G372" s="79">
        <v>234.7</v>
      </c>
    </row>
    <row r="373">
      <c r="A373" s="6">
        <v>120.0</v>
      </c>
      <c r="B373" s="76" t="str">
        <f>IFERROR(VLOOKUP($A373,EVENTO!$A$2:$C$4999,2,FALSE),"")</f>
        <v>CADASTRO</v>
      </c>
      <c r="C373" s="76" t="str">
        <f>IFERROR(VLOOKUP($A373,EVENTO!$A$2:$C$4999,3,FALSE),"")</f>
        <v>PREF. MUNICIPAL DE ARACATI - SEGURANÇA CIDADÃ - 017-2022</v>
      </c>
      <c r="D373" s="87" t="s">
        <v>1556</v>
      </c>
      <c r="F373" s="78">
        <v>3.0</v>
      </c>
      <c r="G373" s="79">
        <v>148.11</v>
      </c>
    </row>
    <row r="374">
      <c r="A374" s="6">
        <v>120.0</v>
      </c>
      <c r="B374" s="76" t="str">
        <f>IFERROR(VLOOKUP($A374,EVENTO!$A$2:$C$4999,2,FALSE),"")</f>
        <v>CADASTRO</v>
      </c>
      <c r="C374" s="76" t="str">
        <f>IFERROR(VLOOKUP($A374,EVENTO!$A$2:$C$4999,3,FALSE),"")</f>
        <v>PREF. MUNICIPAL DE ARACATI - SEGURANÇA CIDADÃ - 017-2022</v>
      </c>
      <c r="D374" s="78" t="s">
        <v>1560</v>
      </c>
      <c r="F374" s="78">
        <v>2.0</v>
      </c>
      <c r="G374" s="79">
        <v>50.3</v>
      </c>
    </row>
    <row r="375">
      <c r="A375" s="6">
        <v>120.0</v>
      </c>
      <c r="B375" s="76" t="str">
        <f>IFERROR(VLOOKUP($A375,EVENTO!$A$2:$C$4999,2,FALSE),"")</f>
        <v>CADASTRO</v>
      </c>
      <c r="C375" s="76" t="str">
        <f>IFERROR(VLOOKUP($A375,EVENTO!$A$2:$C$4999,3,FALSE),"")</f>
        <v>PREF. MUNICIPAL DE ARACATI - SEGURANÇA CIDADÃ - 017-2022</v>
      </c>
      <c r="D375" s="78" t="s">
        <v>1504</v>
      </c>
      <c r="F375" s="78">
        <v>2.0</v>
      </c>
      <c r="G375" s="79">
        <v>41.95</v>
      </c>
    </row>
    <row r="376">
      <c r="A376" s="6">
        <v>121.0</v>
      </c>
      <c r="B376" s="76" t="str">
        <f>IFERROR(VLOOKUP($A376,EVENTO!$A$2:$C$4999,2,FALSE),"")</f>
        <v>ADITIVO DE PRAZO</v>
      </c>
      <c r="C376" s="76" t="str">
        <f>IFERROR(VLOOKUP($A376,EVENTO!$A$2:$C$4999,3,FALSE),"")</f>
        <v>PREF. MUNICIPAL DE ARACATI - SEGURANÇA CIDADÃ - 017-2022</v>
      </c>
      <c r="D376" s="78" t="s">
        <v>1544</v>
      </c>
      <c r="E376" s="6" t="s">
        <v>1545</v>
      </c>
      <c r="F376" s="78">
        <v>1.0</v>
      </c>
      <c r="G376" s="79">
        <v>534.71</v>
      </c>
    </row>
    <row r="377">
      <c r="A377" s="6">
        <v>121.0</v>
      </c>
      <c r="B377" s="76" t="str">
        <f>IFERROR(VLOOKUP($A377,EVENTO!$A$2:$C$4999,2,FALSE),"")</f>
        <v>ADITIVO DE PRAZO</v>
      </c>
      <c r="C377" s="76" t="str">
        <f>IFERROR(VLOOKUP($A377,EVENTO!$A$2:$C$4999,3,FALSE),"")</f>
        <v>PREF. MUNICIPAL DE ARACATI - SEGURANÇA CIDADÃ - 017-2022</v>
      </c>
      <c r="D377" s="78" t="s">
        <v>1458</v>
      </c>
      <c r="E377" s="6" t="s">
        <v>1535</v>
      </c>
      <c r="F377" s="78">
        <v>3.0</v>
      </c>
      <c r="G377" s="79">
        <v>344.75</v>
      </c>
    </row>
    <row r="378">
      <c r="A378" s="6">
        <v>121.0</v>
      </c>
      <c r="B378" s="76" t="str">
        <f>IFERROR(VLOOKUP($A378,EVENTO!$A$2:$C$4999,2,FALSE),"")</f>
        <v>ADITIVO DE PRAZO</v>
      </c>
      <c r="C378" s="76" t="str">
        <f>IFERROR(VLOOKUP($A378,EVENTO!$A$2:$C$4999,3,FALSE),"")</f>
        <v>PREF. MUNICIPAL DE ARACATI - SEGURANÇA CIDADÃ - 017-2022</v>
      </c>
      <c r="D378" s="78" t="s">
        <v>1546</v>
      </c>
      <c r="E378" s="6" t="s">
        <v>1547</v>
      </c>
      <c r="F378" s="78">
        <v>3.0</v>
      </c>
      <c r="G378" s="79">
        <v>270.39</v>
      </c>
    </row>
    <row r="379">
      <c r="A379" s="6">
        <v>121.0</v>
      </c>
      <c r="B379" s="76" t="str">
        <f>IFERROR(VLOOKUP($A379,EVENTO!$A$2:$C$4999,2,FALSE),"")</f>
        <v>ADITIVO DE PRAZO</v>
      </c>
      <c r="C379" s="76" t="str">
        <f>IFERROR(VLOOKUP($A379,EVENTO!$A$2:$C$4999,3,FALSE),"")</f>
        <v>PREF. MUNICIPAL DE ARACATI - SEGURANÇA CIDADÃ - 017-2022</v>
      </c>
      <c r="D379" s="78" t="s">
        <v>1456</v>
      </c>
      <c r="E379" s="6" t="s">
        <v>1548</v>
      </c>
      <c r="F379" s="78">
        <v>2.0</v>
      </c>
      <c r="G379" s="79">
        <v>387.36</v>
      </c>
    </row>
    <row r="380">
      <c r="A380" s="6">
        <v>121.0</v>
      </c>
      <c r="B380" s="76" t="str">
        <f>IFERROR(VLOOKUP($A380,EVENTO!$A$2:$C$4999,2,FALSE),"")</f>
        <v>ADITIVO DE PRAZO</v>
      </c>
      <c r="C380" s="76" t="str">
        <f>IFERROR(VLOOKUP($A380,EVENTO!$A$2:$C$4999,3,FALSE),"")</f>
        <v>PREF. MUNICIPAL DE ARACATI - SEGURANÇA CIDADÃ - 017-2022</v>
      </c>
      <c r="D380" s="78" t="s">
        <v>1549</v>
      </c>
      <c r="E380" s="6" t="s">
        <v>1550</v>
      </c>
      <c r="F380" s="78">
        <v>6.0</v>
      </c>
      <c r="G380" s="79">
        <v>221.78</v>
      </c>
    </row>
    <row r="381">
      <c r="A381" s="6">
        <v>121.0</v>
      </c>
      <c r="B381" s="76" t="str">
        <f>IFERROR(VLOOKUP($A381,EVENTO!$A$2:$C$4999,2,FALSE),"")</f>
        <v>ADITIVO DE PRAZO</v>
      </c>
      <c r="C381" s="76" t="str">
        <f>IFERROR(VLOOKUP($A381,EVENTO!$A$2:$C$4999,3,FALSE),"")</f>
        <v>PREF. MUNICIPAL DE ARACATI - SEGURANÇA CIDADÃ - 017-2022</v>
      </c>
      <c r="D381" s="78" t="s">
        <v>1551</v>
      </c>
      <c r="E381" s="6" t="s">
        <v>1552</v>
      </c>
      <c r="F381" s="78">
        <v>11.0</v>
      </c>
      <c r="G381" s="79">
        <v>173.93</v>
      </c>
    </row>
    <row r="382">
      <c r="A382" s="6">
        <v>121.0</v>
      </c>
      <c r="B382" s="76" t="str">
        <f>IFERROR(VLOOKUP($A382,EVENTO!$A$2:$C$4999,2,FALSE),"")</f>
        <v>ADITIVO DE PRAZO</v>
      </c>
      <c r="C382" s="76" t="str">
        <f>IFERROR(VLOOKUP($A382,EVENTO!$A$2:$C$4999,3,FALSE),"")</f>
        <v>PREF. MUNICIPAL DE ARACATI - SEGURANÇA CIDADÃ - 017-2022</v>
      </c>
      <c r="D382" s="87" t="s">
        <v>1553</v>
      </c>
      <c r="F382" s="78">
        <v>4.0</v>
      </c>
      <c r="G382" s="79">
        <v>286.34</v>
      </c>
    </row>
    <row r="383">
      <c r="A383" s="6">
        <v>121.0</v>
      </c>
      <c r="B383" s="76" t="str">
        <f>IFERROR(VLOOKUP($A383,EVENTO!$A$2:$C$4999,2,FALSE),"")</f>
        <v>ADITIVO DE PRAZO</v>
      </c>
      <c r="C383" s="76" t="str">
        <f>IFERROR(VLOOKUP($A383,EVENTO!$A$2:$C$4999,3,FALSE),"")</f>
        <v>PREF. MUNICIPAL DE ARACATI - SEGURANÇA CIDADÃ - 017-2022</v>
      </c>
      <c r="D383" s="87" t="s">
        <v>1487</v>
      </c>
      <c r="F383" s="78">
        <v>3.0</v>
      </c>
      <c r="G383" s="79">
        <v>234.7</v>
      </c>
    </row>
    <row r="384">
      <c r="A384" s="6">
        <v>121.0</v>
      </c>
      <c r="B384" s="76" t="str">
        <f>IFERROR(VLOOKUP($A384,EVENTO!$A$2:$C$4999,2,FALSE),"")</f>
        <v>ADITIVO DE PRAZO</v>
      </c>
      <c r="C384" s="76" t="str">
        <f>IFERROR(VLOOKUP($A384,EVENTO!$A$2:$C$4999,3,FALSE),"")</f>
        <v>PREF. MUNICIPAL DE ARACATI - SEGURANÇA CIDADÃ - 017-2022</v>
      </c>
      <c r="D384" s="87" t="s">
        <v>1556</v>
      </c>
      <c r="F384" s="78">
        <v>3.0</v>
      </c>
      <c r="G384" s="79">
        <v>148.11</v>
      </c>
    </row>
    <row r="385">
      <c r="A385" s="6">
        <v>121.0</v>
      </c>
      <c r="B385" s="76" t="str">
        <f>IFERROR(VLOOKUP($A385,EVENTO!$A$2:$C$4999,2,FALSE),"")</f>
        <v>ADITIVO DE PRAZO</v>
      </c>
      <c r="C385" s="76" t="str">
        <f>IFERROR(VLOOKUP($A385,EVENTO!$A$2:$C$4999,3,FALSE),"")</f>
        <v>PREF. MUNICIPAL DE ARACATI - SEGURANÇA CIDADÃ - 017-2022</v>
      </c>
      <c r="D385" s="78" t="s">
        <v>1560</v>
      </c>
      <c r="F385" s="78">
        <v>2.0</v>
      </c>
      <c r="G385" s="79">
        <v>50.3</v>
      </c>
    </row>
    <row r="386">
      <c r="A386" s="6">
        <v>121.0</v>
      </c>
      <c r="B386" s="76" t="str">
        <f>IFERROR(VLOOKUP($A386,EVENTO!$A$2:$C$4999,2,FALSE),"")</f>
        <v>ADITIVO DE PRAZO</v>
      </c>
      <c r="C386" s="76" t="str">
        <f>IFERROR(VLOOKUP($A386,EVENTO!$A$2:$C$4999,3,FALSE),"")</f>
        <v>PREF. MUNICIPAL DE ARACATI - SEGURANÇA CIDADÃ - 017-2022</v>
      </c>
      <c r="D386" s="78" t="s">
        <v>1504</v>
      </c>
      <c r="F386" s="78">
        <v>2.0</v>
      </c>
      <c r="G386" s="79">
        <v>41.95</v>
      </c>
    </row>
    <row r="387">
      <c r="A387" s="6">
        <v>122.0</v>
      </c>
      <c r="B387" s="76" t="str">
        <f>IFERROR(VLOOKUP($A387,EVENTO!$A$2:$C$4999,2,FALSE),"")</f>
        <v>ADITIVO DE PRAZO</v>
      </c>
      <c r="C387" s="76" t="str">
        <f>IFERROR(VLOOKUP($A387,EVENTO!$A$2:$C$4999,3,FALSE),"")</f>
        <v>PREF. MUNICIPAL DE ARACATI - SEGURANÇA CIDADÃ - 017-2022</v>
      </c>
      <c r="D387" s="78" t="s">
        <v>1544</v>
      </c>
      <c r="E387" s="6" t="s">
        <v>1545</v>
      </c>
      <c r="F387" s="78">
        <v>1.0</v>
      </c>
      <c r="G387" s="79">
        <v>534.71</v>
      </c>
    </row>
    <row r="388">
      <c r="A388" s="6">
        <v>122.0</v>
      </c>
      <c r="B388" s="76" t="str">
        <f>IFERROR(VLOOKUP($A388,EVENTO!$A$2:$C$4999,2,FALSE),"")</f>
        <v>ADITIVO DE PRAZO</v>
      </c>
      <c r="C388" s="76" t="str">
        <f>IFERROR(VLOOKUP($A388,EVENTO!$A$2:$C$4999,3,FALSE),"")</f>
        <v>PREF. MUNICIPAL DE ARACATI - SEGURANÇA CIDADÃ - 017-2022</v>
      </c>
      <c r="D388" s="78" t="s">
        <v>1458</v>
      </c>
      <c r="E388" s="6" t="s">
        <v>1535</v>
      </c>
      <c r="F388" s="78">
        <v>3.0</v>
      </c>
      <c r="G388" s="79">
        <v>344.75</v>
      </c>
    </row>
    <row r="389">
      <c r="A389" s="6">
        <v>122.0</v>
      </c>
      <c r="B389" s="76" t="str">
        <f>IFERROR(VLOOKUP($A389,EVENTO!$A$2:$C$4999,2,FALSE),"")</f>
        <v>ADITIVO DE PRAZO</v>
      </c>
      <c r="C389" s="76" t="str">
        <f>IFERROR(VLOOKUP($A389,EVENTO!$A$2:$C$4999,3,FALSE),"")</f>
        <v>PREF. MUNICIPAL DE ARACATI - SEGURANÇA CIDADÃ - 017-2022</v>
      </c>
      <c r="D389" s="78" t="s">
        <v>1546</v>
      </c>
      <c r="E389" s="6" t="s">
        <v>1547</v>
      </c>
      <c r="F389" s="78">
        <v>3.0</v>
      </c>
      <c r="G389" s="79">
        <v>270.39</v>
      </c>
    </row>
    <row r="390">
      <c r="A390" s="6">
        <v>122.0</v>
      </c>
      <c r="B390" s="76" t="str">
        <f>IFERROR(VLOOKUP($A390,EVENTO!$A$2:$C$4999,2,FALSE),"")</f>
        <v>ADITIVO DE PRAZO</v>
      </c>
      <c r="C390" s="76" t="str">
        <f>IFERROR(VLOOKUP($A390,EVENTO!$A$2:$C$4999,3,FALSE),"")</f>
        <v>PREF. MUNICIPAL DE ARACATI - SEGURANÇA CIDADÃ - 017-2022</v>
      </c>
      <c r="D390" s="78" t="s">
        <v>1456</v>
      </c>
      <c r="E390" s="6" t="s">
        <v>1548</v>
      </c>
      <c r="F390" s="78">
        <v>2.0</v>
      </c>
      <c r="G390" s="79">
        <v>387.36</v>
      </c>
    </row>
    <row r="391">
      <c r="A391" s="6">
        <v>122.0</v>
      </c>
      <c r="B391" s="76" t="str">
        <f>IFERROR(VLOOKUP($A391,EVENTO!$A$2:$C$4999,2,FALSE),"")</f>
        <v>ADITIVO DE PRAZO</v>
      </c>
      <c r="C391" s="76" t="str">
        <f>IFERROR(VLOOKUP($A391,EVENTO!$A$2:$C$4999,3,FALSE),"")</f>
        <v>PREF. MUNICIPAL DE ARACATI - SEGURANÇA CIDADÃ - 017-2022</v>
      </c>
      <c r="D391" s="78" t="s">
        <v>1549</v>
      </c>
      <c r="E391" s="6" t="s">
        <v>1550</v>
      </c>
      <c r="F391" s="78">
        <v>5.0</v>
      </c>
      <c r="G391" s="79">
        <v>221.78</v>
      </c>
    </row>
    <row r="392">
      <c r="A392" s="6">
        <v>122.0</v>
      </c>
      <c r="B392" s="76" t="str">
        <f>IFERROR(VLOOKUP($A392,EVENTO!$A$2:$C$4999,2,FALSE),"")</f>
        <v>ADITIVO DE PRAZO</v>
      </c>
      <c r="C392" s="76" t="str">
        <f>IFERROR(VLOOKUP($A392,EVENTO!$A$2:$C$4999,3,FALSE),"")</f>
        <v>PREF. MUNICIPAL DE ARACATI - SEGURANÇA CIDADÃ - 017-2022</v>
      </c>
      <c r="D392" s="78" t="s">
        <v>1551</v>
      </c>
      <c r="E392" s="6" t="s">
        <v>1552</v>
      </c>
      <c r="F392" s="78">
        <v>9.0</v>
      </c>
      <c r="G392" s="79">
        <v>173.93</v>
      </c>
    </row>
    <row r="393">
      <c r="A393" s="6">
        <v>122.0</v>
      </c>
      <c r="B393" s="76" t="str">
        <f>IFERROR(VLOOKUP($A393,EVENTO!$A$2:$C$4999,2,FALSE),"")</f>
        <v>ADITIVO DE PRAZO</v>
      </c>
      <c r="C393" s="76" t="str">
        <f>IFERROR(VLOOKUP($A393,EVENTO!$A$2:$C$4999,3,FALSE),"")</f>
        <v>PREF. MUNICIPAL DE ARACATI - SEGURANÇA CIDADÃ - 017-2022</v>
      </c>
      <c r="D393" s="87" t="s">
        <v>1553</v>
      </c>
      <c r="F393" s="78">
        <v>4.0</v>
      </c>
      <c r="G393" s="79">
        <v>286.34</v>
      </c>
    </row>
    <row r="394">
      <c r="A394" s="6">
        <v>122.0</v>
      </c>
      <c r="B394" s="76" t="str">
        <f>IFERROR(VLOOKUP($A394,EVENTO!$A$2:$C$4999,2,FALSE),"")</f>
        <v>ADITIVO DE PRAZO</v>
      </c>
      <c r="C394" s="76" t="str">
        <f>IFERROR(VLOOKUP($A394,EVENTO!$A$2:$C$4999,3,FALSE),"")</f>
        <v>PREF. MUNICIPAL DE ARACATI - SEGURANÇA CIDADÃ - 017-2022</v>
      </c>
      <c r="D394" s="87" t="s">
        <v>1487</v>
      </c>
      <c r="F394" s="78">
        <v>3.0</v>
      </c>
      <c r="G394" s="79">
        <v>234.7</v>
      </c>
    </row>
    <row r="395">
      <c r="A395" s="6">
        <v>122.0</v>
      </c>
      <c r="B395" s="76" t="str">
        <f>IFERROR(VLOOKUP($A395,EVENTO!$A$2:$C$4999,2,FALSE),"")</f>
        <v>ADITIVO DE PRAZO</v>
      </c>
      <c r="C395" s="76" t="str">
        <f>IFERROR(VLOOKUP($A395,EVENTO!$A$2:$C$4999,3,FALSE),"")</f>
        <v>PREF. MUNICIPAL DE ARACATI - SEGURANÇA CIDADÃ - 017-2022</v>
      </c>
      <c r="D395" s="87" t="s">
        <v>1556</v>
      </c>
      <c r="F395" s="78">
        <v>3.0</v>
      </c>
      <c r="G395" s="79">
        <v>148.11</v>
      </c>
    </row>
    <row r="396">
      <c r="A396" s="6">
        <v>122.0</v>
      </c>
      <c r="B396" s="76" t="str">
        <f>IFERROR(VLOOKUP($A396,EVENTO!$A$2:$C$4999,2,FALSE),"")</f>
        <v>ADITIVO DE PRAZO</v>
      </c>
      <c r="C396" s="76" t="str">
        <f>IFERROR(VLOOKUP($A396,EVENTO!$A$2:$C$4999,3,FALSE),"")</f>
        <v>PREF. MUNICIPAL DE ARACATI - SEGURANÇA CIDADÃ - 017-2022</v>
      </c>
      <c r="D396" s="78" t="s">
        <v>1560</v>
      </c>
      <c r="F396" s="78">
        <v>2.0</v>
      </c>
      <c r="G396" s="79">
        <v>50.3</v>
      </c>
    </row>
    <row r="397">
      <c r="A397" s="6">
        <v>122.0</v>
      </c>
      <c r="B397" s="76" t="str">
        <f>IFERROR(VLOOKUP($A397,EVENTO!$A$2:$C$4999,2,FALSE),"")</f>
        <v>ADITIVO DE PRAZO</v>
      </c>
      <c r="C397" s="76" t="str">
        <f>IFERROR(VLOOKUP($A397,EVENTO!$A$2:$C$4999,3,FALSE),"")</f>
        <v>PREF. MUNICIPAL DE ARACATI - SEGURANÇA CIDADÃ - 017-2022</v>
      </c>
      <c r="D397" s="78" t="s">
        <v>1504</v>
      </c>
      <c r="F397" s="78">
        <v>2.0</v>
      </c>
      <c r="G397" s="79">
        <v>41.95</v>
      </c>
    </row>
    <row r="398">
      <c r="A398" s="6">
        <v>123.0</v>
      </c>
      <c r="B398" s="76" t="str">
        <f>IFERROR(VLOOKUP($A398,EVENTO!$A$2:$C$4999,2,FALSE),"")</f>
        <v>ADITIVO DE PRAZO</v>
      </c>
      <c r="C398" s="76" t="str">
        <f>IFERROR(VLOOKUP($A398,EVENTO!$A$2:$C$4999,3,FALSE),"")</f>
        <v>PREF. MUNICIPAL DE ARACATI - SEGURANÇA CIDADÃ - 017-2022</v>
      </c>
      <c r="D398" s="78" t="s">
        <v>1544</v>
      </c>
      <c r="E398" s="6" t="s">
        <v>1545</v>
      </c>
      <c r="F398" s="78">
        <v>1.0</v>
      </c>
      <c r="G398" s="79">
        <v>534.71</v>
      </c>
    </row>
    <row r="399">
      <c r="A399" s="6">
        <v>123.0</v>
      </c>
      <c r="B399" s="76" t="str">
        <f>IFERROR(VLOOKUP($A399,EVENTO!$A$2:$C$4999,2,FALSE),"")</f>
        <v>ADITIVO DE PRAZO</v>
      </c>
      <c r="C399" s="76" t="str">
        <f>IFERROR(VLOOKUP($A399,EVENTO!$A$2:$C$4999,3,FALSE),"")</f>
        <v>PREF. MUNICIPAL DE ARACATI - SEGURANÇA CIDADÃ - 017-2022</v>
      </c>
      <c r="D399" s="78" t="s">
        <v>1458</v>
      </c>
      <c r="E399" s="6" t="s">
        <v>1535</v>
      </c>
      <c r="F399" s="78">
        <v>3.0</v>
      </c>
      <c r="G399" s="79">
        <v>344.75</v>
      </c>
    </row>
    <row r="400">
      <c r="A400" s="6">
        <v>123.0</v>
      </c>
      <c r="B400" s="76" t="str">
        <f>IFERROR(VLOOKUP($A400,EVENTO!$A$2:$C$4999,2,FALSE),"")</f>
        <v>ADITIVO DE PRAZO</v>
      </c>
      <c r="C400" s="76" t="str">
        <f>IFERROR(VLOOKUP($A400,EVENTO!$A$2:$C$4999,3,FALSE),"")</f>
        <v>PREF. MUNICIPAL DE ARACATI - SEGURANÇA CIDADÃ - 017-2022</v>
      </c>
      <c r="D400" s="78" t="s">
        <v>1546</v>
      </c>
      <c r="E400" s="6" t="s">
        <v>1547</v>
      </c>
      <c r="F400" s="78">
        <v>3.0</v>
      </c>
      <c r="G400" s="79">
        <v>270.39</v>
      </c>
    </row>
    <row r="401">
      <c r="A401" s="6">
        <v>123.0</v>
      </c>
      <c r="B401" s="76" t="str">
        <f>IFERROR(VLOOKUP($A401,EVENTO!$A$2:$C$4999,2,FALSE),"")</f>
        <v>ADITIVO DE PRAZO</v>
      </c>
      <c r="C401" s="76" t="str">
        <f>IFERROR(VLOOKUP($A401,EVENTO!$A$2:$C$4999,3,FALSE),"")</f>
        <v>PREF. MUNICIPAL DE ARACATI - SEGURANÇA CIDADÃ - 017-2022</v>
      </c>
      <c r="D401" s="78" t="s">
        <v>1456</v>
      </c>
      <c r="E401" s="6" t="s">
        <v>1548</v>
      </c>
      <c r="F401" s="78">
        <v>2.0</v>
      </c>
      <c r="G401" s="79">
        <v>387.36</v>
      </c>
    </row>
    <row r="402">
      <c r="A402" s="6">
        <v>123.0</v>
      </c>
      <c r="B402" s="76" t="str">
        <f>IFERROR(VLOOKUP($A402,EVENTO!$A$2:$C$4999,2,FALSE),"")</f>
        <v>ADITIVO DE PRAZO</v>
      </c>
      <c r="C402" s="76" t="str">
        <f>IFERROR(VLOOKUP($A402,EVENTO!$A$2:$C$4999,3,FALSE),"")</f>
        <v>PREF. MUNICIPAL DE ARACATI - SEGURANÇA CIDADÃ - 017-2022</v>
      </c>
      <c r="D402" s="78" t="s">
        <v>1549</v>
      </c>
      <c r="E402" s="6" t="s">
        <v>1550</v>
      </c>
      <c r="F402" s="78">
        <v>5.0</v>
      </c>
      <c r="G402" s="79">
        <v>221.78</v>
      </c>
    </row>
    <row r="403">
      <c r="A403" s="6">
        <v>123.0</v>
      </c>
      <c r="B403" s="76" t="str">
        <f>IFERROR(VLOOKUP($A403,EVENTO!$A$2:$C$4999,2,FALSE),"")</f>
        <v>ADITIVO DE PRAZO</v>
      </c>
      <c r="C403" s="76" t="str">
        <f>IFERROR(VLOOKUP($A403,EVENTO!$A$2:$C$4999,3,FALSE),"")</f>
        <v>PREF. MUNICIPAL DE ARACATI - SEGURANÇA CIDADÃ - 017-2022</v>
      </c>
      <c r="D403" s="78" t="s">
        <v>1551</v>
      </c>
      <c r="E403" s="6" t="s">
        <v>1552</v>
      </c>
      <c r="F403" s="78">
        <v>11.0</v>
      </c>
      <c r="G403" s="79">
        <v>173.93</v>
      </c>
    </row>
    <row r="404">
      <c r="A404" s="6">
        <v>123.0</v>
      </c>
      <c r="B404" s="76" t="str">
        <f>IFERROR(VLOOKUP($A404,EVENTO!$A$2:$C$4999,2,FALSE),"")</f>
        <v>ADITIVO DE PRAZO</v>
      </c>
      <c r="C404" s="76" t="str">
        <f>IFERROR(VLOOKUP($A404,EVENTO!$A$2:$C$4999,3,FALSE),"")</f>
        <v>PREF. MUNICIPAL DE ARACATI - SEGURANÇA CIDADÃ - 017-2022</v>
      </c>
      <c r="D404" s="87" t="s">
        <v>1553</v>
      </c>
      <c r="F404" s="78">
        <v>4.0</v>
      </c>
      <c r="G404" s="79">
        <v>286.34</v>
      </c>
    </row>
    <row r="405">
      <c r="A405" s="6">
        <v>123.0</v>
      </c>
      <c r="B405" s="76" t="str">
        <f>IFERROR(VLOOKUP($A405,EVENTO!$A$2:$C$4999,2,FALSE),"")</f>
        <v>ADITIVO DE PRAZO</v>
      </c>
      <c r="C405" s="76" t="str">
        <f>IFERROR(VLOOKUP($A405,EVENTO!$A$2:$C$4999,3,FALSE),"")</f>
        <v>PREF. MUNICIPAL DE ARACATI - SEGURANÇA CIDADÃ - 017-2022</v>
      </c>
      <c r="D405" s="87" t="s">
        <v>1487</v>
      </c>
      <c r="F405" s="78">
        <v>3.0</v>
      </c>
      <c r="G405" s="79">
        <v>234.7</v>
      </c>
    </row>
    <row r="406">
      <c r="A406" s="6">
        <v>123.0</v>
      </c>
      <c r="B406" s="76" t="str">
        <f>IFERROR(VLOOKUP($A406,EVENTO!$A$2:$C$4999,2,FALSE),"")</f>
        <v>ADITIVO DE PRAZO</v>
      </c>
      <c r="C406" s="76" t="str">
        <f>IFERROR(VLOOKUP($A406,EVENTO!$A$2:$C$4999,3,FALSE),"")</f>
        <v>PREF. MUNICIPAL DE ARACATI - SEGURANÇA CIDADÃ - 017-2022</v>
      </c>
      <c r="D406" s="87" t="s">
        <v>1556</v>
      </c>
      <c r="F406" s="78">
        <v>3.0</v>
      </c>
      <c r="G406" s="79">
        <v>148.11</v>
      </c>
    </row>
    <row r="407">
      <c r="A407" s="6">
        <v>123.0</v>
      </c>
      <c r="B407" s="76" t="str">
        <f>IFERROR(VLOOKUP($A407,EVENTO!$A$2:$C$4999,2,FALSE),"")</f>
        <v>ADITIVO DE PRAZO</v>
      </c>
      <c r="C407" s="76" t="str">
        <f>IFERROR(VLOOKUP($A407,EVENTO!$A$2:$C$4999,3,FALSE),"")</f>
        <v>PREF. MUNICIPAL DE ARACATI - SEGURANÇA CIDADÃ - 017-2022</v>
      </c>
      <c r="D407" s="78" t="s">
        <v>1560</v>
      </c>
      <c r="F407" s="78">
        <v>2.0</v>
      </c>
      <c r="G407" s="79">
        <v>50.3</v>
      </c>
    </row>
    <row r="408">
      <c r="A408" s="6">
        <v>123.0</v>
      </c>
      <c r="B408" s="76" t="str">
        <f>IFERROR(VLOOKUP($A408,EVENTO!$A$2:$C$4999,2,FALSE),"")</f>
        <v>ADITIVO DE PRAZO</v>
      </c>
      <c r="C408" s="76" t="str">
        <f>IFERROR(VLOOKUP($A408,EVENTO!$A$2:$C$4999,3,FALSE),"")</f>
        <v>PREF. MUNICIPAL DE ARACATI - SEGURANÇA CIDADÃ - 017-2022</v>
      </c>
      <c r="D408" s="78" t="s">
        <v>1504</v>
      </c>
      <c r="F408" s="78">
        <v>2.0</v>
      </c>
      <c r="G408" s="79">
        <v>41.95</v>
      </c>
    </row>
    <row r="409">
      <c r="A409" s="6">
        <v>124.0</v>
      </c>
      <c r="B409" s="76" t="str">
        <f>IFERROR(VLOOKUP($A409,EVENTO!$A$2:$C$4999,2,FALSE),"")</f>
        <v>ADITIVO DE PRAZO</v>
      </c>
      <c r="C409" s="76" t="str">
        <f>IFERROR(VLOOKUP($A409,EVENTO!$A$2:$C$4999,3,FALSE),"")</f>
        <v>PREF. MUNICIPAL DE ARACATI - SEGURANÇA CIDADÃ - 017-2022</v>
      </c>
      <c r="D409" s="78" t="s">
        <v>1544</v>
      </c>
      <c r="E409" s="6" t="s">
        <v>1545</v>
      </c>
      <c r="F409" s="78">
        <v>1.0</v>
      </c>
      <c r="G409" s="79">
        <v>534.71</v>
      </c>
    </row>
    <row r="410">
      <c r="A410" s="6">
        <v>124.0</v>
      </c>
      <c r="B410" s="76" t="str">
        <f>IFERROR(VLOOKUP($A410,EVENTO!$A$2:$C$4999,2,FALSE),"")</f>
        <v>ADITIVO DE PRAZO</v>
      </c>
      <c r="C410" s="76" t="str">
        <f>IFERROR(VLOOKUP($A410,EVENTO!$A$2:$C$4999,3,FALSE),"")</f>
        <v>PREF. MUNICIPAL DE ARACATI - SEGURANÇA CIDADÃ - 017-2022</v>
      </c>
      <c r="D410" s="78" t="s">
        <v>1458</v>
      </c>
      <c r="E410" s="6" t="s">
        <v>1535</v>
      </c>
      <c r="F410" s="78">
        <v>3.0</v>
      </c>
      <c r="G410" s="79">
        <v>344.75</v>
      </c>
    </row>
    <row r="411">
      <c r="A411" s="6">
        <v>124.0</v>
      </c>
      <c r="B411" s="76" t="str">
        <f>IFERROR(VLOOKUP($A411,EVENTO!$A$2:$C$4999,2,FALSE),"")</f>
        <v>ADITIVO DE PRAZO</v>
      </c>
      <c r="C411" s="76" t="str">
        <f>IFERROR(VLOOKUP($A411,EVENTO!$A$2:$C$4999,3,FALSE),"")</f>
        <v>PREF. MUNICIPAL DE ARACATI - SEGURANÇA CIDADÃ - 017-2022</v>
      </c>
      <c r="D411" s="78" t="s">
        <v>1546</v>
      </c>
      <c r="E411" s="6" t="s">
        <v>1547</v>
      </c>
      <c r="F411" s="78">
        <v>3.0</v>
      </c>
      <c r="G411" s="79">
        <v>270.39</v>
      </c>
    </row>
    <row r="412">
      <c r="A412" s="6">
        <v>124.0</v>
      </c>
      <c r="B412" s="76" t="str">
        <f>IFERROR(VLOOKUP($A412,EVENTO!$A$2:$C$4999,2,FALSE),"")</f>
        <v>ADITIVO DE PRAZO</v>
      </c>
      <c r="C412" s="76" t="str">
        <f>IFERROR(VLOOKUP($A412,EVENTO!$A$2:$C$4999,3,FALSE),"")</f>
        <v>PREF. MUNICIPAL DE ARACATI - SEGURANÇA CIDADÃ - 017-2022</v>
      </c>
      <c r="D412" s="78" t="s">
        <v>1456</v>
      </c>
      <c r="E412" s="6" t="s">
        <v>1548</v>
      </c>
      <c r="F412" s="78">
        <v>2.0</v>
      </c>
      <c r="G412" s="79">
        <v>387.36</v>
      </c>
    </row>
    <row r="413">
      <c r="A413" s="6">
        <v>124.0</v>
      </c>
      <c r="B413" s="76" t="str">
        <f>IFERROR(VLOOKUP($A413,EVENTO!$A$2:$C$4999,2,FALSE),"")</f>
        <v>ADITIVO DE PRAZO</v>
      </c>
      <c r="C413" s="76" t="str">
        <f>IFERROR(VLOOKUP($A413,EVENTO!$A$2:$C$4999,3,FALSE),"")</f>
        <v>PREF. MUNICIPAL DE ARACATI - SEGURANÇA CIDADÃ - 017-2022</v>
      </c>
      <c r="D413" s="78" t="s">
        <v>1549</v>
      </c>
      <c r="E413" s="6" t="s">
        <v>1550</v>
      </c>
      <c r="F413" s="78">
        <v>5.0</v>
      </c>
      <c r="G413" s="79">
        <v>221.78</v>
      </c>
    </row>
    <row r="414">
      <c r="A414" s="6">
        <v>124.0</v>
      </c>
      <c r="B414" s="76" t="str">
        <f>IFERROR(VLOOKUP($A414,EVENTO!$A$2:$C$4999,2,FALSE),"")</f>
        <v>ADITIVO DE PRAZO</v>
      </c>
      <c r="C414" s="76" t="str">
        <f>IFERROR(VLOOKUP($A414,EVENTO!$A$2:$C$4999,3,FALSE),"")</f>
        <v>PREF. MUNICIPAL DE ARACATI - SEGURANÇA CIDADÃ - 017-2022</v>
      </c>
      <c r="D414" s="78" t="s">
        <v>1551</v>
      </c>
      <c r="E414" s="6" t="s">
        <v>1552</v>
      </c>
      <c r="F414" s="78">
        <v>11.0</v>
      </c>
      <c r="G414" s="79">
        <v>173.93</v>
      </c>
    </row>
    <row r="415">
      <c r="A415" s="6">
        <v>124.0</v>
      </c>
      <c r="B415" s="76" t="str">
        <f>IFERROR(VLOOKUP($A415,EVENTO!$A$2:$C$4999,2,FALSE),"")</f>
        <v>ADITIVO DE PRAZO</v>
      </c>
      <c r="C415" s="76" t="str">
        <f>IFERROR(VLOOKUP($A415,EVENTO!$A$2:$C$4999,3,FALSE),"")</f>
        <v>PREF. MUNICIPAL DE ARACATI - SEGURANÇA CIDADÃ - 017-2022</v>
      </c>
      <c r="D415" s="87" t="s">
        <v>1553</v>
      </c>
      <c r="F415" s="78">
        <v>4.0</v>
      </c>
      <c r="G415" s="79">
        <v>286.34</v>
      </c>
    </row>
    <row r="416">
      <c r="A416" s="6">
        <v>124.0</v>
      </c>
      <c r="B416" s="76" t="str">
        <f>IFERROR(VLOOKUP($A416,EVENTO!$A$2:$C$4999,2,FALSE),"")</f>
        <v>ADITIVO DE PRAZO</v>
      </c>
      <c r="C416" s="76" t="str">
        <f>IFERROR(VLOOKUP($A416,EVENTO!$A$2:$C$4999,3,FALSE),"")</f>
        <v>PREF. MUNICIPAL DE ARACATI - SEGURANÇA CIDADÃ - 017-2022</v>
      </c>
      <c r="D416" s="87" t="s">
        <v>1487</v>
      </c>
      <c r="F416" s="78">
        <v>3.0</v>
      </c>
      <c r="G416" s="79">
        <v>234.7</v>
      </c>
    </row>
    <row r="417">
      <c r="A417" s="6">
        <v>124.0</v>
      </c>
      <c r="B417" s="76" t="str">
        <f>IFERROR(VLOOKUP($A417,EVENTO!$A$2:$C$4999,2,FALSE),"")</f>
        <v>ADITIVO DE PRAZO</v>
      </c>
      <c r="C417" s="76" t="str">
        <f>IFERROR(VLOOKUP($A417,EVENTO!$A$2:$C$4999,3,FALSE),"")</f>
        <v>PREF. MUNICIPAL DE ARACATI - SEGURANÇA CIDADÃ - 017-2022</v>
      </c>
      <c r="D417" s="87" t="s">
        <v>1556</v>
      </c>
      <c r="F417" s="78">
        <v>3.0</v>
      </c>
      <c r="G417" s="79">
        <v>148.11</v>
      </c>
    </row>
    <row r="418">
      <c r="A418" s="6">
        <v>124.0</v>
      </c>
      <c r="B418" s="76" t="str">
        <f>IFERROR(VLOOKUP($A418,EVENTO!$A$2:$C$4999,2,FALSE),"")</f>
        <v>ADITIVO DE PRAZO</v>
      </c>
      <c r="C418" s="76" t="str">
        <f>IFERROR(VLOOKUP($A418,EVENTO!$A$2:$C$4999,3,FALSE),"")</f>
        <v>PREF. MUNICIPAL DE ARACATI - SEGURANÇA CIDADÃ - 017-2022</v>
      </c>
      <c r="D418" s="78" t="s">
        <v>1560</v>
      </c>
      <c r="F418" s="78">
        <v>2.0</v>
      </c>
      <c r="G418" s="79">
        <v>50.3</v>
      </c>
    </row>
    <row r="419">
      <c r="A419" s="6">
        <v>124.0</v>
      </c>
      <c r="B419" s="76" t="str">
        <f>IFERROR(VLOOKUP($A419,EVENTO!$A$2:$C$4999,2,FALSE),"")</f>
        <v>ADITIVO DE PRAZO</v>
      </c>
      <c r="C419" s="76" t="str">
        <f>IFERROR(VLOOKUP($A419,EVENTO!$A$2:$C$4999,3,FALSE),"")</f>
        <v>PREF. MUNICIPAL DE ARACATI - SEGURANÇA CIDADÃ - 017-2022</v>
      </c>
      <c r="D419" s="78" t="s">
        <v>1504</v>
      </c>
      <c r="F419" s="78">
        <v>2.0</v>
      </c>
      <c r="G419" s="79">
        <v>41.95</v>
      </c>
    </row>
    <row r="420">
      <c r="A420" s="6">
        <v>125.0</v>
      </c>
      <c r="B420" s="76" t="str">
        <f>IFERROR(VLOOKUP($A420,EVENTO!$A$2:$C$4999,2,FALSE),"")</f>
        <v>ADITIVO DE PRAZO</v>
      </c>
      <c r="C420" s="76" t="str">
        <f>IFERROR(VLOOKUP($A420,EVENTO!$A$2:$C$4999,3,FALSE),"")</f>
        <v>PREF. MUNICIPAL DE ARACATI - SEGURANÇA CIDADÃ - 017-2022</v>
      </c>
      <c r="D420" s="78" t="s">
        <v>1544</v>
      </c>
      <c r="E420" s="6" t="s">
        <v>1545</v>
      </c>
      <c r="F420" s="78">
        <v>1.0</v>
      </c>
      <c r="G420" s="79">
        <v>534.71</v>
      </c>
    </row>
    <row r="421">
      <c r="A421" s="6">
        <v>125.0</v>
      </c>
      <c r="B421" s="76" t="str">
        <f>IFERROR(VLOOKUP($A421,EVENTO!$A$2:$C$4999,2,FALSE),"")</f>
        <v>ADITIVO DE PRAZO</v>
      </c>
      <c r="C421" s="76" t="str">
        <f>IFERROR(VLOOKUP($A421,EVENTO!$A$2:$C$4999,3,FALSE),"")</f>
        <v>PREF. MUNICIPAL DE ARACATI - SEGURANÇA CIDADÃ - 017-2022</v>
      </c>
      <c r="D421" s="78" t="s">
        <v>1458</v>
      </c>
      <c r="E421" s="6" t="s">
        <v>1535</v>
      </c>
      <c r="F421" s="78">
        <v>3.0</v>
      </c>
      <c r="G421" s="79">
        <v>344.75</v>
      </c>
    </row>
    <row r="422">
      <c r="A422" s="6">
        <v>125.0</v>
      </c>
      <c r="B422" s="76" t="str">
        <f>IFERROR(VLOOKUP($A422,EVENTO!$A$2:$C$4999,2,FALSE),"")</f>
        <v>ADITIVO DE PRAZO</v>
      </c>
      <c r="C422" s="76" t="str">
        <f>IFERROR(VLOOKUP($A422,EVENTO!$A$2:$C$4999,3,FALSE),"")</f>
        <v>PREF. MUNICIPAL DE ARACATI - SEGURANÇA CIDADÃ - 017-2022</v>
      </c>
      <c r="D422" s="78" t="s">
        <v>1546</v>
      </c>
      <c r="E422" s="6" t="s">
        <v>1547</v>
      </c>
      <c r="F422" s="78">
        <v>3.0</v>
      </c>
      <c r="G422" s="79">
        <v>270.39</v>
      </c>
    </row>
    <row r="423">
      <c r="A423" s="6">
        <v>125.0</v>
      </c>
      <c r="B423" s="76" t="str">
        <f>IFERROR(VLOOKUP($A423,EVENTO!$A$2:$C$4999,2,FALSE),"")</f>
        <v>ADITIVO DE PRAZO</v>
      </c>
      <c r="C423" s="76" t="str">
        <f>IFERROR(VLOOKUP($A423,EVENTO!$A$2:$C$4999,3,FALSE),"")</f>
        <v>PREF. MUNICIPAL DE ARACATI - SEGURANÇA CIDADÃ - 017-2022</v>
      </c>
      <c r="D423" s="78" t="s">
        <v>1456</v>
      </c>
      <c r="E423" s="6" t="s">
        <v>1548</v>
      </c>
      <c r="F423" s="78">
        <v>2.0</v>
      </c>
      <c r="G423" s="79">
        <v>387.36</v>
      </c>
    </row>
    <row r="424">
      <c r="A424" s="6">
        <v>125.0</v>
      </c>
      <c r="B424" s="76" t="str">
        <f>IFERROR(VLOOKUP($A424,EVENTO!$A$2:$C$4999,2,FALSE),"")</f>
        <v>ADITIVO DE PRAZO</v>
      </c>
      <c r="C424" s="76" t="str">
        <f>IFERROR(VLOOKUP($A424,EVENTO!$A$2:$C$4999,3,FALSE),"")</f>
        <v>PREF. MUNICIPAL DE ARACATI - SEGURANÇA CIDADÃ - 017-2022</v>
      </c>
      <c r="D424" s="78" t="s">
        <v>1549</v>
      </c>
      <c r="E424" s="6" t="s">
        <v>1550</v>
      </c>
      <c r="F424" s="78">
        <v>5.0</v>
      </c>
      <c r="G424" s="79">
        <v>221.78</v>
      </c>
    </row>
    <row r="425">
      <c r="A425" s="6">
        <v>125.0</v>
      </c>
      <c r="B425" s="76" t="str">
        <f>IFERROR(VLOOKUP($A425,EVENTO!$A$2:$C$4999,2,FALSE),"")</f>
        <v>ADITIVO DE PRAZO</v>
      </c>
      <c r="C425" s="76" t="str">
        <f>IFERROR(VLOOKUP($A425,EVENTO!$A$2:$C$4999,3,FALSE),"")</f>
        <v>PREF. MUNICIPAL DE ARACATI - SEGURANÇA CIDADÃ - 017-2022</v>
      </c>
      <c r="D425" s="78" t="s">
        <v>1551</v>
      </c>
      <c r="E425" s="6" t="s">
        <v>1552</v>
      </c>
      <c r="F425" s="78">
        <v>11.0</v>
      </c>
      <c r="G425" s="79">
        <v>173.93</v>
      </c>
    </row>
    <row r="426">
      <c r="A426" s="6">
        <v>125.0</v>
      </c>
      <c r="B426" s="76" t="str">
        <f>IFERROR(VLOOKUP($A426,EVENTO!$A$2:$C$4999,2,FALSE),"")</f>
        <v>ADITIVO DE PRAZO</v>
      </c>
      <c r="C426" s="76" t="str">
        <f>IFERROR(VLOOKUP($A426,EVENTO!$A$2:$C$4999,3,FALSE),"")</f>
        <v>PREF. MUNICIPAL DE ARACATI - SEGURANÇA CIDADÃ - 017-2022</v>
      </c>
      <c r="D426" s="87" t="s">
        <v>1553</v>
      </c>
      <c r="F426" s="78">
        <v>4.0</v>
      </c>
      <c r="G426" s="79">
        <v>286.34</v>
      </c>
    </row>
    <row r="427">
      <c r="A427" s="6">
        <v>125.0</v>
      </c>
      <c r="B427" s="76" t="str">
        <f>IFERROR(VLOOKUP($A427,EVENTO!$A$2:$C$4999,2,FALSE),"")</f>
        <v>ADITIVO DE PRAZO</v>
      </c>
      <c r="C427" s="76" t="str">
        <f>IFERROR(VLOOKUP($A427,EVENTO!$A$2:$C$4999,3,FALSE),"")</f>
        <v>PREF. MUNICIPAL DE ARACATI - SEGURANÇA CIDADÃ - 017-2022</v>
      </c>
      <c r="D427" s="87" t="s">
        <v>1487</v>
      </c>
      <c r="F427" s="78">
        <v>3.0</v>
      </c>
      <c r="G427" s="79">
        <v>234.7</v>
      </c>
    </row>
    <row r="428">
      <c r="A428" s="6">
        <v>125.0</v>
      </c>
      <c r="B428" s="76" t="str">
        <f>IFERROR(VLOOKUP($A428,EVENTO!$A$2:$C$4999,2,FALSE),"")</f>
        <v>ADITIVO DE PRAZO</v>
      </c>
      <c r="C428" s="76" t="str">
        <f>IFERROR(VLOOKUP($A428,EVENTO!$A$2:$C$4999,3,FALSE),"")</f>
        <v>PREF. MUNICIPAL DE ARACATI - SEGURANÇA CIDADÃ - 017-2022</v>
      </c>
      <c r="D428" s="87" t="s">
        <v>1556</v>
      </c>
      <c r="F428" s="78">
        <v>3.0</v>
      </c>
      <c r="G428" s="79">
        <v>148.11</v>
      </c>
    </row>
    <row r="429">
      <c r="A429" s="6">
        <v>125.0</v>
      </c>
      <c r="B429" s="76" t="str">
        <f>IFERROR(VLOOKUP($A429,EVENTO!$A$2:$C$4999,2,FALSE),"")</f>
        <v>ADITIVO DE PRAZO</v>
      </c>
      <c r="C429" s="76" t="str">
        <f>IFERROR(VLOOKUP($A429,EVENTO!$A$2:$C$4999,3,FALSE),"")</f>
        <v>PREF. MUNICIPAL DE ARACATI - SEGURANÇA CIDADÃ - 017-2022</v>
      </c>
      <c r="D429" s="78" t="s">
        <v>1560</v>
      </c>
      <c r="F429" s="78">
        <v>2.0</v>
      </c>
      <c r="G429" s="79">
        <v>50.3</v>
      </c>
    </row>
    <row r="430">
      <c r="A430" s="6">
        <v>125.0</v>
      </c>
      <c r="B430" s="76" t="str">
        <f>IFERROR(VLOOKUP($A430,EVENTO!$A$2:$C$4999,2,FALSE),"")</f>
        <v>ADITIVO DE PRAZO</v>
      </c>
      <c r="C430" s="76" t="str">
        <f>IFERROR(VLOOKUP($A430,EVENTO!$A$2:$C$4999,3,FALSE),"")</f>
        <v>PREF. MUNICIPAL DE ARACATI - SEGURANÇA CIDADÃ - 017-2022</v>
      </c>
      <c r="D430" s="78" t="s">
        <v>1504</v>
      </c>
      <c r="F430" s="78">
        <v>2.0</v>
      </c>
      <c r="G430" s="79">
        <v>41.95</v>
      </c>
    </row>
    <row r="431">
      <c r="A431" s="6">
        <v>126.0</v>
      </c>
      <c r="B431" s="76" t="str">
        <f>IFERROR(VLOOKUP($A431,EVENTO!$A$2:$C$4999,2,FALSE),"")</f>
        <v>CADASTRO</v>
      </c>
      <c r="C431" s="76" t="str">
        <f>IFERROR(VLOOKUP($A431,EVENTO!$A$2:$C$4999,3,FALSE),"")</f>
        <v>PREF. MUNICIPAL DE ARACATI - SEGURANÇA CIDADÃ - 018-2022</v>
      </c>
      <c r="D431" s="78" t="s">
        <v>1458</v>
      </c>
      <c r="E431" s="6" t="s">
        <v>1535</v>
      </c>
      <c r="F431" s="78">
        <v>1.0</v>
      </c>
      <c r="G431" s="79">
        <v>344.75</v>
      </c>
    </row>
    <row r="432">
      <c r="A432" s="6">
        <v>126.0</v>
      </c>
      <c r="B432" s="76" t="str">
        <f>IFERROR(VLOOKUP($A432,EVENTO!$A$2:$C$4999,2,FALSE),"")</f>
        <v>CADASTRO</v>
      </c>
      <c r="C432" s="76" t="str">
        <f>IFERROR(VLOOKUP($A432,EVENTO!$A$2:$C$4999,3,FALSE),"")</f>
        <v>PREF. MUNICIPAL DE ARACATI - SEGURANÇA CIDADÃ - 018-2022</v>
      </c>
      <c r="D432" s="78" t="s">
        <v>1546</v>
      </c>
      <c r="E432" s="6" t="s">
        <v>1547</v>
      </c>
      <c r="F432" s="78">
        <v>2.0</v>
      </c>
      <c r="G432" s="79">
        <v>270.39</v>
      </c>
    </row>
    <row r="433">
      <c r="A433" s="6">
        <v>126.0</v>
      </c>
      <c r="B433" s="76" t="str">
        <f>IFERROR(VLOOKUP($A433,EVENTO!$A$2:$C$4999,2,FALSE),"")</f>
        <v>CADASTRO</v>
      </c>
      <c r="C433" s="76" t="str">
        <f>IFERROR(VLOOKUP($A433,EVENTO!$A$2:$C$4999,3,FALSE),"")</f>
        <v>PREF. MUNICIPAL DE ARACATI - SEGURANÇA CIDADÃ - 018-2022</v>
      </c>
      <c r="D433" s="78" t="s">
        <v>1456</v>
      </c>
      <c r="E433" s="6" t="s">
        <v>1548</v>
      </c>
      <c r="F433" s="78">
        <v>1.0</v>
      </c>
      <c r="G433" s="79">
        <v>387.36</v>
      </c>
    </row>
    <row r="434">
      <c r="A434" s="6">
        <v>126.0</v>
      </c>
      <c r="B434" s="76" t="str">
        <f>IFERROR(VLOOKUP($A434,EVENTO!$A$2:$C$4999,2,FALSE),"")</f>
        <v>CADASTRO</v>
      </c>
      <c r="C434" s="76" t="str">
        <f>IFERROR(VLOOKUP($A434,EVENTO!$A$2:$C$4999,3,FALSE),"")</f>
        <v>PREF. MUNICIPAL DE ARACATI - SEGURANÇA CIDADÃ - 018-2022</v>
      </c>
      <c r="D434" s="78" t="s">
        <v>1549</v>
      </c>
      <c r="E434" s="6" t="s">
        <v>1550</v>
      </c>
      <c r="F434" s="78">
        <v>3.0</v>
      </c>
      <c r="G434" s="79">
        <v>221.78</v>
      </c>
    </row>
    <row r="435">
      <c r="A435" s="6">
        <v>126.0</v>
      </c>
      <c r="B435" s="76" t="str">
        <f>IFERROR(VLOOKUP($A435,EVENTO!$A$2:$C$4999,2,FALSE),"")</f>
        <v>CADASTRO</v>
      </c>
      <c r="C435" s="76" t="str">
        <f>IFERROR(VLOOKUP($A435,EVENTO!$A$2:$C$4999,3,FALSE),"")</f>
        <v>PREF. MUNICIPAL DE ARACATI - SEGURANÇA CIDADÃ - 018-2022</v>
      </c>
      <c r="D435" s="78" t="s">
        <v>1551</v>
      </c>
      <c r="E435" s="6" t="s">
        <v>1552</v>
      </c>
      <c r="F435" s="78">
        <v>3.0</v>
      </c>
      <c r="G435" s="79">
        <v>173.93</v>
      </c>
    </row>
    <row r="436">
      <c r="A436" s="6">
        <v>126.0</v>
      </c>
      <c r="B436" s="76" t="str">
        <f>IFERROR(VLOOKUP($A436,EVENTO!$A$2:$C$4999,2,FALSE),"")</f>
        <v>CADASTRO</v>
      </c>
      <c r="C436" s="76" t="str">
        <f>IFERROR(VLOOKUP($A436,EVENTO!$A$2:$C$4999,3,FALSE),"")</f>
        <v>PREF. MUNICIPAL DE ARACATI - SEGURANÇA CIDADÃ - 018-2022</v>
      </c>
      <c r="D436" s="87" t="s">
        <v>1553</v>
      </c>
      <c r="F436" s="78">
        <v>1.0</v>
      </c>
      <c r="G436" s="79">
        <v>286.34</v>
      </c>
    </row>
    <row r="437">
      <c r="A437" s="6">
        <v>126.0</v>
      </c>
      <c r="B437" s="76" t="str">
        <f>IFERROR(VLOOKUP($A437,EVENTO!$A$2:$C$4999,2,FALSE),"")</f>
        <v>CADASTRO</v>
      </c>
      <c r="C437" s="76" t="str">
        <f>IFERROR(VLOOKUP($A437,EVENTO!$A$2:$C$4999,3,FALSE),"")</f>
        <v>PREF. MUNICIPAL DE ARACATI - SEGURANÇA CIDADÃ - 018-2022</v>
      </c>
      <c r="D437" s="87" t="s">
        <v>1487</v>
      </c>
      <c r="F437" s="78">
        <v>2.0</v>
      </c>
      <c r="G437" s="79">
        <v>234.7</v>
      </c>
    </row>
    <row r="438">
      <c r="A438" s="6">
        <v>126.0</v>
      </c>
      <c r="B438" s="76" t="str">
        <f>IFERROR(VLOOKUP($A438,EVENTO!$A$2:$C$4999,2,FALSE),"")</f>
        <v>CADASTRO</v>
      </c>
      <c r="C438" s="76" t="str">
        <f>IFERROR(VLOOKUP($A438,EVENTO!$A$2:$C$4999,3,FALSE),"")</f>
        <v>PREF. MUNICIPAL DE ARACATI - SEGURANÇA CIDADÃ - 018-2022</v>
      </c>
      <c r="D438" s="87" t="s">
        <v>1556</v>
      </c>
      <c r="F438" s="78">
        <v>2.0</v>
      </c>
      <c r="G438" s="79">
        <v>148.11</v>
      </c>
    </row>
    <row r="439">
      <c r="A439" s="6">
        <v>126.0</v>
      </c>
      <c r="B439" s="76" t="str">
        <f>IFERROR(VLOOKUP($A439,EVENTO!$A$2:$C$4999,2,FALSE),"")</f>
        <v>CADASTRO</v>
      </c>
      <c r="C439" s="76" t="str">
        <f>IFERROR(VLOOKUP($A439,EVENTO!$A$2:$C$4999,3,FALSE),"")</f>
        <v>PREF. MUNICIPAL DE ARACATI - SEGURANÇA CIDADÃ - 018-2022</v>
      </c>
      <c r="D439" s="78" t="s">
        <v>1560</v>
      </c>
      <c r="F439" s="78">
        <v>1.0</v>
      </c>
      <c r="G439" s="79">
        <v>50.3</v>
      </c>
    </row>
    <row r="440">
      <c r="A440" s="6">
        <v>126.0</v>
      </c>
      <c r="B440" s="76" t="str">
        <f>IFERROR(VLOOKUP($A440,EVENTO!$A$2:$C$4999,2,FALSE),"")</f>
        <v>CADASTRO</v>
      </c>
      <c r="C440" s="76" t="str">
        <f>IFERROR(VLOOKUP($A440,EVENTO!$A$2:$C$4999,3,FALSE),"")</f>
        <v>PREF. MUNICIPAL DE ARACATI - SEGURANÇA CIDADÃ - 018-2022</v>
      </c>
      <c r="D440" s="78" t="s">
        <v>1504</v>
      </c>
      <c r="F440" s="78">
        <v>1.0</v>
      </c>
      <c r="G440" s="79">
        <v>41.95</v>
      </c>
    </row>
    <row r="441">
      <c r="A441" s="6">
        <v>126.0</v>
      </c>
      <c r="B441" s="76" t="str">
        <f>IFERROR(VLOOKUP($A441,EVENTO!$A$2:$C$4999,2,FALSE),"")</f>
        <v>CADASTRO</v>
      </c>
      <c r="C441" s="76" t="str">
        <f>IFERROR(VLOOKUP($A441,EVENTO!$A$2:$C$4999,3,FALSE),"")</f>
        <v>PREF. MUNICIPAL DE ARACATI - SEGURANÇA CIDADÃ - 018-2022</v>
      </c>
      <c r="D441" s="78" t="s">
        <v>1557</v>
      </c>
      <c r="F441" s="78">
        <v>1.0</v>
      </c>
      <c r="G441" s="79">
        <v>91.18</v>
      </c>
    </row>
    <row r="442">
      <c r="A442" s="6">
        <v>127.0</v>
      </c>
      <c r="B442" s="76" t="str">
        <f>IFERROR(VLOOKUP($A442,EVENTO!$A$2:$C$4999,2,FALSE),"")</f>
        <v>ADITIVO DE PRAZO</v>
      </c>
      <c r="C442" s="76" t="str">
        <f>IFERROR(VLOOKUP($A442,EVENTO!$A$2:$C$4999,3,FALSE),"")</f>
        <v>PREF. MUNICIPAL DE ARACATI - SEGURANÇA CIDADÃ - 018-2022</v>
      </c>
      <c r="D442" s="78" t="s">
        <v>1458</v>
      </c>
      <c r="E442" s="6" t="s">
        <v>1535</v>
      </c>
      <c r="F442" s="78">
        <v>1.0</v>
      </c>
      <c r="G442" s="79">
        <v>344.75</v>
      </c>
    </row>
    <row r="443">
      <c r="A443" s="6">
        <v>127.0</v>
      </c>
      <c r="B443" s="76" t="str">
        <f>IFERROR(VLOOKUP($A443,EVENTO!$A$2:$C$4999,2,FALSE),"")</f>
        <v>ADITIVO DE PRAZO</v>
      </c>
      <c r="C443" s="76" t="str">
        <f>IFERROR(VLOOKUP($A443,EVENTO!$A$2:$C$4999,3,FALSE),"")</f>
        <v>PREF. MUNICIPAL DE ARACATI - SEGURANÇA CIDADÃ - 018-2022</v>
      </c>
      <c r="D443" s="78" t="s">
        <v>1546</v>
      </c>
      <c r="E443" s="6" t="s">
        <v>1547</v>
      </c>
      <c r="F443" s="78">
        <v>2.0</v>
      </c>
      <c r="G443" s="79">
        <v>270.39</v>
      </c>
    </row>
    <row r="444">
      <c r="A444" s="6">
        <v>127.0</v>
      </c>
      <c r="B444" s="76" t="str">
        <f>IFERROR(VLOOKUP($A444,EVENTO!$A$2:$C$4999,2,FALSE),"")</f>
        <v>ADITIVO DE PRAZO</v>
      </c>
      <c r="C444" s="76" t="str">
        <f>IFERROR(VLOOKUP($A444,EVENTO!$A$2:$C$4999,3,FALSE),"")</f>
        <v>PREF. MUNICIPAL DE ARACATI - SEGURANÇA CIDADÃ - 018-2022</v>
      </c>
      <c r="D444" s="78" t="s">
        <v>1456</v>
      </c>
      <c r="E444" s="6" t="s">
        <v>1548</v>
      </c>
      <c r="F444" s="78">
        <v>1.0</v>
      </c>
      <c r="G444" s="79">
        <v>387.36</v>
      </c>
    </row>
    <row r="445">
      <c r="A445" s="6">
        <v>127.0</v>
      </c>
      <c r="B445" s="76" t="str">
        <f>IFERROR(VLOOKUP($A445,EVENTO!$A$2:$C$4999,2,FALSE),"")</f>
        <v>ADITIVO DE PRAZO</v>
      </c>
      <c r="C445" s="76" t="str">
        <f>IFERROR(VLOOKUP($A445,EVENTO!$A$2:$C$4999,3,FALSE),"")</f>
        <v>PREF. MUNICIPAL DE ARACATI - SEGURANÇA CIDADÃ - 018-2022</v>
      </c>
      <c r="D445" s="78" t="s">
        <v>1549</v>
      </c>
      <c r="E445" s="6" t="s">
        <v>1550</v>
      </c>
      <c r="F445" s="78">
        <v>3.0</v>
      </c>
      <c r="G445" s="79">
        <v>221.78</v>
      </c>
    </row>
    <row r="446">
      <c r="A446" s="6">
        <v>127.0</v>
      </c>
      <c r="B446" s="76" t="str">
        <f>IFERROR(VLOOKUP($A446,EVENTO!$A$2:$C$4999,2,FALSE),"")</f>
        <v>ADITIVO DE PRAZO</v>
      </c>
      <c r="C446" s="76" t="str">
        <f>IFERROR(VLOOKUP($A446,EVENTO!$A$2:$C$4999,3,FALSE),"")</f>
        <v>PREF. MUNICIPAL DE ARACATI - SEGURANÇA CIDADÃ - 018-2022</v>
      </c>
      <c r="D446" s="78" t="s">
        <v>1551</v>
      </c>
      <c r="E446" s="6" t="s">
        <v>1552</v>
      </c>
      <c r="F446" s="78">
        <v>3.0</v>
      </c>
      <c r="G446" s="79">
        <v>173.93</v>
      </c>
    </row>
    <row r="447">
      <c r="A447" s="6">
        <v>127.0</v>
      </c>
      <c r="B447" s="76" t="str">
        <f>IFERROR(VLOOKUP($A447,EVENTO!$A$2:$C$4999,2,FALSE),"")</f>
        <v>ADITIVO DE PRAZO</v>
      </c>
      <c r="C447" s="76" t="str">
        <f>IFERROR(VLOOKUP($A447,EVENTO!$A$2:$C$4999,3,FALSE),"")</f>
        <v>PREF. MUNICIPAL DE ARACATI - SEGURANÇA CIDADÃ - 018-2022</v>
      </c>
      <c r="D447" s="87" t="s">
        <v>1553</v>
      </c>
      <c r="F447" s="78">
        <v>1.0</v>
      </c>
      <c r="G447" s="79">
        <v>286.34</v>
      </c>
    </row>
    <row r="448">
      <c r="A448" s="6">
        <v>127.0</v>
      </c>
      <c r="B448" s="76" t="str">
        <f>IFERROR(VLOOKUP($A448,EVENTO!$A$2:$C$4999,2,FALSE),"")</f>
        <v>ADITIVO DE PRAZO</v>
      </c>
      <c r="C448" s="76" t="str">
        <f>IFERROR(VLOOKUP($A448,EVENTO!$A$2:$C$4999,3,FALSE),"")</f>
        <v>PREF. MUNICIPAL DE ARACATI - SEGURANÇA CIDADÃ - 018-2022</v>
      </c>
      <c r="D448" s="87" t="s">
        <v>1487</v>
      </c>
      <c r="F448" s="78">
        <v>2.0</v>
      </c>
      <c r="G448" s="79">
        <v>234.7</v>
      </c>
    </row>
    <row r="449">
      <c r="A449" s="6">
        <v>127.0</v>
      </c>
      <c r="B449" s="76" t="str">
        <f>IFERROR(VLOOKUP($A449,EVENTO!$A$2:$C$4999,2,FALSE),"")</f>
        <v>ADITIVO DE PRAZO</v>
      </c>
      <c r="C449" s="76" t="str">
        <f>IFERROR(VLOOKUP($A449,EVENTO!$A$2:$C$4999,3,FALSE),"")</f>
        <v>PREF. MUNICIPAL DE ARACATI - SEGURANÇA CIDADÃ - 018-2022</v>
      </c>
      <c r="D449" s="87" t="s">
        <v>1556</v>
      </c>
      <c r="F449" s="78">
        <v>2.0</v>
      </c>
      <c r="G449" s="79">
        <v>148.11</v>
      </c>
    </row>
    <row r="450">
      <c r="A450" s="6">
        <v>127.0</v>
      </c>
      <c r="B450" s="76" t="str">
        <f>IFERROR(VLOOKUP($A450,EVENTO!$A$2:$C$4999,2,FALSE),"")</f>
        <v>ADITIVO DE PRAZO</v>
      </c>
      <c r="C450" s="76" t="str">
        <f>IFERROR(VLOOKUP($A450,EVENTO!$A$2:$C$4999,3,FALSE),"")</f>
        <v>PREF. MUNICIPAL DE ARACATI - SEGURANÇA CIDADÃ - 018-2022</v>
      </c>
      <c r="D450" s="78" t="s">
        <v>1560</v>
      </c>
      <c r="F450" s="78">
        <v>1.0</v>
      </c>
      <c r="G450" s="79">
        <v>50.3</v>
      </c>
    </row>
    <row r="451">
      <c r="A451" s="6">
        <v>127.0</v>
      </c>
      <c r="B451" s="76" t="str">
        <f>IFERROR(VLOOKUP($A451,EVENTO!$A$2:$C$4999,2,FALSE),"")</f>
        <v>ADITIVO DE PRAZO</v>
      </c>
      <c r="C451" s="76" t="str">
        <f>IFERROR(VLOOKUP($A451,EVENTO!$A$2:$C$4999,3,FALSE),"")</f>
        <v>PREF. MUNICIPAL DE ARACATI - SEGURANÇA CIDADÃ - 018-2022</v>
      </c>
      <c r="D451" s="78" t="s">
        <v>1504</v>
      </c>
      <c r="F451" s="78">
        <v>1.0</v>
      </c>
      <c r="G451" s="79">
        <v>41.95</v>
      </c>
    </row>
    <row r="452">
      <c r="A452" s="6">
        <v>127.0</v>
      </c>
      <c r="B452" s="76" t="str">
        <f>IFERROR(VLOOKUP($A452,EVENTO!$A$2:$C$4999,2,FALSE),"")</f>
        <v>ADITIVO DE PRAZO</v>
      </c>
      <c r="C452" s="76" t="str">
        <f>IFERROR(VLOOKUP($A452,EVENTO!$A$2:$C$4999,3,FALSE),"")</f>
        <v>PREF. MUNICIPAL DE ARACATI - SEGURANÇA CIDADÃ - 018-2022</v>
      </c>
      <c r="D452" s="78" t="s">
        <v>1557</v>
      </c>
      <c r="F452" s="78">
        <v>1.0</v>
      </c>
      <c r="G452" s="79">
        <v>91.18</v>
      </c>
    </row>
    <row r="453">
      <c r="A453" s="6">
        <v>128.0</v>
      </c>
      <c r="B453" s="76" t="str">
        <f>IFERROR(VLOOKUP($A453,EVENTO!$A$2:$C$4999,2,FALSE),"")</f>
        <v>ADITIVO DE PRAZO</v>
      </c>
      <c r="C453" s="76" t="str">
        <f>IFERROR(VLOOKUP($A453,EVENTO!$A$2:$C$4999,3,FALSE),"")</f>
        <v>PREF. MUNICIPAL DE ARACATI - SEGURANÇA CIDADÃ - 018-2022</v>
      </c>
      <c r="D453" s="78" t="s">
        <v>1458</v>
      </c>
      <c r="E453" s="6" t="s">
        <v>1535</v>
      </c>
      <c r="F453" s="78">
        <v>1.0</v>
      </c>
      <c r="G453" s="79">
        <v>344.75</v>
      </c>
    </row>
    <row r="454">
      <c r="A454" s="6">
        <v>128.0</v>
      </c>
      <c r="B454" s="76" t="str">
        <f>IFERROR(VLOOKUP($A454,EVENTO!$A$2:$C$4999,2,FALSE),"")</f>
        <v>ADITIVO DE PRAZO</v>
      </c>
      <c r="C454" s="76" t="str">
        <f>IFERROR(VLOOKUP($A454,EVENTO!$A$2:$C$4999,3,FALSE),"")</f>
        <v>PREF. MUNICIPAL DE ARACATI - SEGURANÇA CIDADÃ - 018-2022</v>
      </c>
      <c r="D454" s="78" t="s">
        <v>1546</v>
      </c>
      <c r="E454" s="6" t="s">
        <v>1547</v>
      </c>
      <c r="F454" s="78">
        <v>2.0</v>
      </c>
      <c r="G454" s="79">
        <v>270.39</v>
      </c>
    </row>
    <row r="455">
      <c r="A455" s="6">
        <v>128.0</v>
      </c>
      <c r="B455" s="76" t="str">
        <f>IFERROR(VLOOKUP($A455,EVENTO!$A$2:$C$4999,2,FALSE),"")</f>
        <v>ADITIVO DE PRAZO</v>
      </c>
      <c r="C455" s="76" t="str">
        <f>IFERROR(VLOOKUP($A455,EVENTO!$A$2:$C$4999,3,FALSE),"")</f>
        <v>PREF. MUNICIPAL DE ARACATI - SEGURANÇA CIDADÃ - 018-2022</v>
      </c>
      <c r="D455" s="78" t="s">
        <v>1456</v>
      </c>
      <c r="E455" s="6" t="s">
        <v>1548</v>
      </c>
      <c r="F455" s="78">
        <v>1.0</v>
      </c>
      <c r="G455" s="79">
        <v>387.36</v>
      </c>
    </row>
    <row r="456">
      <c r="A456" s="6">
        <v>128.0</v>
      </c>
      <c r="B456" s="76" t="str">
        <f>IFERROR(VLOOKUP($A456,EVENTO!$A$2:$C$4999,2,FALSE),"")</f>
        <v>ADITIVO DE PRAZO</v>
      </c>
      <c r="C456" s="76" t="str">
        <f>IFERROR(VLOOKUP($A456,EVENTO!$A$2:$C$4999,3,FALSE),"")</f>
        <v>PREF. MUNICIPAL DE ARACATI - SEGURANÇA CIDADÃ - 018-2022</v>
      </c>
      <c r="D456" s="78" t="s">
        <v>1549</v>
      </c>
      <c r="E456" s="6" t="s">
        <v>1550</v>
      </c>
      <c r="F456" s="78">
        <v>3.0</v>
      </c>
      <c r="G456" s="79">
        <v>221.78</v>
      </c>
    </row>
    <row r="457">
      <c r="A457" s="6">
        <v>128.0</v>
      </c>
      <c r="B457" s="76" t="str">
        <f>IFERROR(VLOOKUP($A457,EVENTO!$A$2:$C$4999,2,FALSE),"")</f>
        <v>ADITIVO DE PRAZO</v>
      </c>
      <c r="C457" s="76" t="str">
        <f>IFERROR(VLOOKUP($A457,EVENTO!$A$2:$C$4999,3,FALSE),"")</f>
        <v>PREF. MUNICIPAL DE ARACATI - SEGURANÇA CIDADÃ - 018-2022</v>
      </c>
      <c r="D457" s="78" t="s">
        <v>1551</v>
      </c>
      <c r="E457" s="6" t="s">
        <v>1552</v>
      </c>
      <c r="F457" s="78">
        <v>3.0</v>
      </c>
      <c r="G457" s="79">
        <v>173.93</v>
      </c>
    </row>
    <row r="458">
      <c r="A458" s="6">
        <v>128.0</v>
      </c>
      <c r="B458" s="76" t="str">
        <f>IFERROR(VLOOKUP($A458,EVENTO!$A$2:$C$4999,2,FALSE),"")</f>
        <v>ADITIVO DE PRAZO</v>
      </c>
      <c r="C458" s="76" t="str">
        <f>IFERROR(VLOOKUP($A458,EVENTO!$A$2:$C$4999,3,FALSE),"")</f>
        <v>PREF. MUNICIPAL DE ARACATI - SEGURANÇA CIDADÃ - 018-2022</v>
      </c>
      <c r="D458" s="87" t="s">
        <v>1553</v>
      </c>
      <c r="F458" s="78">
        <v>1.0</v>
      </c>
      <c r="G458" s="79">
        <v>286.34</v>
      </c>
    </row>
    <row r="459">
      <c r="A459" s="6">
        <v>128.0</v>
      </c>
      <c r="B459" s="76" t="str">
        <f>IFERROR(VLOOKUP($A459,EVENTO!$A$2:$C$4999,2,FALSE),"")</f>
        <v>ADITIVO DE PRAZO</v>
      </c>
      <c r="C459" s="76" t="str">
        <f>IFERROR(VLOOKUP($A459,EVENTO!$A$2:$C$4999,3,FALSE),"")</f>
        <v>PREF. MUNICIPAL DE ARACATI - SEGURANÇA CIDADÃ - 018-2022</v>
      </c>
      <c r="D459" s="87" t="s">
        <v>1487</v>
      </c>
      <c r="F459" s="78">
        <v>2.0</v>
      </c>
      <c r="G459" s="79">
        <v>234.7</v>
      </c>
    </row>
    <row r="460">
      <c r="A460" s="6">
        <v>128.0</v>
      </c>
      <c r="B460" s="76" t="str">
        <f>IFERROR(VLOOKUP($A460,EVENTO!$A$2:$C$4999,2,FALSE),"")</f>
        <v>ADITIVO DE PRAZO</v>
      </c>
      <c r="C460" s="76" t="str">
        <f>IFERROR(VLOOKUP($A460,EVENTO!$A$2:$C$4999,3,FALSE),"")</f>
        <v>PREF. MUNICIPAL DE ARACATI - SEGURANÇA CIDADÃ - 018-2022</v>
      </c>
      <c r="D460" s="87" t="s">
        <v>1556</v>
      </c>
      <c r="F460" s="78">
        <v>2.0</v>
      </c>
      <c r="G460" s="79">
        <v>148.11</v>
      </c>
    </row>
    <row r="461">
      <c r="A461" s="6">
        <v>128.0</v>
      </c>
      <c r="B461" s="76" t="str">
        <f>IFERROR(VLOOKUP($A461,EVENTO!$A$2:$C$4999,2,FALSE),"")</f>
        <v>ADITIVO DE PRAZO</v>
      </c>
      <c r="C461" s="76" t="str">
        <f>IFERROR(VLOOKUP($A461,EVENTO!$A$2:$C$4999,3,FALSE),"")</f>
        <v>PREF. MUNICIPAL DE ARACATI - SEGURANÇA CIDADÃ - 018-2022</v>
      </c>
      <c r="D461" s="78" t="s">
        <v>1560</v>
      </c>
      <c r="F461" s="78">
        <v>1.0</v>
      </c>
      <c r="G461" s="79">
        <v>50.3</v>
      </c>
    </row>
    <row r="462">
      <c r="A462" s="6">
        <v>128.0</v>
      </c>
      <c r="B462" s="76" t="str">
        <f>IFERROR(VLOOKUP($A462,EVENTO!$A$2:$C$4999,2,FALSE),"")</f>
        <v>ADITIVO DE PRAZO</v>
      </c>
      <c r="C462" s="76" t="str">
        <f>IFERROR(VLOOKUP($A462,EVENTO!$A$2:$C$4999,3,FALSE),"")</f>
        <v>PREF. MUNICIPAL DE ARACATI - SEGURANÇA CIDADÃ - 018-2022</v>
      </c>
      <c r="D462" s="78" t="s">
        <v>1504</v>
      </c>
      <c r="F462" s="78">
        <v>1.0</v>
      </c>
      <c r="G462" s="79">
        <v>41.95</v>
      </c>
    </row>
    <row r="463">
      <c r="A463" s="6">
        <v>128.0</v>
      </c>
      <c r="B463" s="76" t="str">
        <f>IFERROR(VLOOKUP($A463,EVENTO!$A$2:$C$4999,2,FALSE),"")</f>
        <v>ADITIVO DE PRAZO</v>
      </c>
      <c r="C463" s="76" t="str">
        <f>IFERROR(VLOOKUP($A463,EVENTO!$A$2:$C$4999,3,FALSE),"")</f>
        <v>PREF. MUNICIPAL DE ARACATI - SEGURANÇA CIDADÃ - 018-2022</v>
      </c>
      <c r="D463" s="78" t="s">
        <v>1557</v>
      </c>
      <c r="F463" s="78">
        <v>1.0</v>
      </c>
      <c r="G463" s="79">
        <v>91.18</v>
      </c>
    </row>
    <row r="464">
      <c r="A464" s="6">
        <v>129.0</v>
      </c>
      <c r="B464" s="76" t="str">
        <f>IFERROR(VLOOKUP($A464,EVENTO!$A$2:$C$4999,2,FALSE),"")</f>
        <v>ADITIVO DE PRAZO</v>
      </c>
      <c r="C464" s="76" t="str">
        <f>IFERROR(VLOOKUP($A464,EVENTO!$A$2:$C$4999,3,FALSE),"")</f>
        <v>PREF. MUNICIPAL DE ARACATI - SEGURANÇA CIDADÃ - 018-2022</v>
      </c>
      <c r="D464" s="78" t="s">
        <v>1458</v>
      </c>
      <c r="E464" s="6" t="s">
        <v>1535</v>
      </c>
      <c r="F464" s="78">
        <v>1.0</v>
      </c>
      <c r="G464" s="79">
        <v>344.75</v>
      </c>
    </row>
    <row r="465">
      <c r="A465" s="6">
        <v>129.0</v>
      </c>
      <c r="B465" s="76" t="str">
        <f>IFERROR(VLOOKUP($A465,EVENTO!$A$2:$C$4999,2,FALSE),"")</f>
        <v>ADITIVO DE PRAZO</v>
      </c>
      <c r="C465" s="76" t="str">
        <f>IFERROR(VLOOKUP($A465,EVENTO!$A$2:$C$4999,3,FALSE),"")</f>
        <v>PREF. MUNICIPAL DE ARACATI - SEGURANÇA CIDADÃ - 018-2022</v>
      </c>
      <c r="D465" s="78" t="s">
        <v>1546</v>
      </c>
      <c r="E465" s="6" t="s">
        <v>1547</v>
      </c>
      <c r="F465" s="78">
        <v>2.0</v>
      </c>
      <c r="G465" s="79">
        <v>270.39</v>
      </c>
    </row>
    <row r="466">
      <c r="A466" s="6">
        <v>129.0</v>
      </c>
      <c r="B466" s="76" t="str">
        <f>IFERROR(VLOOKUP($A466,EVENTO!$A$2:$C$4999,2,FALSE),"")</f>
        <v>ADITIVO DE PRAZO</v>
      </c>
      <c r="C466" s="76" t="str">
        <f>IFERROR(VLOOKUP($A466,EVENTO!$A$2:$C$4999,3,FALSE),"")</f>
        <v>PREF. MUNICIPAL DE ARACATI - SEGURANÇA CIDADÃ - 018-2022</v>
      </c>
      <c r="D466" s="78" t="s">
        <v>1456</v>
      </c>
      <c r="E466" s="6" t="s">
        <v>1548</v>
      </c>
      <c r="F466" s="78">
        <v>1.0</v>
      </c>
      <c r="G466" s="79">
        <v>387.36</v>
      </c>
    </row>
    <row r="467">
      <c r="A467" s="6">
        <v>129.0</v>
      </c>
      <c r="B467" s="76" t="str">
        <f>IFERROR(VLOOKUP($A467,EVENTO!$A$2:$C$4999,2,FALSE),"")</f>
        <v>ADITIVO DE PRAZO</v>
      </c>
      <c r="C467" s="76" t="str">
        <f>IFERROR(VLOOKUP($A467,EVENTO!$A$2:$C$4999,3,FALSE),"")</f>
        <v>PREF. MUNICIPAL DE ARACATI - SEGURANÇA CIDADÃ - 018-2022</v>
      </c>
      <c r="D467" s="78" t="s">
        <v>1549</v>
      </c>
      <c r="E467" s="6" t="s">
        <v>1550</v>
      </c>
      <c r="F467" s="78">
        <v>3.0</v>
      </c>
      <c r="G467" s="79">
        <v>221.78</v>
      </c>
    </row>
    <row r="468">
      <c r="A468" s="6">
        <v>129.0</v>
      </c>
      <c r="B468" s="76" t="str">
        <f>IFERROR(VLOOKUP($A468,EVENTO!$A$2:$C$4999,2,FALSE),"")</f>
        <v>ADITIVO DE PRAZO</v>
      </c>
      <c r="C468" s="76" t="str">
        <f>IFERROR(VLOOKUP($A468,EVENTO!$A$2:$C$4999,3,FALSE),"")</f>
        <v>PREF. MUNICIPAL DE ARACATI - SEGURANÇA CIDADÃ - 018-2022</v>
      </c>
      <c r="D468" s="78" t="s">
        <v>1551</v>
      </c>
      <c r="E468" s="6" t="s">
        <v>1552</v>
      </c>
      <c r="F468" s="78">
        <v>3.0</v>
      </c>
      <c r="G468" s="79">
        <v>173.93</v>
      </c>
    </row>
    <row r="469">
      <c r="A469" s="6">
        <v>129.0</v>
      </c>
      <c r="B469" s="76" t="str">
        <f>IFERROR(VLOOKUP($A469,EVENTO!$A$2:$C$4999,2,FALSE),"")</f>
        <v>ADITIVO DE PRAZO</v>
      </c>
      <c r="C469" s="76" t="str">
        <f>IFERROR(VLOOKUP($A469,EVENTO!$A$2:$C$4999,3,FALSE),"")</f>
        <v>PREF. MUNICIPAL DE ARACATI - SEGURANÇA CIDADÃ - 018-2022</v>
      </c>
      <c r="D469" s="87" t="s">
        <v>1553</v>
      </c>
      <c r="F469" s="78">
        <v>1.0</v>
      </c>
      <c r="G469" s="79">
        <v>286.34</v>
      </c>
    </row>
    <row r="470">
      <c r="A470" s="6">
        <v>129.0</v>
      </c>
      <c r="B470" s="76" t="str">
        <f>IFERROR(VLOOKUP($A470,EVENTO!$A$2:$C$4999,2,FALSE),"")</f>
        <v>ADITIVO DE PRAZO</v>
      </c>
      <c r="C470" s="76" t="str">
        <f>IFERROR(VLOOKUP($A470,EVENTO!$A$2:$C$4999,3,FALSE),"")</f>
        <v>PREF. MUNICIPAL DE ARACATI - SEGURANÇA CIDADÃ - 018-2022</v>
      </c>
      <c r="D470" s="87" t="s">
        <v>1487</v>
      </c>
      <c r="F470" s="78">
        <v>2.0</v>
      </c>
      <c r="G470" s="79">
        <v>234.7</v>
      </c>
    </row>
    <row r="471">
      <c r="A471" s="6">
        <v>129.0</v>
      </c>
      <c r="B471" s="76" t="str">
        <f>IFERROR(VLOOKUP($A471,EVENTO!$A$2:$C$4999,2,FALSE),"")</f>
        <v>ADITIVO DE PRAZO</v>
      </c>
      <c r="C471" s="76" t="str">
        <f>IFERROR(VLOOKUP($A471,EVENTO!$A$2:$C$4999,3,FALSE),"")</f>
        <v>PREF. MUNICIPAL DE ARACATI - SEGURANÇA CIDADÃ - 018-2022</v>
      </c>
      <c r="D471" s="87" t="s">
        <v>1556</v>
      </c>
      <c r="F471" s="78">
        <v>2.0</v>
      </c>
      <c r="G471" s="79">
        <v>148.11</v>
      </c>
    </row>
    <row r="472">
      <c r="A472" s="6">
        <v>129.0</v>
      </c>
      <c r="B472" s="76" t="str">
        <f>IFERROR(VLOOKUP($A472,EVENTO!$A$2:$C$4999,2,FALSE),"")</f>
        <v>ADITIVO DE PRAZO</v>
      </c>
      <c r="C472" s="76" t="str">
        <f>IFERROR(VLOOKUP($A472,EVENTO!$A$2:$C$4999,3,FALSE),"")</f>
        <v>PREF. MUNICIPAL DE ARACATI - SEGURANÇA CIDADÃ - 018-2022</v>
      </c>
      <c r="D472" s="78" t="s">
        <v>1560</v>
      </c>
      <c r="F472" s="78">
        <v>1.0</v>
      </c>
      <c r="G472" s="79">
        <v>50.3</v>
      </c>
    </row>
    <row r="473">
      <c r="A473" s="6">
        <v>129.0</v>
      </c>
      <c r="B473" s="76" t="str">
        <f>IFERROR(VLOOKUP($A473,EVENTO!$A$2:$C$4999,2,FALSE),"")</f>
        <v>ADITIVO DE PRAZO</v>
      </c>
      <c r="C473" s="76" t="str">
        <f>IFERROR(VLOOKUP($A473,EVENTO!$A$2:$C$4999,3,FALSE),"")</f>
        <v>PREF. MUNICIPAL DE ARACATI - SEGURANÇA CIDADÃ - 018-2022</v>
      </c>
      <c r="D473" s="78" t="s">
        <v>1504</v>
      </c>
      <c r="F473" s="78">
        <v>1.0</v>
      </c>
      <c r="G473" s="79">
        <v>41.95</v>
      </c>
    </row>
    <row r="474">
      <c r="A474" s="6">
        <v>129.0</v>
      </c>
      <c r="B474" s="76" t="str">
        <f>IFERROR(VLOOKUP($A474,EVENTO!$A$2:$C$4999,2,FALSE),"")</f>
        <v>ADITIVO DE PRAZO</v>
      </c>
      <c r="C474" s="76" t="str">
        <f>IFERROR(VLOOKUP($A474,EVENTO!$A$2:$C$4999,3,FALSE),"")</f>
        <v>PREF. MUNICIPAL DE ARACATI - SEGURANÇA CIDADÃ - 018-2022</v>
      </c>
      <c r="D474" s="78" t="s">
        <v>1557</v>
      </c>
      <c r="F474" s="78">
        <v>1.0</v>
      </c>
      <c r="G474" s="79">
        <v>91.18</v>
      </c>
    </row>
    <row r="475">
      <c r="A475" s="6">
        <v>134.0</v>
      </c>
      <c r="B475" s="76" t="str">
        <f>IFERROR(VLOOKUP($A475,EVENTO!$A$2:$C$4999,2,FALSE),"")</f>
        <v>CADASTRO</v>
      </c>
      <c r="C475" s="76" t="str">
        <f>IFERROR(VLOOKUP($A475,EVENTO!$A$2:$C$4999,3,FALSE),"")</f>
        <v>PREFEITURA MUNICIPAL DE MOCOCA </v>
      </c>
      <c r="D475" s="78" t="s">
        <v>1552</v>
      </c>
      <c r="E475" s="6" t="s">
        <v>1566</v>
      </c>
      <c r="F475" s="78">
        <v>168.0</v>
      </c>
      <c r="G475" s="79">
        <v>123.0</v>
      </c>
    </row>
    <row r="476">
      <c r="A476" s="6">
        <v>133.0</v>
      </c>
      <c r="B476" s="76" t="str">
        <f>IFERROR(VLOOKUP($A476,EVENTO!$A$2:$C$4999,2,FALSE),"")</f>
        <v>CADASTRO</v>
      </c>
      <c r="C476" s="76" t="str">
        <f>IFERROR(VLOOKUP($A476,EVENTO!$A$2:$C$4999,3,FALSE),"")</f>
        <v>PREFEITURA MUNICIPAL DE MARANGUAPE - GABINETE</v>
      </c>
      <c r="D476" s="78" t="s">
        <v>1458</v>
      </c>
      <c r="E476" s="6" t="s">
        <v>1567</v>
      </c>
      <c r="F476" s="78">
        <v>10.0</v>
      </c>
      <c r="G476" s="79">
        <v>15877.2</v>
      </c>
    </row>
    <row r="477">
      <c r="A477" s="6">
        <v>133.0</v>
      </c>
      <c r="B477" s="76" t="str">
        <f>IFERROR(VLOOKUP($A477,EVENTO!$A$2:$C$4999,2,FALSE),"")</f>
        <v>CADASTRO</v>
      </c>
      <c r="C477" s="76" t="str">
        <f>IFERROR(VLOOKUP($A477,EVENTO!$A$2:$C$4999,3,FALSE),"")</f>
        <v>PREFEITURA MUNICIPAL DE MARANGUAPE - GABINETE</v>
      </c>
      <c r="D477" s="78" t="s">
        <v>1544</v>
      </c>
      <c r="E477" s="6" t="s">
        <v>1568</v>
      </c>
      <c r="F477" s="78">
        <v>5.0</v>
      </c>
      <c r="G477" s="79">
        <v>9976.2</v>
      </c>
    </row>
    <row r="478">
      <c r="A478" s="6">
        <v>133.0</v>
      </c>
      <c r="B478" s="76" t="str">
        <f>IFERROR(VLOOKUP($A478,EVENTO!$A$2:$C$4999,2,FALSE),"")</f>
        <v>CADASTRO</v>
      </c>
      <c r="C478" s="76" t="str">
        <f>IFERROR(VLOOKUP($A478,EVENTO!$A$2:$C$4999,3,FALSE),"")</f>
        <v>PREFEITURA MUNICIPAL DE MARANGUAPE - GABINETE</v>
      </c>
      <c r="D478" s="78" t="s">
        <v>1549</v>
      </c>
      <c r="E478" s="6" t="s">
        <v>1569</v>
      </c>
      <c r="F478" s="78">
        <v>40.0</v>
      </c>
      <c r="G478" s="79">
        <v>50788.8</v>
      </c>
    </row>
    <row r="479">
      <c r="A479" s="6">
        <v>130.0</v>
      </c>
      <c r="B479" s="76" t="str">
        <f>IFERROR(VLOOKUP($A479,EVENTO!$A$2:$C$4999,2,FALSE),"")</f>
        <v>ADITIVO DE PRAZO</v>
      </c>
      <c r="C479" s="76" t="str">
        <f>IFERROR(VLOOKUP($A479,EVENTO!$A$2:$C$4999,3,FALSE),"")</f>
        <v>PREF. MUNICIPAL DE ARACATI - SEGURANÇA CIDADÃ - 018-2022</v>
      </c>
      <c r="D479" s="78" t="s">
        <v>1458</v>
      </c>
      <c r="E479" s="6" t="s">
        <v>1535</v>
      </c>
      <c r="F479" s="78">
        <v>1.0</v>
      </c>
      <c r="G479" s="79">
        <v>344.75</v>
      </c>
    </row>
    <row r="480">
      <c r="A480" s="6">
        <v>130.0</v>
      </c>
      <c r="B480" s="76" t="str">
        <f>IFERROR(VLOOKUP($A480,EVENTO!$A$2:$C$4999,2,FALSE),"")</f>
        <v>ADITIVO DE PRAZO</v>
      </c>
      <c r="C480" s="76" t="str">
        <f>IFERROR(VLOOKUP($A480,EVENTO!$A$2:$C$4999,3,FALSE),"")</f>
        <v>PREF. MUNICIPAL DE ARACATI - SEGURANÇA CIDADÃ - 018-2022</v>
      </c>
      <c r="D480" s="78" t="s">
        <v>1546</v>
      </c>
      <c r="E480" s="6" t="s">
        <v>1547</v>
      </c>
      <c r="F480" s="78">
        <v>2.0</v>
      </c>
      <c r="G480" s="79">
        <v>270.39</v>
      </c>
    </row>
    <row r="481">
      <c r="A481" s="6">
        <v>130.0</v>
      </c>
      <c r="B481" s="76" t="str">
        <f>IFERROR(VLOOKUP($A481,EVENTO!$A$2:$C$4999,2,FALSE),"")</f>
        <v>ADITIVO DE PRAZO</v>
      </c>
      <c r="C481" s="76" t="str">
        <f>IFERROR(VLOOKUP($A481,EVENTO!$A$2:$C$4999,3,FALSE),"")</f>
        <v>PREF. MUNICIPAL DE ARACATI - SEGURANÇA CIDADÃ - 018-2022</v>
      </c>
      <c r="D481" s="78" t="s">
        <v>1456</v>
      </c>
      <c r="E481" s="6" t="s">
        <v>1548</v>
      </c>
      <c r="F481" s="78">
        <v>1.0</v>
      </c>
      <c r="G481" s="79">
        <v>387.36</v>
      </c>
    </row>
    <row r="482">
      <c r="A482" s="6">
        <v>130.0</v>
      </c>
      <c r="B482" s="76" t="str">
        <f>IFERROR(VLOOKUP($A482,EVENTO!$A$2:$C$4999,2,FALSE),"")</f>
        <v>ADITIVO DE PRAZO</v>
      </c>
      <c r="C482" s="76" t="str">
        <f>IFERROR(VLOOKUP($A482,EVENTO!$A$2:$C$4999,3,FALSE),"")</f>
        <v>PREF. MUNICIPAL DE ARACATI - SEGURANÇA CIDADÃ - 018-2022</v>
      </c>
      <c r="D482" s="78" t="s">
        <v>1549</v>
      </c>
      <c r="E482" s="6" t="s">
        <v>1550</v>
      </c>
      <c r="F482" s="78">
        <v>3.0</v>
      </c>
      <c r="G482" s="79">
        <v>221.78</v>
      </c>
    </row>
    <row r="483">
      <c r="A483" s="6">
        <v>130.0</v>
      </c>
      <c r="B483" s="76" t="str">
        <f>IFERROR(VLOOKUP($A483,EVENTO!$A$2:$C$4999,2,FALSE),"")</f>
        <v>ADITIVO DE PRAZO</v>
      </c>
      <c r="C483" s="76" t="str">
        <f>IFERROR(VLOOKUP($A483,EVENTO!$A$2:$C$4999,3,FALSE),"")</f>
        <v>PREF. MUNICIPAL DE ARACATI - SEGURANÇA CIDADÃ - 018-2022</v>
      </c>
      <c r="D483" s="78" t="s">
        <v>1551</v>
      </c>
      <c r="E483" s="6" t="s">
        <v>1552</v>
      </c>
      <c r="F483" s="78">
        <v>3.0</v>
      </c>
      <c r="G483" s="79">
        <v>173.93</v>
      </c>
    </row>
    <row r="484">
      <c r="A484" s="6">
        <v>130.0</v>
      </c>
      <c r="B484" s="76" t="str">
        <f>IFERROR(VLOOKUP($A484,EVENTO!$A$2:$C$4999,2,FALSE),"")</f>
        <v>ADITIVO DE PRAZO</v>
      </c>
      <c r="C484" s="76" t="str">
        <f>IFERROR(VLOOKUP($A484,EVENTO!$A$2:$C$4999,3,FALSE),"")</f>
        <v>PREF. MUNICIPAL DE ARACATI - SEGURANÇA CIDADÃ - 018-2022</v>
      </c>
      <c r="D484" s="87" t="s">
        <v>1553</v>
      </c>
      <c r="F484" s="78">
        <v>1.0</v>
      </c>
      <c r="G484" s="79">
        <v>286.34</v>
      </c>
    </row>
    <row r="485">
      <c r="A485" s="6">
        <v>130.0</v>
      </c>
      <c r="B485" s="76" t="str">
        <f>IFERROR(VLOOKUP($A485,EVENTO!$A$2:$C$4999,2,FALSE),"")</f>
        <v>ADITIVO DE PRAZO</v>
      </c>
      <c r="C485" s="76" t="str">
        <f>IFERROR(VLOOKUP($A485,EVENTO!$A$2:$C$4999,3,FALSE),"")</f>
        <v>PREF. MUNICIPAL DE ARACATI - SEGURANÇA CIDADÃ - 018-2022</v>
      </c>
      <c r="D485" s="87" t="s">
        <v>1487</v>
      </c>
      <c r="F485" s="78">
        <v>2.0</v>
      </c>
      <c r="G485" s="79">
        <v>234.7</v>
      </c>
    </row>
    <row r="486">
      <c r="A486" s="6">
        <v>130.0</v>
      </c>
      <c r="B486" s="76" t="str">
        <f>IFERROR(VLOOKUP($A486,EVENTO!$A$2:$C$4999,2,FALSE),"")</f>
        <v>ADITIVO DE PRAZO</v>
      </c>
      <c r="C486" s="76" t="str">
        <f>IFERROR(VLOOKUP($A486,EVENTO!$A$2:$C$4999,3,FALSE),"")</f>
        <v>PREF. MUNICIPAL DE ARACATI - SEGURANÇA CIDADÃ - 018-2022</v>
      </c>
      <c r="D486" s="87" t="s">
        <v>1556</v>
      </c>
      <c r="F486" s="78">
        <v>2.0</v>
      </c>
      <c r="G486" s="79">
        <v>148.11</v>
      </c>
    </row>
    <row r="487">
      <c r="A487" s="6">
        <v>130.0</v>
      </c>
      <c r="B487" s="76" t="str">
        <f>IFERROR(VLOOKUP($A487,EVENTO!$A$2:$C$4999,2,FALSE),"")</f>
        <v>ADITIVO DE PRAZO</v>
      </c>
      <c r="C487" s="76" t="str">
        <f>IFERROR(VLOOKUP($A487,EVENTO!$A$2:$C$4999,3,FALSE),"")</f>
        <v>PREF. MUNICIPAL DE ARACATI - SEGURANÇA CIDADÃ - 018-2022</v>
      </c>
      <c r="D487" s="78" t="s">
        <v>1560</v>
      </c>
      <c r="F487" s="78">
        <v>1.0</v>
      </c>
      <c r="G487" s="79">
        <v>50.3</v>
      </c>
    </row>
    <row r="488">
      <c r="A488" s="6">
        <v>130.0</v>
      </c>
      <c r="B488" s="76" t="str">
        <f>IFERROR(VLOOKUP($A488,EVENTO!$A$2:$C$4999,2,FALSE),"")</f>
        <v>ADITIVO DE PRAZO</v>
      </c>
      <c r="C488" s="76" t="str">
        <f>IFERROR(VLOOKUP($A488,EVENTO!$A$2:$C$4999,3,FALSE),"")</f>
        <v>PREF. MUNICIPAL DE ARACATI - SEGURANÇA CIDADÃ - 018-2022</v>
      </c>
      <c r="D488" s="78" t="s">
        <v>1504</v>
      </c>
      <c r="F488" s="78">
        <v>1.0</v>
      </c>
      <c r="G488" s="79">
        <v>41.95</v>
      </c>
    </row>
    <row r="489">
      <c r="A489" s="6">
        <v>130.0</v>
      </c>
      <c r="B489" s="76" t="str">
        <f>IFERROR(VLOOKUP($A489,EVENTO!$A$2:$C$4999,2,FALSE),"")</f>
        <v>ADITIVO DE PRAZO</v>
      </c>
      <c r="C489" s="76" t="str">
        <f>IFERROR(VLOOKUP($A489,EVENTO!$A$2:$C$4999,3,FALSE),"")</f>
        <v>PREF. MUNICIPAL DE ARACATI - SEGURANÇA CIDADÃ - 018-2022</v>
      </c>
      <c r="D489" s="78" t="s">
        <v>1557</v>
      </c>
      <c r="F489" s="78">
        <v>1.0</v>
      </c>
      <c r="G489" s="79">
        <v>91.18</v>
      </c>
    </row>
    <row r="490">
      <c r="A490" s="6">
        <v>131.0</v>
      </c>
      <c r="B490" s="76" t="str">
        <f>IFERROR(VLOOKUP($A490,EVENTO!$A$2:$C$4999,2,FALSE),"")</f>
        <v>ADITIVO DE PRAZO</v>
      </c>
      <c r="C490" s="76" t="str">
        <f>IFERROR(VLOOKUP($A490,EVENTO!$A$2:$C$4999,3,FALSE),"")</f>
        <v>PREF. MUNICIPAL DE ARACATI - SEGURANÇA CIDADÃ - 018-2022</v>
      </c>
      <c r="D490" s="78" t="s">
        <v>1458</v>
      </c>
      <c r="E490" s="6" t="s">
        <v>1535</v>
      </c>
      <c r="F490" s="78">
        <v>1.0</v>
      </c>
      <c r="G490" s="79">
        <v>344.75</v>
      </c>
    </row>
    <row r="491">
      <c r="A491" s="6">
        <v>131.0</v>
      </c>
      <c r="B491" s="76" t="str">
        <f>IFERROR(VLOOKUP($A491,EVENTO!$A$2:$C$4999,2,FALSE),"")</f>
        <v>ADITIVO DE PRAZO</v>
      </c>
      <c r="C491" s="76" t="str">
        <f>IFERROR(VLOOKUP($A491,EVENTO!$A$2:$C$4999,3,FALSE),"")</f>
        <v>PREF. MUNICIPAL DE ARACATI - SEGURANÇA CIDADÃ - 018-2022</v>
      </c>
      <c r="D491" s="78" t="s">
        <v>1546</v>
      </c>
      <c r="E491" s="6" t="s">
        <v>1547</v>
      </c>
      <c r="F491" s="78">
        <v>2.0</v>
      </c>
      <c r="G491" s="79">
        <v>270.39</v>
      </c>
    </row>
    <row r="492">
      <c r="A492" s="6">
        <v>131.0</v>
      </c>
      <c r="B492" s="76" t="str">
        <f>IFERROR(VLOOKUP($A492,EVENTO!$A$2:$C$4999,2,FALSE),"")</f>
        <v>ADITIVO DE PRAZO</v>
      </c>
      <c r="C492" s="76" t="str">
        <f>IFERROR(VLOOKUP($A492,EVENTO!$A$2:$C$4999,3,FALSE),"")</f>
        <v>PREF. MUNICIPAL DE ARACATI - SEGURANÇA CIDADÃ - 018-2022</v>
      </c>
      <c r="D492" s="78" t="s">
        <v>1456</v>
      </c>
      <c r="E492" s="6" t="s">
        <v>1548</v>
      </c>
      <c r="F492" s="78">
        <v>1.0</v>
      </c>
      <c r="G492" s="79">
        <v>387.36</v>
      </c>
    </row>
    <row r="493">
      <c r="A493" s="6">
        <v>131.0</v>
      </c>
      <c r="B493" s="76" t="str">
        <f>IFERROR(VLOOKUP($A493,EVENTO!$A$2:$C$4999,2,FALSE),"")</f>
        <v>ADITIVO DE PRAZO</v>
      </c>
      <c r="C493" s="76" t="str">
        <f>IFERROR(VLOOKUP($A493,EVENTO!$A$2:$C$4999,3,FALSE),"")</f>
        <v>PREF. MUNICIPAL DE ARACATI - SEGURANÇA CIDADÃ - 018-2022</v>
      </c>
      <c r="D493" s="78" t="s">
        <v>1549</v>
      </c>
      <c r="E493" s="6" t="s">
        <v>1550</v>
      </c>
      <c r="F493" s="78">
        <v>3.0</v>
      </c>
      <c r="G493" s="79">
        <v>221.78</v>
      </c>
    </row>
    <row r="494">
      <c r="A494" s="6">
        <v>131.0</v>
      </c>
      <c r="B494" s="76" t="str">
        <f>IFERROR(VLOOKUP($A494,EVENTO!$A$2:$C$4999,2,FALSE),"")</f>
        <v>ADITIVO DE PRAZO</v>
      </c>
      <c r="C494" s="76" t="str">
        <f>IFERROR(VLOOKUP($A494,EVENTO!$A$2:$C$4999,3,FALSE),"")</f>
        <v>PREF. MUNICIPAL DE ARACATI - SEGURANÇA CIDADÃ - 018-2022</v>
      </c>
      <c r="D494" s="78" t="s">
        <v>1551</v>
      </c>
      <c r="E494" s="6" t="s">
        <v>1552</v>
      </c>
      <c r="F494" s="78">
        <v>3.0</v>
      </c>
      <c r="G494" s="79">
        <v>173.93</v>
      </c>
    </row>
    <row r="495">
      <c r="A495" s="6">
        <v>131.0</v>
      </c>
      <c r="B495" s="76" t="str">
        <f>IFERROR(VLOOKUP($A495,EVENTO!$A$2:$C$4999,2,FALSE),"")</f>
        <v>ADITIVO DE PRAZO</v>
      </c>
      <c r="C495" s="76" t="str">
        <f>IFERROR(VLOOKUP($A495,EVENTO!$A$2:$C$4999,3,FALSE),"")</f>
        <v>PREF. MUNICIPAL DE ARACATI - SEGURANÇA CIDADÃ - 018-2022</v>
      </c>
      <c r="D495" s="87" t="s">
        <v>1553</v>
      </c>
      <c r="F495" s="78">
        <v>1.0</v>
      </c>
      <c r="G495" s="79">
        <v>286.34</v>
      </c>
    </row>
    <row r="496">
      <c r="A496" s="6">
        <v>131.0</v>
      </c>
      <c r="B496" s="76" t="str">
        <f>IFERROR(VLOOKUP($A496,EVENTO!$A$2:$C$4999,2,FALSE),"")</f>
        <v>ADITIVO DE PRAZO</v>
      </c>
      <c r="C496" s="76" t="str">
        <f>IFERROR(VLOOKUP($A496,EVENTO!$A$2:$C$4999,3,FALSE),"")</f>
        <v>PREF. MUNICIPAL DE ARACATI - SEGURANÇA CIDADÃ - 018-2022</v>
      </c>
      <c r="D496" s="87" t="s">
        <v>1487</v>
      </c>
      <c r="F496" s="78">
        <v>2.0</v>
      </c>
      <c r="G496" s="79">
        <v>234.7</v>
      </c>
    </row>
    <row r="497">
      <c r="A497" s="6">
        <v>131.0</v>
      </c>
      <c r="B497" s="76" t="str">
        <f>IFERROR(VLOOKUP($A497,EVENTO!$A$2:$C$4999,2,FALSE),"")</f>
        <v>ADITIVO DE PRAZO</v>
      </c>
      <c r="C497" s="76" t="str">
        <f>IFERROR(VLOOKUP($A497,EVENTO!$A$2:$C$4999,3,FALSE),"")</f>
        <v>PREF. MUNICIPAL DE ARACATI - SEGURANÇA CIDADÃ - 018-2022</v>
      </c>
      <c r="D497" s="87" t="s">
        <v>1556</v>
      </c>
      <c r="F497" s="78">
        <v>2.0</v>
      </c>
      <c r="G497" s="79">
        <v>148.11</v>
      </c>
    </row>
    <row r="498">
      <c r="A498" s="6">
        <v>131.0</v>
      </c>
      <c r="B498" s="76" t="str">
        <f>IFERROR(VLOOKUP($A498,EVENTO!$A$2:$C$4999,2,FALSE),"")</f>
        <v>ADITIVO DE PRAZO</v>
      </c>
      <c r="C498" s="76" t="str">
        <f>IFERROR(VLOOKUP($A498,EVENTO!$A$2:$C$4999,3,FALSE),"")</f>
        <v>PREF. MUNICIPAL DE ARACATI - SEGURANÇA CIDADÃ - 018-2022</v>
      </c>
      <c r="D498" s="78" t="s">
        <v>1560</v>
      </c>
      <c r="F498" s="78">
        <v>1.0</v>
      </c>
      <c r="G498" s="79">
        <v>50.3</v>
      </c>
    </row>
    <row r="499">
      <c r="A499" s="6">
        <v>131.0</v>
      </c>
      <c r="B499" s="76" t="str">
        <f>IFERROR(VLOOKUP($A499,EVENTO!$A$2:$C$4999,2,FALSE),"")</f>
        <v>ADITIVO DE PRAZO</v>
      </c>
      <c r="C499" s="76" t="str">
        <f>IFERROR(VLOOKUP($A499,EVENTO!$A$2:$C$4999,3,FALSE),"")</f>
        <v>PREF. MUNICIPAL DE ARACATI - SEGURANÇA CIDADÃ - 018-2022</v>
      </c>
      <c r="D499" s="78" t="s">
        <v>1504</v>
      </c>
      <c r="F499" s="78">
        <v>1.0</v>
      </c>
      <c r="G499" s="79">
        <v>41.95</v>
      </c>
    </row>
    <row r="500">
      <c r="A500" s="6">
        <v>131.0</v>
      </c>
      <c r="B500" s="76" t="str">
        <f>IFERROR(VLOOKUP($A500,EVENTO!$A$2:$C$4999,2,FALSE),"")</f>
        <v>ADITIVO DE PRAZO</v>
      </c>
      <c r="C500" s="76" t="str">
        <f>IFERROR(VLOOKUP($A500,EVENTO!$A$2:$C$4999,3,FALSE),"")</f>
        <v>PREF. MUNICIPAL DE ARACATI - SEGURANÇA CIDADÃ - 018-2022</v>
      </c>
      <c r="D500" s="78" t="s">
        <v>1557</v>
      </c>
      <c r="F500" s="78">
        <v>1.0</v>
      </c>
      <c r="G500" s="79">
        <v>91.18</v>
      </c>
    </row>
    <row r="501">
      <c r="A501" s="6">
        <v>132.0</v>
      </c>
      <c r="B501" s="76" t="str">
        <f>IFERROR(VLOOKUP($A501,EVENTO!$A$2:$C$4999,2,FALSE),"")</f>
        <v>CADASTRO</v>
      </c>
      <c r="C501" s="76" t="str">
        <f>IFERROR(VLOOKUP($A501,EVENTO!$A$2:$C$4999,3,FALSE),"")</f>
        <v>PREF. MUNICIPAL DE ARACATI - DESENVOLVIMENTO SOCIAL - 021-2022</v>
      </c>
      <c r="D501" s="78" t="s">
        <v>1458</v>
      </c>
      <c r="E501" s="6" t="s">
        <v>1535</v>
      </c>
      <c r="F501" s="78">
        <v>5.0</v>
      </c>
      <c r="G501" s="79">
        <v>344.75</v>
      </c>
    </row>
    <row r="502">
      <c r="A502" s="6">
        <v>132.0</v>
      </c>
      <c r="B502" s="76" t="str">
        <f>IFERROR(VLOOKUP($A502,EVENTO!$A$2:$C$4999,2,FALSE),"")</f>
        <v>CADASTRO</v>
      </c>
      <c r="C502" s="76" t="str">
        <f>IFERROR(VLOOKUP($A502,EVENTO!$A$2:$C$4999,3,FALSE),"")</f>
        <v>PREF. MUNICIPAL DE ARACATI - DESENVOLVIMENTO SOCIAL - 021-2022</v>
      </c>
      <c r="D502" s="78" t="s">
        <v>1546</v>
      </c>
      <c r="E502" s="6" t="s">
        <v>1547</v>
      </c>
      <c r="F502" s="78">
        <v>5.0</v>
      </c>
      <c r="G502" s="79">
        <v>270.39</v>
      </c>
    </row>
    <row r="503">
      <c r="A503" s="6">
        <v>132.0</v>
      </c>
      <c r="B503" s="76" t="str">
        <f>IFERROR(VLOOKUP($A503,EVENTO!$A$2:$C$4999,2,FALSE),"")</f>
        <v>CADASTRO</v>
      </c>
      <c r="C503" s="76" t="str">
        <f>IFERROR(VLOOKUP($A503,EVENTO!$A$2:$C$4999,3,FALSE),"")</f>
        <v>PREF. MUNICIPAL DE ARACATI - DESENVOLVIMENTO SOCIAL - 021-2022</v>
      </c>
      <c r="D503" s="78" t="s">
        <v>1570</v>
      </c>
      <c r="F503" s="78">
        <v>1.0</v>
      </c>
      <c r="G503" s="79">
        <v>50.3</v>
      </c>
    </row>
    <row r="504">
      <c r="A504" s="6">
        <v>132.0</v>
      </c>
      <c r="B504" s="76" t="str">
        <f>IFERROR(VLOOKUP($A504,EVENTO!$A$2:$C$4999,2,FALSE),"")</f>
        <v>CADASTRO</v>
      </c>
      <c r="C504" s="76" t="str">
        <f>IFERROR(VLOOKUP($A504,EVENTO!$A$2:$C$4999,3,FALSE),"")</f>
        <v>PREF. MUNICIPAL DE ARACATI - DESENVOLVIMENTO SOCIAL - 021-2022</v>
      </c>
      <c r="D504" s="78" t="s">
        <v>1549</v>
      </c>
      <c r="E504" s="6" t="s">
        <v>1550</v>
      </c>
      <c r="F504" s="78">
        <v>14.0</v>
      </c>
      <c r="G504" s="79">
        <v>221.78</v>
      </c>
    </row>
    <row r="505">
      <c r="A505" s="6">
        <v>132.0</v>
      </c>
      <c r="B505" s="76" t="str">
        <f>IFERROR(VLOOKUP($A505,EVENTO!$A$2:$C$4999,2,FALSE),"")</f>
        <v>CADASTRO</v>
      </c>
      <c r="C505" s="76" t="str">
        <f>IFERROR(VLOOKUP($A505,EVENTO!$A$2:$C$4999,3,FALSE),"")</f>
        <v>PREF. MUNICIPAL DE ARACATI - DESENVOLVIMENTO SOCIAL - 021-2022</v>
      </c>
      <c r="D505" s="78" t="s">
        <v>1551</v>
      </c>
      <c r="E505" s="6" t="s">
        <v>1552</v>
      </c>
      <c r="F505" s="78">
        <v>35.0</v>
      </c>
      <c r="G505" s="79">
        <v>173.93</v>
      </c>
    </row>
    <row r="506">
      <c r="A506" s="6">
        <v>132.0</v>
      </c>
      <c r="B506" s="76" t="str">
        <f>IFERROR(VLOOKUP($A506,EVENTO!$A$2:$C$4999,2,FALSE),"")</f>
        <v>CADASTRO</v>
      </c>
      <c r="C506" s="76" t="str">
        <f>IFERROR(VLOOKUP($A506,EVENTO!$A$2:$C$4999,3,FALSE),"")</f>
        <v>PREF. MUNICIPAL DE ARACATI - DESENVOLVIMENTO SOCIAL - 021-2022</v>
      </c>
      <c r="D506" s="87" t="s">
        <v>1553</v>
      </c>
      <c r="F506" s="78">
        <v>4.0</v>
      </c>
      <c r="G506" s="79">
        <v>286.34</v>
      </c>
    </row>
    <row r="507">
      <c r="A507" s="6">
        <v>132.0</v>
      </c>
      <c r="B507" s="76" t="str">
        <f>IFERROR(VLOOKUP($A507,EVENTO!$A$2:$C$4999,2,FALSE),"")</f>
        <v>CADASTRO</v>
      </c>
      <c r="C507" s="76" t="str">
        <f>IFERROR(VLOOKUP($A507,EVENTO!$A$2:$C$4999,3,FALSE),"")</f>
        <v>PREF. MUNICIPAL DE ARACATI - DESENVOLVIMENTO SOCIAL - 021-2022</v>
      </c>
      <c r="D507" s="87" t="s">
        <v>1487</v>
      </c>
      <c r="F507" s="78">
        <v>8.0</v>
      </c>
      <c r="G507" s="79">
        <v>234.7</v>
      </c>
    </row>
    <row r="508">
      <c r="A508" s="6">
        <v>132.0</v>
      </c>
      <c r="B508" s="76" t="str">
        <f>IFERROR(VLOOKUP($A508,EVENTO!$A$2:$C$4999,2,FALSE),"")</f>
        <v>CADASTRO</v>
      </c>
      <c r="C508" s="76" t="str">
        <f>IFERROR(VLOOKUP($A508,EVENTO!$A$2:$C$4999,3,FALSE),"")</f>
        <v>PREF. MUNICIPAL DE ARACATI - DESENVOLVIMENTO SOCIAL - 021-2022</v>
      </c>
      <c r="D508" s="87" t="s">
        <v>1556</v>
      </c>
      <c r="F508" s="78">
        <v>2.0</v>
      </c>
      <c r="G508" s="79">
        <v>148.11</v>
      </c>
    </row>
    <row r="509">
      <c r="A509" s="6">
        <v>132.0</v>
      </c>
      <c r="B509" s="76" t="str">
        <f>IFERROR(VLOOKUP($A509,EVENTO!$A$2:$C$4999,2,FALSE),"")</f>
        <v>CADASTRO</v>
      </c>
      <c r="C509" s="76" t="str">
        <f>IFERROR(VLOOKUP($A509,EVENTO!$A$2:$C$4999,3,FALSE),"")</f>
        <v>PREF. MUNICIPAL DE ARACATI - DESENVOLVIMENTO SOCIAL - 021-2022</v>
      </c>
      <c r="D509" s="78" t="s">
        <v>1504</v>
      </c>
      <c r="F509" s="78">
        <v>3.0</v>
      </c>
      <c r="G509" s="79">
        <v>13.42</v>
      </c>
    </row>
    <row r="510">
      <c r="A510" s="6">
        <v>140.0</v>
      </c>
      <c r="B510" s="76" t="str">
        <f>IFERROR(VLOOKUP($A510,EVENTO!$A$2:$C$4999,2,FALSE),"")</f>
        <v>CADASTRO</v>
      </c>
      <c r="C510" s="76" t="str">
        <f>IFERROR(VLOOKUP($A510,EVENTO!$A$2:$C$4999,3,FALSE),"")</f>
        <v>PREFEITURA MUNICIPAL DE TIANGUA - SAUDE</v>
      </c>
      <c r="D510" s="78" t="s">
        <v>1550</v>
      </c>
      <c r="E510" s="6" t="s">
        <v>1571</v>
      </c>
      <c r="F510" s="78">
        <v>91.0</v>
      </c>
      <c r="G510" s="79">
        <v>223.59</v>
      </c>
    </row>
    <row r="511">
      <c r="A511" s="6">
        <v>140.0</v>
      </c>
      <c r="B511" s="76" t="str">
        <f>IFERROR(VLOOKUP($A511,EVENTO!$A$2:$C$4999,2,FALSE),"")</f>
        <v>CADASTRO</v>
      </c>
      <c r="C511" s="76" t="str">
        <f>IFERROR(VLOOKUP($A511,EVENTO!$A$2:$C$4999,3,FALSE),"")</f>
        <v>PREFEITURA MUNICIPAL DE TIANGUA - SAUDE</v>
      </c>
      <c r="D511" s="78" t="s">
        <v>1548</v>
      </c>
      <c r="E511" s="6" t="s">
        <v>1572</v>
      </c>
      <c r="F511" s="78">
        <v>91.0</v>
      </c>
      <c r="G511" s="79">
        <v>357.29</v>
      </c>
    </row>
    <row r="512">
      <c r="A512" s="6">
        <v>140.0</v>
      </c>
      <c r="B512" s="76" t="str">
        <f>IFERROR(VLOOKUP($A512,EVENTO!$A$2:$C$4999,2,FALSE),"")</f>
        <v>CADASTRO</v>
      </c>
      <c r="C512" s="76" t="str">
        <f>IFERROR(VLOOKUP($A512,EVENTO!$A$2:$C$4999,3,FALSE),"")</f>
        <v>PREFEITURA MUNICIPAL DE TIANGUA - SAUDE</v>
      </c>
      <c r="D512" s="78" t="s">
        <v>1573</v>
      </c>
      <c r="E512" s="6" t="s">
        <v>1574</v>
      </c>
      <c r="F512" s="78">
        <v>155.0</v>
      </c>
      <c r="G512" s="79">
        <v>146.31</v>
      </c>
    </row>
    <row r="513">
      <c r="A513" s="6">
        <v>140.0</v>
      </c>
      <c r="B513" s="76" t="str">
        <f>IFERROR(VLOOKUP($A513,EVENTO!$A$2:$C$4999,2,FALSE),"")</f>
        <v>CADASTRO</v>
      </c>
      <c r="C513" s="76" t="str">
        <f>IFERROR(VLOOKUP($A513,EVENTO!$A$2:$C$4999,3,FALSE),"")</f>
        <v>PREFEITURA MUNICIPAL DE TIANGUA - SAUDE</v>
      </c>
      <c r="D513" s="78" t="s">
        <v>1575</v>
      </c>
      <c r="E513" s="6" t="s">
        <v>1576</v>
      </c>
      <c r="F513" s="78">
        <v>20.0</v>
      </c>
      <c r="G513" s="79">
        <v>14.25</v>
      </c>
    </row>
    <row r="514">
      <c r="A514" s="6">
        <v>140.0</v>
      </c>
      <c r="B514" s="76" t="str">
        <f>IFERROR(VLOOKUP($A514,EVENTO!$A$2:$C$4999,2,FALSE),"")</f>
        <v>CADASTRO</v>
      </c>
      <c r="C514" s="76" t="str">
        <f>IFERROR(VLOOKUP($A514,EVENTO!$A$2:$C$4999,3,FALSE),"")</f>
        <v>PREFEITURA MUNICIPAL DE TIANGUA - SAUDE</v>
      </c>
      <c r="D514" s="78" t="s">
        <v>1560</v>
      </c>
      <c r="E514" s="6" t="s">
        <v>1577</v>
      </c>
      <c r="F514" s="78">
        <v>15.0</v>
      </c>
      <c r="G514" s="79">
        <v>50.7</v>
      </c>
    </row>
    <row r="515">
      <c r="A515" s="6">
        <v>140.0</v>
      </c>
      <c r="B515" s="76" t="str">
        <f>IFERROR(VLOOKUP($A515,EVENTO!$A$2:$C$4999,2,FALSE),"")</f>
        <v>CADASTRO</v>
      </c>
      <c r="C515" s="76" t="str">
        <f>IFERROR(VLOOKUP($A515,EVENTO!$A$2:$C$4999,3,FALSE),"")</f>
        <v>PREFEITURA MUNICIPAL DE TIANGUA - SAUDE</v>
      </c>
      <c r="D515" s="78" t="s">
        <v>1578</v>
      </c>
      <c r="E515" s="6" t="s">
        <v>1579</v>
      </c>
      <c r="F515" s="78">
        <v>15.0</v>
      </c>
      <c r="G515" s="79">
        <v>105.92</v>
      </c>
    </row>
    <row r="516">
      <c r="A516" s="6">
        <v>140.0</v>
      </c>
      <c r="B516" s="76" t="str">
        <f>IFERROR(VLOOKUP($A516,EVENTO!$A$2:$C$4999,2,FALSE),"")</f>
        <v>CADASTRO</v>
      </c>
      <c r="C516" s="76" t="str">
        <f>IFERROR(VLOOKUP($A516,EVENTO!$A$2:$C$4999,3,FALSE),"")</f>
        <v>PREFEITURA MUNICIPAL DE TIANGUA - SAUDE</v>
      </c>
      <c r="D516" s="78" t="s">
        <v>1580</v>
      </c>
      <c r="E516" s="6" t="s">
        <v>1581</v>
      </c>
      <c r="F516" s="78">
        <v>15.0</v>
      </c>
      <c r="G516" s="79">
        <v>314.22</v>
      </c>
    </row>
    <row r="517">
      <c r="A517" s="6">
        <v>140.0</v>
      </c>
      <c r="B517" s="76" t="str">
        <f>IFERROR(VLOOKUP($A517,EVENTO!$A$2:$C$4999,2,FALSE),"")</f>
        <v>CADASTRO</v>
      </c>
      <c r="C517" s="76" t="str">
        <f>IFERROR(VLOOKUP($A517,EVENTO!$A$2:$C$4999,3,FALSE),"")</f>
        <v>PREFEITURA MUNICIPAL DE TIANGUA - SAUDE</v>
      </c>
      <c r="D517" s="88" t="s">
        <v>1582</v>
      </c>
      <c r="E517" s="6" t="s">
        <v>1583</v>
      </c>
      <c r="F517" s="78">
        <v>100.0</v>
      </c>
      <c r="G517" s="79">
        <v>182.48</v>
      </c>
    </row>
    <row r="518">
      <c r="A518" s="6">
        <v>140.0</v>
      </c>
      <c r="B518" s="76" t="str">
        <f>IFERROR(VLOOKUP($A518,EVENTO!$A$2:$C$4999,2,FALSE),"")</f>
        <v>CADASTRO</v>
      </c>
      <c r="C518" s="76" t="str">
        <f>IFERROR(VLOOKUP($A518,EVENTO!$A$2:$C$4999,3,FALSE),"")</f>
        <v>PREFEITURA MUNICIPAL DE TIANGUA - SAUDE</v>
      </c>
      <c r="D518" s="88" t="s">
        <v>1584</v>
      </c>
      <c r="E518" s="6" t="s">
        <v>1585</v>
      </c>
      <c r="F518" s="78">
        <v>10.0</v>
      </c>
      <c r="G518" s="79">
        <v>296.57</v>
      </c>
    </row>
    <row r="519">
      <c r="A519" s="6">
        <v>140.0</v>
      </c>
      <c r="B519" s="76" t="str">
        <f>IFERROR(VLOOKUP($A519,EVENTO!$A$2:$C$4999,2,FALSE),"")</f>
        <v>CADASTRO</v>
      </c>
      <c r="C519" s="76" t="str">
        <f>IFERROR(VLOOKUP($A519,EVENTO!$A$2:$C$4999,3,FALSE),"")</f>
        <v>PREFEITURA MUNICIPAL DE TIANGUA - SAUDE</v>
      </c>
      <c r="D519" s="78" t="s">
        <v>1586</v>
      </c>
      <c r="E519" s="6" t="s">
        <v>1587</v>
      </c>
      <c r="F519" s="78">
        <v>2.0</v>
      </c>
      <c r="G519" s="79">
        <v>2033.25</v>
      </c>
    </row>
    <row r="520">
      <c r="A520" s="6">
        <v>141.0</v>
      </c>
      <c r="B520" s="76" t="str">
        <f>IFERROR(VLOOKUP($A520,EVENTO!$A$2:$C$4999,2,FALSE),"")</f>
        <v>CADASTRO</v>
      </c>
      <c r="C520" s="76" t="str">
        <f>IFERROR(VLOOKUP($A520,EVENTO!$A$2:$C$4999,3,FALSE),"")</f>
        <v>PREFEITURA MUNICIPAL DE MARANGUAPE - SAUDE</v>
      </c>
      <c r="D520" s="78" t="s">
        <v>1588</v>
      </c>
      <c r="E520" s="6" t="s">
        <v>1588</v>
      </c>
      <c r="F520" s="78">
        <v>5.0</v>
      </c>
      <c r="G520" s="79">
        <v>184.17</v>
      </c>
    </row>
    <row r="521">
      <c r="A521" s="6">
        <v>141.0</v>
      </c>
      <c r="B521" s="76" t="str">
        <f>IFERROR(VLOOKUP($A521,EVENTO!$A$2:$C$4999,2,FALSE),"")</f>
        <v>CADASTRO</v>
      </c>
      <c r="C521" s="76" t="str">
        <f>IFERROR(VLOOKUP($A521,EVENTO!$A$2:$C$4999,3,FALSE),"")</f>
        <v>PREFEITURA MUNICIPAL DE MARANGUAPE - SAUDE</v>
      </c>
      <c r="D521" s="78" t="s">
        <v>1589</v>
      </c>
      <c r="E521" s="6" t="s">
        <v>1589</v>
      </c>
      <c r="F521" s="78">
        <v>10.0</v>
      </c>
      <c r="G521" s="79">
        <v>132.31</v>
      </c>
    </row>
    <row r="522">
      <c r="A522" s="6">
        <v>141.0</v>
      </c>
      <c r="B522" s="76" t="str">
        <f>IFERROR(VLOOKUP($A522,EVENTO!$A$2:$C$4999,2,FALSE),"")</f>
        <v>CADASTRO</v>
      </c>
      <c r="C522" s="76" t="str">
        <f>IFERROR(VLOOKUP($A522,EVENTO!$A$2:$C$4999,3,FALSE),"")</f>
        <v>PREFEITURA MUNICIPAL DE MARANGUAPE - SAUDE</v>
      </c>
      <c r="D522" s="78" t="s">
        <v>1590</v>
      </c>
      <c r="E522" s="6" t="s">
        <v>1590</v>
      </c>
      <c r="F522" s="78">
        <v>50.0</v>
      </c>
      <c r="G522" s="79">
        <v>166.27</v>
      </c>
    </row>
    <row r="523">
      <c r="A523" s="6">
        <v>141.0</v>
      </c>
      <c r="B523" s="76" t="str">
        <f>IFERROR(VLOOKUP($A523,EVENTO!$A$2:$C$4999,2,FALSE),"")</f>
        <v>CADASTRO</v>
      </c>
      <c r="C523" s="76" t="str">
        <f>IFERROR(VLOOKUP($A523,EVENTO!$A$2:$C$4999,3,FALSE),"")</f>
        <v>PREFEITURA MUNICIPAL DE MARANGUAPE - SAUDE</v>
      </c>
      <c r="D523" s="78" t="s">
        <v>1591</v>
      </c>
      <c r="E523" s="6" t="s">
        <v>1591</v>
      </c>
      <c r="F523" s="78">
        <v>30.0</v>
      </c>
      <c r="G523" s="79">
        <v>105.81</v>
      </c>
    </row>
    <row r="524">
      <c r="A524" s="6">
        <v>135.0</v>
      </c>
      <c r="B524" s="76" t="str">
        <f>IFERROR(VLOOKUP($A524,EVENTO!$A$2:$C$4999,2,FALSE),"")</f>
        <v>ADITIVO DE PRAZO</v>
      </c>
      <c r="C524" s="76" t="str">
        <f>IFERROR(VLOOKUP($A524,EVENTO!$A$2:$C$4999,3,FALSE),"")</f>
        <v>PREF. MUNICIPAL DE ARACATI - DESENVOLVIMENTO SOCIAL - 021-2022</v>
      </c>
      <c r="D524" s="78" t="s">
        <v>1458</v>
      </c>
      <c r="E524" s="6" t="s">
        <v>1535</v>
      </c>
      <c r="F524" s="78">
        <v>5.0</v>
      </c>
      <c r="G524" s="79">
        <v>344.75</v>
      </c>
    </row>
    <row r="525">
      <c r="A525" s="6">
        <v>135.0</v>
      </c>
      <c r="B525" s="76" t="str">
        <f>IFERROR(VLOOKUP($A525,EVENTO!$A$2:$C$4999,2,FALSE),"")</f>
        <v>ADITIVO DE PRAZO</v>
      </c>
      <c r="C525" s="76" t="str">
        <f>IFERROR(VLOOKUP($A525,EVENTO!$A$2:$C$4999,3,FALSE),"")</f>
        <v>PREF. MUNICIPAL DE ARACATI - DESENVOLVIMENTO SOCIAL - 021-2022</v>
      </c>
      <c r="D525" s="78" t="s">
        <v>1546</v>
      </c>
      <c r="E525" s="6" t="s">
        <v>1547</v>
      </c>
      <c r="F525" s="78">
        <v>5.0</v>
      </c>
      <c r="G525" s="79">
        <v>270.39</v>
      </c>
    </row>
    <row r="526">
      <c r="A526" s="6">
        <v>135.0</v>
      </c>
      <c r="B526" s="76" t="str">
        <f>IFERROR(VLOOKUP($A526,EVENTO!$A$2:$C$4999,2,FALSE),"")</f>
        <v>ADITIVO DE PRAZO</v>
      </c>
      <c r="C526" s="76" t="str">
        <f>IFERROR(VLOOKUP($A526,EVENTO!$A$2:$C$4999,3,FALSE),"")</f>
        <v>PREF. MUNICIPAL DE ARACATI - DESENVOLVIMENTO SOCIAL - 021-2022</v>
      </c>
      <c r="D526" s="78" t="s">
        <v>1570</v>
      </c>
      <c r="F526" s="78">
        <v>1.0</v>
      </c>
      <c r="G526" s="79">
        <v>50.3</v>
      </c>
    </row>
    <row r="527">
      <c r="A527" s="6">
        <v>135.0</v>
      </c>
      <c r="B527" s="76" t="str">
        <f>IFERROR(VLOOKUP($A527,EVENTO!$A$2:$C$4999,2,FALSE),"")</f>
        <v>ADITIVO DE PRAZO</v>
      </c>
      <c r="C527" s="76" t="str">
        <f>IFERROR(VLOOKUP($A527,EVENTO!$A$2:$C$4999,3,FALSE),"")</f>
        <v>PREF. MUNICIPAL DE ARACATI - DESENVOLVIMENTO SOCIAL - 021-2022</v>
      </c>
      <c r="D527" s="78" t="s">
        <v>1549</v>
      </c>
      <c r="E527" s="6" t="s">
        <v>1550</v>
      </c>
      <c r="F527" s="78">
        <v>14.0</v>
      </c>
      <c r="G527" s="79">
        <v>221.78</v>
      </c>
    </row>
    <row r="528">
      <c r="A528" s="6">
        <v>135.0</v>
      </c>
      <c r="B528" s="76" t="str">
        <f>IFERROR(VLOOKUP($A528,EVENTO!$A$2:$C$4999,2,FALSE),"")</f>
        <v>ADITIVO DE PRAZO</v>
      </c>
      <c r="C528" s="76" t="str">
        <f>IFERROR(VLOOKUP($A528,EVENTO!$A$2:$C$4999,3,FALSE),"")</f>
        <v>PREF. MUNICIPAL DE ARACATI - DESENVOLVIMENTO SOCIAL - 021-2022</v>
      </c>
      <c r="D528" s="78" t="s">
        <v>1551</v>
      </c>
      <c r="E528" s="6" t="s">
        <v>1552</v>
      </c>
      <c r="F528" s="78">
        <v>35.0</v>
      </c>
      <c r="G528" s="79">
        <v>173.93</v>
      </c>
    </row>
    <row r="529">
      <c r="A529" s="6">
        <v>135.0</v>
      </c>
      <c r="B529" s="76" t="str">
        <f>IFERROR(VLOOKUP($A529,EVENTO!$A$2:$C$4999,2,FALSE),"")</f>
        <v>ADITIVO DE PRAZO</v>
      </c>
      <c r="C529" s="76" t="str">
        <f>IFERROR(VLOOKUP($A529,EVENTO!$A$2:$C$4999,3,FALSE),"")</f>
        <v>PREF. MUNICIPAL DE ARACATI - DESENVOLVIMENTO SOCIAL - 021-2022</v>
      </c>
      <c r="D529" s="87" t="s">
        <v>1553</v>
      </c>
      <c r="F529" s="78">
        <v>4.0</v>
      </c>
      <c r="G529" s="79">
        <v>286.34</v>
      </c>
    </row>
    <row r="530">
      <c r="A530" s="6">
        <v>135.0</v>
      </c>
      <c r="B530" s="76" t="str">
        <f>IFERROR(VLOOKUP($A530,EVENTO!$A$2:$C$4999,2,FALSE),"")</f>
        <v>ADITIVO DE PRAZO</v>
      </c>
      <c r="C530" s="76" t="str">
        <f>IFERROR(VLOOKUP($A530,EVENTO!$A$2:$C$4999,3,FALSE),"")</f>
        <v>PREF. MUNICIPAL DE ARACATI - DESENVOLVIMENTO SOCIAL - 021-2022</v>
      </c>
      <c r="D530" s="87" t="s">
        <v>1487</v>
      </c>
      <c r="F530" s="78">
        <v>8.0</v>
      </c>
      <c r="G530" s="79">
        <v>234.7</v>
      </c>
    </row>
    <row r="531">
      <c r="A531" s="6">
        <v>135.0</v>
      </c>
      <c r="B531" s="76" t="str">
        <f>IFERROR(VLOOKUP($A531,EVENTO!$A$2:$C$4999,2,FALSE),"")</f>
        <v>ADITIVO DE PRAZO</v>
      </c>
      <c r="C531" s="76" t="str">
        <f>IFERROR(VLOOKUP($A531,EVENTO!$A$2:$C$4999,3,FALSE),"")</f>
        <v>PREF. MUNICIPAL DE ARACATI - DESENVOLVIMENTO SOCIAL - 021-2022</v>
      </c>
      <c r="D531" s="87" t="s">
        <v>1556</v>
      </c>
      <c r="F531" s="78">
        <v>2.0</v>
      </c>
      <c r="G531" s="79">
        <v>148.11</v>
      </c>
    </row>
    <row r="532">
      <c r="A532" s="6">
        <v>135.0</v>
      </c>
      <c r="B532" s="76" t="str">
        <f>IFERROR(VLOOKUP($A532,EVENTO!$A$2:$C$4999,2,FALSE),"")</f>
        <v>ADITIVO DE PRAZO</v>
      </c>
      <c r="C532" s="76" t="str">
        <f>IFERROR(VLOOKUP($A532,EVENTO!$A$2:$C$4999,3,FALSE),"")</f>
        <v>PREF. MUNICIPAL DE ARACATI - DESENVOLVIMENTO SOCIAL - 021-2022</v>
      </c>
      <c r="D532" s="78" t="s">
        <v>1504</v>
      </c>
      <c r="F532" s="78">
        <v>3.0</v>
      </c>
      <c r="G532" s="79">
        <v>13.42</v>
      </c>
    </row>
    <row r="533">
      <c r="A533" s="6">
        <v>136.0</v>
      </c>
      <c r="B533" s="76" t="str">
        <f>IFERROR(VLOOKUP($A533,EVENTO!$A$2:$C$4999,2,FALSE),"")</f>
        <v>ADITIVO DE PRAZO</v>
      </c>
      <c r="C533" s="76" t="str">
        <f>IFERROR(VLOOKUP($A533,EVENTO!$A$2:$C$4999,3,FALSE),"")</f>
        <v>PREF. MUNICIPAL DE ARACATI - DESENVOLVIMENTO SOCIAL - 021-2022</v>
      </c>
      <c r="D533" s="78" t="s">
        <v>1458</v>
      </c>
      <c r="E533" s="6" t="s">
        <v>1535</v>
      </c>
      <c r="F533" s="78">
        <v>5.0</v>
      </c>
      <c r="G533" s="79">
        <v>344.75</v>
      </c>
    </row>
    <row r="534">
      <c r="A534" s="6">
        <v>136.0</v>
      </c>
      <c r="B534" s="76" t="str">
        <f>IFERROR(VLOOKUP($A534,EVENTO!$A$2:$C$4999,2,FALSE),"")</f>
        <v>ADITIVO DE PRAZO</v>
      </c>
      <c r="C534" s="76" t="str">
        <f>IFERROR(VLOOKUP($A534,EVENTO!$A$2:$C$4999,3,FALSE),"")</f>
        <v>PREF. MUNICIPAL DE ARACATI - DESENVOLVIMENTO SOCIAL - 021-2022</v>
      </c>
      <c r="D534" s="78" t="s">
        <v>1546</v>
      </c>
      <c r="E534" s="6" t="s">
        <v>1547</v>
      </c>
      <c r="F534" s="78">
        <v>5.0</v>
      </c>
      <c r="G534" s="79">
        <v>270.39</v>
      </c>
    </row>
    <row r="535">
      <c r="A535" s="6">
        <v>136.0</v>
      </c>
      <c r="B535" s="76" t="str">
        <f>IFERROR(VLOOKUP($A535,EVENTO!$A$2:$C$4999,2,FALSE),"")</f>
        <v>ADITIVO DE PRAZO</v>
      </c>
      <c r="C535" s="76" t="str">
        <f>IFERROR(VLOOKUP($A535,EVENTO!$A$2:$C$4999,3,FALSE),"")</f>
        <v>PREF. MUNICIPAL DE ARACATI - DESENVOLVIMENTO SOCIAL - 021-2022</v>
      </c>
      <c r="D535" s="78" t="s">
        <v>1570</v>
      </c>
      <c r="F535" s="78">
        <v>1.0</v>
      </c>
      <c r="G535" s="79">
        <v>63.8</v>
      </c>
    </row>
    <row r="536">
      <c r="A536" s="6">
        <v>136.0</v>
      </c>
      <c r="B536" s="76" t="str">
        <f>IFERROR(VLOOKUP($A536,EVENTO!$A$2:$C$4999,2,FALSE),"")</f>
        <v>ADITIVO DE PRAZO</v>
      </c>
      <c r="C536" s="76" t="str">
        <f>IFERROR(VLOOKUP($A536,EVENTO!$A$2:$C$4999,3,FALSE),"")</f>
        <v>PREF. MUNICIPAL DE ARACATI - DESENVOLVIMENTO SOCIAL - 021-2022</v>
      </c>
      <c r="D536" s="78" t="s">
        <v>1549</v>
      </c>
      <c r="E536" s="6" t="s">
        <v>1550</v>
      </c>
      <c r="F536" s="78">
        <v>14.0</v>
      </c>
      <c r="G536" s="79">
        <v>221.78</v>
      </c>
    </row>
    <row r="537">
      <c r="A537" s="6">
        <v>136.0</v>
      </c>
      <c r="B537" s="76" t="str">
        <f>IFERROR(VLOOKUP($A537,EVENTO!$A$2:$C$4999,2,FALSE),"")</f>
        <v>ADITIVO DE PRAZO</v>
      </c>
      <c r="C537" s="76" t="str">
        <f>IFERROR(VLOOKUP($A537,EVENTO!$A$2:$C$4999,3,FALSE),"")</f>
        <v>PREF. MUNICIPAL DE ARACATI - DESENVOLVIMENTO SOCIAL - 021-2022</v>
      </c>
      <c r="D537" s="78" t="s">
        <v>1551</v>
      </c>
      <c r="E537" s="6" t="s">
        <v>1552</v>
      </c>
      <c r="F537" s="78">
        <v>35.0</v>
      </c>
      <c r="G537" s="79">
        <v>173.93</v>
      </c>
    </row>
    <row r="538">
      <c r="A538" s="6">
        <v>136.0</v>
      </c>
      <c r="B538" s="76" t="str">
        <f>IFERROR(VLOOKUP($A538,EVENTO!$A$2:$C$4999,2,FALSE),"")</f>
        <v>ADITIVO DE PRAZO</v>
      </c>
      <c r="C538" s="76" t="str">
        <f>IFERROR(VLOOKUP($A538,EVENTO!$A$2:$C$4999,3,FALSE),"")</f>
        <v>PREF. MUNICIPAL DE ARACATI - DESENVOLVIMENTO SOCIAL - 021-2022</v>
      </c>
      <c r="D538" s="87" t="s">
        <v>1553</v>
      </c>
      <c r="F538" s="78">
        <v>4.0</v>
      </c>
      <c r="G538" s="79">
        <v>286.34</v>
      </c>
    </row>
    <row r="539">
      <c r="A539" s="6">
        <v>136.0</v>
      </c>
      <c r="B539" s="76" t="str">
        <f>IFERROR(VLOOKUP($A539,EVENTO!$A$2:$C$4999,2,FALSE),"")</f>
        <v>ADITIVO DE PRAZO</v>
      </c>
      <c r="C539" s="76" t="str">
        <f>IFERROR(VLOOKUP($A539,EVENTO!$A$2:$C$4999,3,FALSE),"")</f>
        <v>PREF. MUNICIPAL DE ARACATI - DESENVOLVIMENTO SOCIAL - 021-2022</v>
      </c>
      <c r="D539" s="87" t="s">
        <v>1487</v>
      </c>
      <c r="F539" s="78">
        <v>8.0</v>
      </c>
      <c r="G539" s="79">
        <v>234.7</v>
      </c>
    </row>
    <row r="540">
      <c r="A540" s="6">
        <v>136.0</v>
      </c>
      <c r="B540" s="76" t="str">
        <f>IFERROR(VLOOKUP($A540,EVENTO!$A$2:$C$4999,2,FALSE),"")</f>
        <v>ADITIVO DE PRAZO</v>
      </c>
      <c r="C540" s="76" t="str">
        <f>IFERROR(VLOOKUP($A540,EVENTO!$A$2:$C$4999,3,FALSE),"")</f>
        <v>PREF. MUNICIPAL DE ARACATI - DESENVOLVIMENTO SOCIAL - 021-2022</v>
      </c>
      <c r="D540" s="87" t="s">
        <v>1556</v>
      </c>
      <c r="F540" s="78">
        <v>2.0</v>
      </c>
      <c r="G540" s="79">
        <v>148.11</v>
      </c>
    </row>
    <row r="541">
      <c r="A541" s="6">
        <v>136.0</v>
      </c>
      <c r="B541" s="76" t="str">
        <f>IFERROR(VLOOKUP($A541,EVENTO!$A$2:$C$4999,2,FALSE),"")</f>
        <v>ADITIVO DE PRAZO</v>
      </c>
      <c r="C541" s="76" t="str">
        <f>IFERROR(VLOOKUP($A541,EVENTO!$A$2:$C$4999,3,FALSE),"")</f>
        <v>PREF. MUNICIPAL DE ARACATI - DESENVOLVIMENTO SOCIAL - 021-2022</v>
      </c>
      <c r="D541" s="78" t="s">
        <v>1504</v>
      </c>
      <c r="F541" s="78">
        <v>3.0</v>
      </c>
      <c r="G541" s="79">
        <v>13.42</v>
      </c>
    </row>
    <row r="542">
      <c r="A542" s="6">
        <v>137.0</v>
      </c>
      <c r="B542" s="76" t="str">
        <f>IFERROR(VLOOKUP($A542,EVENTO!$A$2:$C$4999,2,FALSE),"")</f>
        <v>ADITIVO DE PRAZO</v>
      </c>
      <c r="C542" s="76" t="str">
        <f>IFERROR(VLOOKUP($A542,EVENTO!$A$2:$C$4999,3,FALSE),"")</f>
        <v>PREF. MUNICIPAL DE ARACATI - DESENVOLVIMENTO SOCIAL - 021-2022</v>
      </c>
      <c r="D542" s="78" t="s">
        <v>1458</v>
      </c>
      <c r="E542" s="6" t="s">
        <v>1535</v>
      </c>
      <c r="F542" s="78">
        <v>5.0</v>
      </c>
      <c r="G542" s="79">
        <v>344.75</v>
      </c>
    </row>
    <row r="543">
      <c r="A543" s="6">
        <v>137.0</v>
      </c>
      <c r="B543" s="76" t="str">
        <f>IFERROR(VLOOKUP($A543,EVENTO!$A$2:$C$4999,2,FALSE),"")</f>
        <v>ADITIVO DE PRAZO</v>
      </c>
      <c r="C543" s="76" t="str">
        <f>IFERROR(VLOOKUP($A543,EVENTO!$A$2:$C$4999,3,FALSE),"")</f>
        <v>PREF. MUNICIPAL DE ARACATI - DESENVOLVIMENTO SOCIAL - 021-2022</v>
      </c>
      <c r="D543" s="78" t="s">
        <v>1546</v>
      </c>
      <c r="E543" s="6" t="s">
        <v>1547</v>
      </c>
      <c r="F543" s="78">
        <v>5.0</v>
      </c>
      <c r="G543" s="79">
        <v>270.39</v>
      </c>
    </row>
    <row r="544">
      <c r="A544" s="6">
        <v>137.0</v>
      </c>
      <c r="B544" s="76" t="str">
        <f>IFERROR(VLOOKUP($A544,EVENTO!$A$2:$C$4999,2,FALSE),"")</f>
        <v>ADITIVO DE PRAZO</v>
      </c>
      <c r="C544" s="76" t="str">
        <f>IFERROR(VLOOKUP($A544,EVENTO!$A$2:$C$4999,3,FALSE),"")</f>
        <v>PREF. MUNICIPAL DE ARACATI - DESENVOLVIMENTO SOCIAL - 021-2022</v>
      </c>
      <c r="D544" s="78" t="s">
        <v>1570</v>
      </c>
      <c r="F544" s="78">
        <v>1.0</v>
      </c>
      <c r="G544" s="79">
        <v>63.8</v>
      </c>
    </row>
    <row r="545">
      <c r="A545" s="6">
        <v>137.0</v>
      </c>
      <c r="B545" s="76" t="str">
        <f>IFERROR(VLOOKUP($A545,EVENTO!$A$2:$C$4999,2,FALSE),"")</f>
        <v>ADITIVO DE PRAZO</v>
      </c>
      <c r="C545" s="76" t="str">
        <f>IFERROR(VLOOKUP($A545,EVENTO!$A$2:$C$4999,3,FALSE),"")</f>
        <v>PREF. MUNICIPAL DE ARACATI - DESENVOLVIMENTO SOCIAL - 021-2022</v>
      </c>
      <c r="D545" s="78" t="s">
        <v>1549</v>
      </c>
      <c r="E545" s="6" t="s">
        <v>1550</v>
      </c>
      <c r="F545" s="78">
        <v>14.0</v>
      </c>
      <c r="G545" s="79">
        <v>221.78</v>
      </c>
    </row>
    <row r="546">
      <c r="A546" s="6">
        <v>137.0</v>
      </c>
      <c r="B546" s="76" t="str">
        <f>IFERROR(VLOOKUP($A546,EVENTO!$A$2:$C$4999,2,FALSE),"")</f>
        <v>ADITIVO DE PRAZO</v>
      </c>
      <c r="C546" s="76" t="str">
        <f>IFERROR(VLOOKUP($A546,EVENTO!$A$2:$C$4999,3,FALSE),"")</f>
        <v>PREF. MUNICIPAL DE ARACATI - DESENVOLVIMENTO SOCIAL - 021-2022</v>
      </c>
      <c r="D546" s="78" t="s">
        <v>1551</v>
      </c>
      <c r="E546" s="6" t="s">
        <v>1552</v>
      </c>
      <c r="F546" s="78">
        <v>35.0</v>
      </c>
      <c r="G546" s="79">
        <v>173.93</v>
      </c>
    </row>
    <row r="547">
      <c r="A547" s="6">
        <v>137.0</v>
      </c>
      <c r="B547" s="76" t="str">
        <f>IFERROR(VLOOKUP($A547,EVENTO!$A$2:$C$4999,2,FALSE),"")</f>
        <v>ADITIVO DE PRAZO</v>
      </c>
      <c r="C547" s="76" t="str">
        <f>IFERROR(VLOOKUP($A547,EVENTO!$A$2:$C$4999,3,FALSE),"")</f>
        <v>PREF. MUNICIPAL DE ARACATI - DESENVOLVIMENTO SOCIAL - 021-2022</v>
      </c>
      <c r="D547" s="87" t="s">
        <v>1553</v>
      </c>
      <c r="F547" s="78">
        <v>4.0</v>
      </c>
      <c r="G547" s="79">
        <v>286.34</v>
      </c>
    </row>
    <row r="548">
      <c r="A548" s="6">
        <v>137.0</v>
      </c>
      <c r="B548" s="76" t="str">
        <f>IFERROR(VLOOKUP($A548,EVENTO!$A$2:$C$4999,2,FALSE),"")</f>
        <v>ADITIVO DE PRAZO</v>
      </c>
      <c r="C548" s="76" t="str">
        <f>IFERROR(VLOOKUP($A548,EVENTO!$A$2:$C$4999,3,FALSE),"")</f>
        <v>PREF. MUNICIPAL DE ARACATI - DESENVOLVIMENTO SOCIAL - 021-2022</v>
      </c>
      <c r="D548" s="87" t="s">
        <v>1487</v>
      </c>
      <c r="F548" s="78">
        <v>8.0</v>
      </c>
      <c r="G548" s="79">
        <v>234.7</v>
      </c>
    </row>
    <row r="549">
      <c r="A549" s="6">
        <v>137.0</v>
      </c>
      <c r="B549" s="76" t="str">
        <f>IFERROR(VLOOKUP($A549,EVENTO!$A$2:$C$4999,2,FALSE),"")</f>
        <v>ADITIVO DE PRAZO</v>
      </c>
      <c r="C549" s="76" t="str">
        <f>IFERROR(VLOOKUP($A549,EVENTO!$A$2:$C$4999,3,FALSE),"")</f>
        <v>PREF. MUNICIPAL DE ARACATI - DESENVOLVIMENTO SOCIAL - 021-2022</v>
      </c>
      <c r="D549" s="87" t="s">
        <v>1556</v>
      </c>
      <c r="F549" s="78">
        <v>2.0</v>
      </c>
      <c r="G549" s="79">
        <v>148.11</v>
      </c>
    </row>
    <row r="550">
      <c r="A550" s="6">
        <v>137.0</v>
      </c>
      <c r="B550" s="76" t="str">
        <f>IFERROR(VLOOKUP($A550,EVENTO!$A$2:$C$4999,2,FALSE),"")</f>
        <v>ADITIVO DE PRAZO</v>
      </c>
      <c r="C550" s="76" t="str">
        <f>IFERROR(VLOOKUP($A550,EVENTO!$A$2:$C$4999,3,FALSE),"")</f>
        <v>PREF. MUNICIPAL DE ARACATI - DESENVOLVIMENTO SOCIAL - 021-2022</v>
      </c>
      <c r="D550" s="78" t="s">
        <v>1504</v>
      </c>
      <c r="F550" s="78">
        <v>3.0</v>
      </c>
      <c r="G550" s="79">
        <v>41.95</v>
      </c>
    </row>
    <row r="551">
      <c r="A551" s="6">
        <v>138.0</v>
      </c>
      <c r="B551" s="76" t="str">
        <f>IFERROR(VLOOKUP($A551,EVENTO!$A$2:$C$4999,2,FALSE),"")</f>
        <v>ADITIVO DE PRAZO</v>
      </c>
      <c r="C551" s="76" t="str">
        <f>IFERROR(VLOOKUP($A551,EVENTO!$A$2:$C$4999,3,FALSE),"")</f>
        <v>PREF. MUNICIPAL DE ARACATI - DESENVOLVIMENTO SOCIAL - 021-2022</v>
      </c>
      <c r="D551" s="78" t="s">
        <v>1458</v>
      </c>
      <c r="E551" s="6" t="s">
        <v>1535</v>
      </c>
      <c r="F551" s="78">
        <v>5.0</v>
      </c>
      <c r="G551" s="79">
        <v>344.75</v>
      </c>
    </row>
    <row r="552">
      <c r="A552" s="6">
        <v>138.0</v>
      </c>
      <c r="B552" s="76" t="str">
        <f>IFERROR(VLOOKUP($A552,EVENTO!$A$2:$C$4999,2,FALSE),"")</f>
        <v>ADITIVO DE PRAZO</v>
      </c>
      <c r="C552" s="76" t="str">
        <f>IFERROR(VLOOKUP($A552,EVENTO!$A$2:$C$4999,3,FALSE),"")</f>
        <v>PREF. MUNICIPAL DE ARACATI - DESENVOLVIMENTO SOCIAL - 021-2022</v>
      </c>
      <c r="D552" s="78" t="s">
        <v>1546</v>
      </c>
      <c r="E552" s="6" t="s">
        <v>1547</v>
      </c>
      <c r="F552" s="78">
        <v>5.0</v>
      </c>
      <c r="G552" s="79">
        <v>270.39</v>
      </c>
    </row>
    <row r="553">
      <c r="A553" s="6">
        <v>138.0</v>
      </c>
      <c r="B553" s="76" t="str">
        <f>IFERROR(VLOOKUP($A553,EVENTO!$A$2:$C$4999,2,FALSE),"")</f>
        <v>ADITIVO DE PRAZO</v>
      </c>
      <c r="C553" s="76" t="str">
        <f>IFERROR(VLOOKUP($A553,EVENTO!$A$2:$C$4999,3,FALSE),"")</f>
        <v>PREF. MUNICIPAL DE ARACATI - DESENVOLVIMENTO SOCIAL - 021-2022</v>
      </c>
      <c r="D553" s="78" t="s">
        <v>1570</v>
      </c>
      <c r="F553" s="78">
        <v>1.0</v>
      </c>
      <c r="G553" s="79">
        <v>63.8</v>
      </c>
    </row>
    <row r="554">
      <c r="A554" s="6">
        <v>138.0</v>
      </c>
      <c r="B554" s="76" t="str">
        <f>IFERROR(VLOOKUP($A554,EVENTO!$A$2:$C$4999,2,FALSE),"")</f>
        <v>ADITIVO DE PRAZO</v>
      </c>
      <c r="C554" s="76" t="str">
        <f>IFERROR(VLOOKUP($A554,EVENTO!$A$2:$C$4999,3,FALSE),"")</f>
        <v>PREF. MUNICIPAL DE ARACATI - DESENVOLVIMENTO SOCIAL - 021-2022</v>
      </c>
      <c r="D554" s="78" t="s">
        <v>1549</v>
      </c>
      <c r="E554" s="6" t="s">
        <v>1550</v>
      </c>
      <c r="F554" s="78">
        <v>14.0</v>
      </c>
      <c r="G554" s="79">
        <v>221.78</v>
      </c>
    </row>
    <row r="555">
      <c r="A555" s="6">
        <v>138.0</v>
      </c>
      <c r="B555" s="76" t="str">
        <f>IFERROR(VLOOKUP($A555,EVENTO!$A$2:$C$4999,2,FALSE),"")</f>
        <v>ADITIVO DE PRAZO</v>
      </c>
      <c r="C555" s="76" t="str">
        <f>IFERROR(VLOOKUP($A555,EVENTO!$A$2:$C$4999,3,FALSE),"")</f>
        <v>PREF. MUNICIPAL DE ARACATI - DESENVOLVIMENTO SOCIAL - 021-2022</v>
      </c>
      <c r="D555" s="78" t="s">
        <v>1551</v>
      </c>
      <c r="E555" s="6" t="s">
        <v>1552</v>
      </c>
      <c r="F555" s="78">
        <v>35.0</v>
      </c>
      <c r="G555" s="79">
        <v>173.93</v>
      </c>
    </row>
    <row r="556">
      <c r="A556" s="6">
        <v>138.0</v>
      </c>
      <c r="B556" s="76" t="str">
        <f>IFERROR(VLOOKUP($A556,EVENTO!$A$2:$C$4999,2,FALSE),"")</f>
        <v>ADITIVO DE PRAZO</v>
      </c>
      <c r="C556" s="76" t="str">
        <f>IFERROR(VLOOKUP($A556,EVENTO!$A$2:$C$4999,3,FALSE),"")</f>
        <v>PREF. MUNICIPAL DE ARACATI - DESENVOLVIMENTO SOCIAL - 021-2022</v>
      </c>
      <c r="D556" s="87" t="s">
        <v>1553</v>
      </c>
      <c r="F556" s="78">
        <v>4.0</v>
      </c>
      <c r="G556" s="79">
        <v>286.34</v>
      </c>
    </row>
    <row r="557">
      <c r="A557" s="6">
        <v>138.0</v>
      </c>
      <c r="B557" s="76" t="str">
        <f>IFERROR(VLOOKUP($A557,EVENTO!$A$2:$C$4999,2,FALSE),"")</f>
        <v>ADITIVO DE PRAZO</v>
      </c>
      <c r="C557" s="76" t="str">
        <f>IFERROR(VLOOKUP($A557,EVENTO!$A$2:$C$4999,3,FALSE),"")</f>
        <v>PREF. MUNICIPAL DE ARACATI - DESENVOLVIMENTO SOCIAL - 021-2022</v>
      </c>
      <c r="D557" s="87" t="s">
        <v>1487</v>
      </c>
      <c r="F557" s="78">
        <v>8.0</v>
      </c>
      <c r="G557" s="79">
        <v>234.7</v>
      </c>
    </row>
    <row r="558">
      <c r="A558" s="6">
        <v>138.0</v>
      </c>
      <c r="B558" s="76" t="str">
        <f>IFERROR(VLOOKUP($A558,EVENTO!$A$2:$C$4999,2,FALSE),"")</f>
        <v>ADITIVO DE PRAZO</v>
      </c>
      <c r="C558" s="76" t="str">
        <f>IFERROR(VLOOKUP($A558,EVENTO!$A$2:$C$4999,3,FALSE),"")</f>
        <v>PREF. MUNICIPAL DE ARACATI - DESENVOLVIMENTO SOCIAL - 021-2022</v>
      </c>
      <c r="D558" s="87" t="s">
        <v>1556</v>
      </c>
      <c r="F558" s="78">
        <v>2.0</v>
      </c>
      <c r="G558" s="79">
        <v>148.11</v>
      </c>
    </row>
    <row r="559">
      <c r="A559" s="6">
        <v>138.0</v>
      </c>
      <c r="B559" s="76" t="str">
        <f>IFERROR(VLOOKUP($A559,EVENTO!$A$2:$C$4999,2,FALSE),"")</f>
        <v>ADITIVO DE PRAZO</v>
      </c>
      <c r="C559" s="76" t="str">
        <f>IFERROR(VLOOKUP($A559,EVENTO!$A$2:$C$4999,3,FALSE),"")</f>
        <v>PREF. MUNICIPAL DE ARACATI - DESENVOLVIMENTO SOCIAL - 021-2022</v>
      </c>
      <c r="D559" s="78" t="s">
        <v>1504</v>
      </c>
      <c r="F559" s="78">
        <v>3.0</v>
      </c>
      <c r="G559" s="79">
        <v>41.95</v>
      </c>
    </row>
    <row r="560">
      <c r="A560" s="6">
        <v>142.0</v>
      </c>
      <c r="B560" s="76" t="str">
        <f>IFERROR(VLOOKUP($A560,EVENTO!$A$2:$C$4999,2,FALSE),"")</f>
        <v>ADITIVO DE QUANTIDADE</v>
      </c>
      <c r="C560" s="76" t="str">
        <f>IFERROR(VLOOKUP($A560,EVENTO!$A$2:$C$4999,3,FALSE),"")</f>
        <v>PREFEITURA MUNICIPAL DE TIANGUA - SAUDE</v>
      </c>
      <c r="D560" s="78" t="s">
        <v>1550</v>
      </c>
      <c r="E560" s="6" t="s">
        <v>1571</v>
      </c>
      <c r="F560" s="78">
        <v>113.0</v>
      </c>
      <c r="G560" s="79">
        <v>223.59</v>
      </c>
    </row>
    <row r="561">
      <c r="A561" s="6">
        <v>142.0</v>
      </c>
      <c r="B561" s="76" t="str">
        <f>IFERROR(VLOOKUP($A561,EVENTO!$A$2:$C$4999,2,FALSE),"")</f>
        <v>ADITIVO DE QUANTIDADE</v>
      </c>
      <c r="C561" s="76" t="str">
        <f>IFERROR(VLOOKUP($A561,EVENTO!$A$2:$C$4999,3,FALSE),"")</f>
        <v>PREFEITURA MUNICIPAL DE TIANGUA - SAUDE</v>
      </c>
      <c r="D561" s="78" t="s">
        <v>1548</v>
      </c>
      <c r="E561" s="6" t="s">
        <v>1572</v>
      </c>
      <c r="F561" s="78">
        <v>113.0</v>
      </c>
      <c r="G561" s="79">
        <v>357.29</v>
      </c>
    </row>
    <row r="562">
      <c r="A562" s="6">
        <v>142.0</v>
      </c>
      <c r="B562" s="76" t="str">
        <f>IFERROR(VLOOKUP($A562,EVENTO!$A$2:$C$4999,2,FALSE),"")</f>
        <v>ADITIVO DE QUANTIDADE</v>
      </c>
      <c r="C562" s="76" t="str">
        <f>IFERROR(VLOOKUP($A562,EVENTO!$A$2:$C$4999,3,FALSE),"")</f>
        <v>PREFEITURA MUNICIPAL DE TIANGUA - SAUDE</v>
      </c>
      <c r="D562" s="78" t="s">
        <v>1573</v>
      </c>
      <c r="E562" s="6" t="s">
        <v>1574</v>
      </c>
      <c r="F562" s="78">
        <v>193.0</v>
      </c>
      <c r="G562" s="79">
        <v>146.31</v>
      </c>
    </row>
    <row r="563">
      <c r="A563" s="6">
        <v>142.0</v>
      </c>
      <c r="B563" s="76" t="str">
        <f>IFERROR(VLOOKUP($A563,EVENTO!$A$2:$C$4999,2,FALSE),"")</f>
        <v>ADITIVO DE QUANTIDADE</v>
      </c>
      <c r="C563" s="76" t="str">
        <f>IFERROR(VLOOKUP($A563,EVENTO!$A$2:$C$4999,3,FALSE),"")</f>
        <v>PREFEITURA MUNICIPAL DE TIANGUA - SAUDE</v>
      </c>
      <c r="D563" s="78" t="s">
        <v>1575</v>
      </c>
      <c r="E563" s="6" t="s">
        <v>1576</v>
      </c>
      <c r="F563" s="78">
        <v>25.0</v>
      </c>
      <c r="G563" s="79">
        <v>14.25</v>
      </c>
    </row>
    <row r="564">
      <c r="A564" s="6">
        <v>142.0</v>
      </c>
      <c r="B564" s="76" t="str">
        <f>IFERROR(VLOOKUP($A564,EVENTO!$A$2:$C$4999,2,FALSE),"")</f>
        <v>ADITIVO DE QUANTIDADE</v>
      </c>
      <c r="C564" s="76" t="str">
        <f>IFERROR(VLOOKUP($A564,EVENTO!$A$2:$C$4999,3,FALSE),"")</f>
        <v>PREFEITURA MUNICIPAL DE TIANGUA - SAUDE</v>
      </c>
      <c r="D564" s="78" t="s">
        <v>1560</v>
      </c>
      <c r="E564" s="6" t="s">
        <v>1577</v>
      </c>
      <c r="F564" s="78">
        <v>18.0</v>
      </c>
      <c r="G564" s="79">
        <v>50.7</v>
      </c>
    </row>
    <row r="565">
      <c r="A565" s="6">
        <v>142.0</v>
      </c>
      <c r="B565" s="76" t="str">
        <f>IFERROR(VLOOKUP($A565,EVENTO!$A$2:$C$4999,2,FALSE),"")</f>
        <v>ADITIVO DE QUANTIDADE</v>
      </c>
      <c r="C565" s="76" t="str">
        <f>IFERROR(VLOOKUP($A565,EVENTO!$A$2:$C$4999,3,FALSE),"")</f>
        <v>PREFEITURA MUNICIPAL DE TIANGUA - SAUDE</v>
      </c>
      <c r="D565" s="78" t="s">
        <v>1578</v>
      </c>
      <c r="E565" s="6" t="s">
        <v>1579</v>
      </c>
      <c r="F565" s="78">
        <v>18.0</v>
      </c>
      <c r="G565" s="79">
        <v>105.92</v>
      </c>
    </row>
    <row r="566">
      <c r="A566" s="6">
        <v>142.0</v>
      </c>
      <c r="B566" s="76" t="str">
        <f>IFERROR(VLOOKUP($A566,EVENTO!$A$2:$C$4999,2,FALSE),"")</f>
        <v>ADITIVO DE QUANTIDADE</v>
      </c>
      <c r="C566" s="76" t="str">
        <f>IFERROR(VLOOKUP($A566,EVENTO!$A$2:$C$4999,3,FALSE),"")</f>
        <v>PREFEITURA MUNICIPAL DE TIANGUA - SAUDE</v>
      </c>
      <c r="D566" s="78" t="s">
        <v>1580</v>
      </c>
      <c r="E566" s="6" t="s">
        <v>1581</v>
      </c>
      <c r="F566" s="78">
        <v>18.0</v>
      </c>
      <c r="G566" s="79">
        <v>314.22</v>
      </c>
    </row>
    <row r="567">
      <c r="A567" s="6">
        <v>142.0</v>
      </c>
      <c r="B567" s="76" t="str">
        <f>IFERROR(VLOOKUP($A567,EVENTO!$A$2:$C$4999,2,FALSE),"")</f>
        <v>ADITIVO DE QUANTIDADE</v>
      </c>
      <c r="C567" s="76" t="str">
        <f>IFERROR(VLOOKUP($A567,EVENTO!$A$2:$C$4999,3,FALSE),"")</f>
        <v>PREFEITURA MUNICIPAL DE TIANGUA - SAUDE</v>
      </c>
      <c r="D567" s="88" t="s">
        <v>1582</v>
      </c>
      <c r="E567" s="6" t="s">
        <v>1583</v>
      </c>
      <c r="F567" s="78">
        <v>125.0</v>
      </c>
      <c r="G567" s="79">
        <v>182.48</v>
      </c>
    </row>
    <row r="568">
      <c r="A568" s="6">
        <v>142.0</v>
      </c>
      <c r="B568" s="76" t="str">
        <f>IFERROR(VLOOKUP($A568,EVENTO!$A$2:$C$4999,2,FALSE),"")</f>
        <v>ADITIVO DE QUANTIDADE</v>
      </c>
      <c r="C568" s="76" t="str">
        <f>IFERROR(VLOOKUP($A568,EVENTO!$A$2:$C$4999,3,FALSE),"")</f>
        <v>PREFEITURA MUNICIPAL DE TIANGUA - SAUDE</v>
      </c>
      <c r="D568" s="88" t="s">
        <v>1584</v>
      </c>
      <c r="E568" s="6" t="s">
        <v>1585</v>
      </c>
      <c r="F568" s="78">
        <v>12.0</v>
      </c>
      <c r="G568" s="79">
        <v>296.57</v>
      </c>
    </row>
    <row r="569">
      <c r="A569" s="6">
        <v>142.0</v>
      </c>
      <c r="B569" s="76" t="str">
        <f>IFERROR(VLOOKUP($A569,EVENTO!$A$2:$C$4999,2,FALSE),"")</f>
        <v>ADITIVO DE QUANTIDADE</v>
      </c>
      <c r="C569" s="76" t="str">
        <f>IFERROR(VLOOKUP($A569,EVENTO!$A$2:$C$4999,3,FALSE),"")</f>
        <v>PREFEITURA MUNICIPAL DE TIANGUA - SAUDE</v>
      </c>
      <c r="D569" s="78" t="s">
        <v>1586</v>
      </c>
      <c r="E569" s="6" t="s">
        <v>1587</v>
      </c>
      <c r="F569" s="78">
        <v>2.0</v>
      </c>
      <c r="G569" s="79">
        <v>2033.25</v>
      </c>
    </row>
    <row r="570">
      <c r="A570" s="6">
        <v>143.0</v>
      </c>
      <c r="B570" s="76" t="str">
        <f>IFERROR(VLOOKUP($A570,EVENTO!$A$2:$C$4999,2,FALSE),"")</f>
        <v>CADASTRO</v>
      </c>
      <c r="C570" s="76" t="str">
        <f>IFERROR(VLOOKUP($A570,EVENTO!$A$2:$C$4999,3,FALSE),"")</f>
        <v>PREFEITURA MUNICIPAL DE MARANGUAPE - SAFIN</v>
      </c>
      <c r="D570" s="78" t="s">
        <v>1588</v>
      </c>
      <c r="E570" s="6" t="s">
        <v>1588</v>
      </c>
      <c r="F570" s="78">
        <v>3.0</v>
      </c>
      <c r="G570" s="79">
        <v>184.17</v>
      </c>
    </row>
    <row r="571">
      <c r="A571" s="6">
        <v>143.0</v>
      </c>
      <c r="B571" s="76" t="str">
        <f>IFERROR(VLOOKUP($A571,EVENTO!$A$2:$C$4999,2,FALSE),"")</f>
        <v>CADASTRO</v>
      </c>
      <c r="C571" s="76" t="str">
        <f>IFERROR(VLOOKUP($A571,EVENTO!$A$2:$C$4999,3,FALSE),"")</f>
        <v>PREFEITURA MUNICIPAL DE MARANGUAPE - SAFIN</v>
      </c>
      <c r="D571" s="78" t="s">
        <v>1589</v>
      </c>
      <c r="E571" s="6" t="s">
        <v>1589</v>
      </c>
      <c r="F571" s="78">
        <v>13.0</v>
      </c>
      <c r="G571" s="79">
        <v>132.31</v>
      </c>
    </row>
    <row r="572">
      <c r="A572" s="6">
        <v>143.0</v>
      </c>
      <c r="B572" s="76" t="str">
        <f>IFERROR(VLOOKUP($A572,EVENTO!$A$2:$C$4999,2,FALSE),"")</f>
        <v>CADASTRO</v>
      </c>
      <c r="C572" s="76" t="str">
        <f>IFERROR(VLOOKUP($A572,EVENTO!$A$2:$C$4999,3,FALSE),"")</f>
        <v>PREFEITURA MUNICIPAL DE MARANGUAPE - SAFIN</v>
      </c>
      <c r="D572" s="78" t="s">
        <v>1590</v>
      </c>
      <c r="E572" s="6" t="s">
        <v>1590</v>
      </c>
      <c r="F572" s="78">
        <v>10.0</v>
      </c>
      <c r="G572" s="79">
        <v>166.27</v>
      </c>
    </row>
    <row r="573">
      <c r="A573" s="6">
        <v>143.0</v>
      </c>
      <c r="B573" s="76" t="str">
        <f>IFERROR(VLOOKUP($A573,EVENTO!$A$2:$C$4999,2,FALSE),"")</f>
        <v>CADASTRO</v>
      </c>
      <c r="C573" s="76" t="str">
        <f>IFERROR(VLOOKUP($A573,EVENTO!$A$2:$C$4999,3,FALSE),"")</f>
        <v>PREFEITURA MUNICIPAL DE MARANGUAPE - SAFIN</v>
      </c>
      <c r="D573" s="78" t="s">
        <v>1591</v>
      </c>
      <c r="E573" s="6" t="s">
        <v>1591</v>
      </c>
      <c r="F573" s="78">
        <v>40.0</v>
      </c>
      <c r="G573" s="79">
        <v>105.81</v>
      </c>
    </row>
    <row r="574">
      <c r="A574" s="6">
        <v>139.0</v>
      </c>
      <c r="B574" s="76" t="str">
        <f>IFERROR(VLOOKUP($A574,EVENTO!$A$2:$C$4999,2,FALSE),"")</f>
        <v>ADITIVO DE PRAZO</v>
      </c>
      <c r="C574" s="76" t="str">
        <f>IFERROR(VLOOKUP($A574,EVENTO!$A$2:$C$4999,3,FALSE),"")</f>
        <v>PREF. MUNICIPAL DE ARACATI - DESENVOLVIMENTO SOCIAL - 021-2022</v>
      </c>
      <c r="D574" s="78" t="s">
        <v>1458</v>
      </c>
      <c r="E574" s="6" t="s">
        <v>1535</v>
      </c>
      <c r="F574" s="78">
        <v>5.0</v>
      </c>
      <c r="G574" s="79">
        <v>344.75</v>
      </c>
    </row>
    <row r="575">
      <c r="A575" s="6">
        <v>139.0</v>
      </c>
      <c r="B575" s="76" t="str">
        <f>IFERROR(VLOOKUP($A575,EVENTO!$A$2:$C$4999,2,FALSE),"")</f>
        <v>ADITIVO DE PRAZO</v>
      </c>
      <c r="C575" s="76" t="str">
        <f>IFERROR(VLOOKUP($A575,EVENTO!$A$2:$C$4999,3,FALSE),"")</f>
        <v>PREF. MUNICIPAL DE ARACATI - DESENVOLVIMENTO SOCIAL - 021-2022</v>
      </c>
      <c r="D575" s="78" t="s">
        <v>1546</v>
      </c>
      <c r="E575" s="6" t="s">
        <v>1547</v>
      </c>
      <c r="F575" s="78">
        <v>5.0</v>
      </c>
      <c r="G575" s="79">
        <v>270.39</v>
      </c>
    </row>
    <row r="576">
      <c r="A576" s="6">
        <v>139.0</v>
      </c>
      <c r="B576" s="76" t="str">
        <f>IFERROR(VLOOKUP($A576,EVENTO!$A$2:$C$4999,2,FALSE),"")</f>
        <v>ADITIVO DE PRAZO</v>
      </c>
      <c r="C576" s="76" t="str">
        <f>IFERROR(VLOOKUP($A576,EVENTO!$A$2:$C$4999,3,FALSE),"")</f>
        <v>PREF. MUNICIPAL DE ARACATI - DESENVOLVIMENTO SOCIAL - 021-2022</v>
      </c>
      <c r="D576" s="78" t="s">
        <v>1570</v>
      </c>
      <c r="F576" s="78">
        <v>1.0</v>
      </c>
      <c r="G576" s="79">
        <v>63.8</v>
      </c>
    </row>
    <row r="577">
      <c r="A577" s="6">
        <v>139.0</v>
      </c>
      <c r="B577" s="76" t="str">
        <f>IFERROR(VLOOKUP($A577,EVENTO!$A$2:$C$4999,2,FALSE),"")</f>
        <v>ADITIVO DE PRAZO</v>
      </c>
      <c r="C577" s="76" t="str">
        <f>IFERROR(VLOOKUP($A577,EVENTO!$A$2:$C$4999,3,FALSE),"")</f>
        <v>PREF. MUNICIPAL DE ARACATI - DESENVOLVIMENTO SOCIAL - 021-2022</v>
      </c>
      <c r="D577" s="78" t="s">
        <v>1549</v>
      </c>
      <c r="E577" s="6" t="s">
        <v>1550</v>
      </c>
      <c r="F577" s="78">
        <v>14.0</v>
      </c>
      <c r="G577" s="79">
        <v>221.78</v>
      </c>
    </row>
    <row r="578">
      <c r="A578" s="6">
        <v>139.0</v>
      </c>
      <c r="B578" s="76" t="str">
        <f>IFERROR(VLOOKUP($A578,EVENTO!$A$2:$C$4999,2,FALSE),"")</f>
        <v>ADITIVO DE PRAZO</v>
      </c>
      <c r="C578" s="76" t="str">
        <f>IFERROR(VLOOKUP($A578,EVENTO!$A$2:$C$4999,3,FALSE),"")</f>
        <v>PREF. MUNICIPAL DE ARACATI - DESENVOLVIMENTO SOCIAL - 021-2022</v>
      </c>
      <c r="D578" s="78" t="s">
        <v>1551</v>
      </c>
      <c r="E578" s="6" t="s">
        <v>1552</v>
      </c>
      <c r="F578" s="78">
        <v>35.0</v>
      </c>
      <c r="G578" s="79">
        <v>173.93</v>
      </c>
    </row>
    <row r="579">
      <c r="A579" s="6">
        <v>139.0</v>
      </c>
      <c r="B579" s="76" t="str">
        <f>IFERROR(VLOOKUP($A579,EVENTO!$A$2:$C$4999,2,FALSE),"")</f>
        <v>ADITIVO DE PRAZO</v>
      </c>
      <c r="C579" s="76" t="str">
        <f>IFERROR(VLOOKUP($A579,EVENTO!$A$2:$C$4999,3,FALSE),"")</f>
        <v>PREF. MUNICIPAL DE ARACATI - DESENVOLVIMENTO SOCIAL - 021-2022</v>
      </c>
      <c r="D579" s="87" t="s">
        <v>1553</v>
      </c>
      <c r="F579" s="78">
        <v>4.0</v>
      </c>
      <c r="G579" s="79">
        <v>286.34</v>
      </c>
    </row>
    <row r="580">
      <c r="A580" s="6">
        <v>139.0</v>
      </c>
      <c r="B580" s="76" t="str">
        <f>IFERROR(VLOOKUP($A580,EVENTO!$A$2:$C$4999,2,FALSE),"")</f>
        <v>ADITIVO DE PRAZO</v>
      </c>
      <c r="C580" s="76" t="str">
        <f>IFERROR(VLOOKUP($A580,EVENTO!$A$2:$C$4999,3,FALSE),"")</f>
        <v>PREF. MUNICIPAL DE ARACATI - DESENVOLVIMENTO SOCIAL - 021-2022</v>
      </c>
      <c r="D580" s="87" t="s">
        <v>1487</v>
      </c>
      <c r="F580" s="78">
        <v>8.0</v>
      </c>
      <c r="G580" s="79">
        <v>234.7</v>
      </c>
    </row>
    <row r="581">
      <c r="A581" s="6">
        <v>139.0</v>
      </c>
      <c r="B581" s="76" t="str">
        <f>IFERROR(VLOOKUP($A581,EVENTO!$A$2:$C$4999,2,FALSE),"")</f>
        <v>ADITIVO DE PRAZO</v>
      </c>
      <c r="C581" s="76" t="str">
        <f>IFERROR(VLOOKUP($A581,EVENTO!$A$2:$C$4999,3,FALSE),"")</f>
        <v>PREF. MUNICIPAL DE ARACATI - DESENVOLVIMENTO SOCIAL - 021-2022</v>
      </c>
      <c r="D581" s="87" t="s">
        <v>1556</v>
      </c>
      <c r="F581" s="78">
        <v>2.0</v>
      </c>
      <c r="G581" s="79">
        <v>148.11</v>
      </c>
    </row>
    <row r="582">
      <c r="A582" s="6">
        <v>139.0</v>
      </c>
      <c r="B582" s="76" t="str">
        <f>IFERROR(VLOOKUP($A582,EVENTO!$A$2:$C$4999,2,FALSE),"")</f>
        <v>ADITIVO DE PRAZO</v>
      </c>
      <c r="C582" s="76" t="str">
        <f>IFERROR(VLOOKUP($A582,EVENTO!$A$2:$C$4999,3,FALSE),"")</f>
        <v>PREF. MUNICIPAL DE ARACATI - DESENVOLVIMENTO SOCIAL - 021-2022</v>
      </c>
      <c r="D582" s="78" t="s">
        <v>1504</v>
      </c>
      <c r="F582" s="78">
        <v>3.0</v>
      </c>
      <c r="G582" s="79">
        <v>41.95</v>
      </c>
    </row>
    <row r="583">
      <c r="A583" s="6">
        <v>144.0</v>
      </c>
      <c r="B583" s="76" t="str">
        <f>IFERROR(VLOOKUP($A583,EVENTO!$A$2:$C$4999,2,FALSE),"")</f>
        <v>ADITIVO DE QUANTIDADE</v>
      </c>
      <c r="C583" s="76" t="str">
        <f>IFERROR(VLOOKUP($A583,EVENTO!$A$2:$C$4999,3,FALSE),"")</f>
        <v>PREFEITURA MUNICIPAL DE TIANGUA - SAUDE</v>
      </c>
      <c r="D583" s="78" t="s">
        <v>1550</v>
      </c>
      <c r="E583" s="6" t="s">
        <v>1571</v>
      </c>
      <c r="F583" s="78">
        <v>113.0</v>
      </c>
      <c r="G583" s="79">
        <v>223.59</v>
      </c>
    </row>
    <row r="584">
      <c r="A584" s="6">
        <v>144.0</v>
      </c>
      <c r="B584" s="76" t="str">
        <f>IFERROR(VLOOKUP($A584,EVENTO!$A$2:$C$4999,2,FALSE),"")</f>
        <v>ADITIVO DE QUANTIDADE</v>
      </c>
      <c r="C584" s="76" t="str">
        <f>IFERROR(VLOOKUP($A584,EVENTO!$A$2:$C$4999,3,FALSE),"")</f>
        <v>PREFEITURA MUNICIPAL DE TIANGUA - SAUDE</v>
      </c>
      <c r="D584" s="78" t="s">
        <v>1548</v>
      </c>
      <c r="E584" s="6" t="s">
        <v>1572</v>
      </c>
      <c r="F584" s="78">
        <v>113.0</v>
      </c>
      <c r="G584" s="79">
        <v>357.29</v>
      </c>
    </row>
    <row r="585">
      <c r="A585" s="6">
        <v>144.0</v>
      </c>
      <c r="B585" s="76" t="str">
        <f>IFERROR(VLOOKUP($A585,EVENTO!$A$2:$C$4999,2,FALSE),"")</f>
        <v>ADITIVO DE QUANTIDADE</v>
      </c>
      <c r="C585" s="76" t="str">
        <f>IFERROR(VLOOKUP($A585,EVENTO!$A$2:$C$4999,3,FALSE),"")</f>
        <v>PREFEITURA MUNICIPAL DE TIANGUA - SAUDE</v>
      </c>
      <c r="D585" s="78" t="s">
        <v>1573</v>
      </c>
      <c r="E585" s="6" t="s">
        <v>1574</v>
      </c>
      <c r="F585" s="78">
        <v>173.0</v>
      </c>
      <c r="G585" s="79">
        <v>146.31</v>
      </c>
    </row>
    <row r="586">
      <c r="A586" s="6">
        <v>144.0</v>
      </c>
      <c r="B586" s="76" t="str">
        <f>IFERROR(VLOOKUP($A586,EVENTO!$A$2:$C$4999,2,FALSE),"")</f>
        <v>ADITIVO DE QUANTIDADE</v>
      </c>
      <c r="C586" s="76" t="str">
        <f>IFERROR(VLOOKUP($A586,EVENTO!$A$2:$C$4999,3,FALSE),"")</f>
        <v>PREFEITURA MUNICIPAL DE TIANGUA - SAUDE</v>
      </c>
      <c r="D586" s="78" t="s">
        <v>1575</v>
      </c>
      <c r="E586" s="6" t="s">
        <v>1576</v>
      </c>
      <c r="F586" s="78">
        <v>25.0</v>
      </c>
      <c r="G586" s="79">
        <v>14.25</v>
      </c>
    </row>
    <row r="587">
      <c r="A587" s="6">
        <v>144.0</v>
      </c>
      <c r="B587" s="76" t="str">
        <f>IFERROR(VLOOKUP($A587,EVENTO!$A$2:$C$4999,2,FALSE),"")</f>
        <v>ADITIVO DE QUANTIDADE</v>
      </c>
      <c r="C587" s="76" t="str">
        <f>IFERROR(VLOOKUP($A587,EVENTO!$A$2:$C$4999,3,FALSE),"")</f>
        <v>PREFEITURA MUNICIPAL DE TIANGUA - SAUDE</v>
      </c>
      <c r="D587" s="78" t="s">
        <v>1560</v>
      </c>
      <c r="E587" s="6" t="s">
        <v>1577</v>
      </c>
      <c r="F587" s="78">
        <v>18.0</v>
      </c>
      <c r="G587" s="79">
        <v>50.7</v>
      </c>
    </row>
    <row r="588">
      <c r="A588" s="6">
        <v>144.0</v>
      </c>
      <c r="B588" s="76" t="str">
        <f>IFERROR(VLOOKUP($A588,EVENTO!$A$2:$C$4999,2,FALSE),"")</f>
        <v>ADITIVO DE QUANTIDADE</v>
      </c>
      <c r="C588" s="76" t="str">
        <f>IFERROR(VLOOKUP($A588,EVENTO!$A$2:$C$4999,3,FALSE),"")</f>
        <v>PREFEITURA MUNICIPAL DE TIANGUA - SAUDE</v>
      </c>
      <c r="D588" s="78" t="s">
        <v>1578</v>
      </c>
      <c r="E588" s="6" t="s">
        <v>1579</v>
      </c>
      <c r="F588" s="78">
        <v>18.0</v>
      </c>
      <c r="G588" s="79">
        <v>105.92</v>
      </c>
    </row>
    <row r="589">
      <c r="A589" s="6">
        <v>144.0</v>
      </c>
      <c r="B589" s="76" t="str">
        <f>IFERROR(VLOOKUP($A589,EVENTO!$A$2:$C$4999,2,FALSE),"")</f>
        <v>ADITIVO DE QUANTIDADE</v>
      </c>
      <c r="C589" s="76" t="str">
        <f>IFERROR(VLOOKUP($A589,EVENTO!$A$2:$C$4999,3,FALSE),"")</f>
        <v>PREFEITURA MUNICIPAL DE TIANGUA - SAUDE</v>
      </c>
      <c r="D589" s="78" t="s">
        <v>1580</v>
      </c>
      <c r="E589" s="6" t="s">
        <v>1581</v>
      </c>
      <c r="F589" s="78">
        <v>18.0</v>
      </c>
      <c r="G589" s="79">
        <v>314.22</v>
      </c>
    </row>
    <row r="590">
      <c r="A590" s="6">
        <v>144.0</v>
      </c>
      <c r="B590" s="76" t="str">
        <f>IFERROR(VLOOKUP($A590,EVENTO!$A$2:$C$4999,2,FALSE),"")</f>
        <v>ADITIVO DE QUANTIDADE</v>
      </c>
      <c r="C590" s="76" t="str">
        <f>IFERROR(VLOOKUP($A590,EVENTO!$A$2:$C$4999,3,FALSE),"")</f>
        <v>PREFEITURA MUNICIPAL DE TIANGUA - SAUDE</v>
      </c>
      <c r="D590" s="88" t="s">
        <v>1582</v>
      </c>
      <c r="E590" s="6" t="s">
        <v>1583</v>
      </c>
      <c r="F590" s="78">
        <v>125.0</v>
      </c>
      <c r="G590" s="79">
        <v>182.48</v>
      </c>
    </row>
    <row r="591">
      <c r="A591" s="6">
        <v>144.0</v>
      </c>
      <c r="B591" s="76" t="str">
        <f>IFERROR(VLOOKUP($A591,EVENTO!$A$2:$C$4999,2,FALSE),"")</f>
        <v>ADITIVO DE QUANTIDADE</v>
      </c>
      <c r="C591" s="76" t="str">
        <f>IFERROR(VLOOKUP($A591,EVENTO!$A$2:$C$4999,3,FALSE),"")</f>
        <v>PREFEITURA MUNICIPAL DE TIANGUA - SAUDE</v>
      </c>
      <c r="D591" s="88" t="s">
        <v>1584</v>
      </c>
      <c r="E591" s="6" t="s">
        <v>1585</v>
      </c>
      <c r="F591" s="78">
        <v>12.0</v>
      </c>
      <c r="G591" s="79">
        <v>296.57</v>
      </c>
    </row>
    <row r="592">
      <c r="A592" s="6">
        <v>144.0</v>
      </c>
      <c r="B592" s="76" t="str">
        <f>IFERROR(VLOOKUP($A592,EVENTO!$A$2:$C$4999,2,FALSE),"")</f>
        <v>ADITIVO DE QUANTIDADE</v>
      </c>
      <c r="C592" s="76" t="str">
        <f>IFERROR(VLOOKUP($A592,EVENTO!$A$2:$C$4999,3,FALSE),"")</f>
        <v>PREFEITURA MUNICIPAL DE TIANGUA - SAUDE</v>
      </c>
      <c r="D592" s="78" t="s">
        <v>1586</v>
      </c>
      <c r="E592" s="6" t="s">
        <v>1587</v>
      </c>
      <c r="F592" s="78">
        <v>3.0</v>
      </c>
      <c r="G592" s="79">
        <v>2033.25</v>
      </c>
    </row>
    <row r="593">
      <c r="A593" s="6">
        <v>146.0</v>
      </c>
      <c r="B593" s="76" t="str">
        <f>IFERROR(VLOOKUP($A593,EVENTO!$A$2:$C$4999,2,FALSE),"")</f>
        <v>CADASTRO</v>
      </c>
      <c r="C593" s="76" t="str">
        <f>IFERROR(VLOOKUP($A593,EVENTO!$A$2:$C$4999,3,FALSE),"")</f>
        <v>PREF. MUNICIPAL DE ARACATI - CONTROLADORIA</v>
      </c>
      <c r="D593" s="78" t="s">
        <v>1544</v>
      </c>
      <c r="E593" s="6" t="s">
        <v>1545</v>
      </c>
      <c r="F593" s="78">
        <v>2.0</v>
      </c>
      <c r="G593" s="79">
        <v>534.71</v>
      </c>
    </row>
    <row r="594">
      <c r="A594" s="6">
        <v>146.0</v>
      </c>
      <c r="B594" s="76" t="str">
        <f>IFERROR(VLOOKUP($A594,EVENTO!$A$2:$C$4999,2,FALSE),"")</f>
        <v>CADASTRO</v>
      </c>
      <c r="C594" s="76" t="str">
        <f>IFERROR(VLOOKUP($A594,EVENTO!$A$2:$C$4999,3,FALSE),"")</f>
        <v>PREF. MUNICIPAL DE ARACATI - CONTROLADORIA</v>
      </c>
      <c r="D594" s="78" t="s">
        <v>1458</v>
      </c>
      <c r="E594" s="6" t="s">
        <v>1535</v>
      </c>
      <c r="F594" s="78">
        <v>2.0</v>
      </c>
      <c r="G594" s="79">
        <v>344.75</v>
      </c>
    </row>
    <row r="595">
      <c r="A595" s="6">
        <v>146.0</v>
      </c>
      <c r="B595" s="76" t="str">
        <f>IFERROR(VLOOKUP($A595,EVENTO!$A$2:$C$4999,2,FALSE),"")</f>
        <v>CADASTRO</v>
      </c>
      <c r="C595" s="76" t="str">
        <f>IFERROR(VLOOKUP($A595,EVENTO!$A$2:$C$4999,3,FALSE),"")</f>
        <v>PREF. MUNICIPAL DE ARACATI - CONTROLADORIA</v>
      </c>
      <c r="D595" s="78" t="s">
        <v>1546</v>
      </c>
      <c r="E595" s="6" t="s">
        <v>1547</v>
      </c>
      <c r="F595" s="78">
        <v>2.0</v>
      </c>
      <c r="G595" s="79">
        <v>270.39</v>
      </c>
    </row>
    <row r="596">
      <c r="A596" s="6">
        <v>146.0</v>
      </c>
      <c r="B596" s="76" t="str">
        <f>IFERROR(VLOOKUP($A596,EVENTO!$A$2:$C$4999,2,FALSE),"")</f>
        <v>CADASTRO</v>
      </c>
      <c r="C596" s="76" t="str">
        <f>IFERROR(VLOOKUP($A596,EVENTO!$A$2:$C$4999,3,FALSE),"")</f>
        <v>PREF. MUNICIPAL DE ARACATI - CONTROLADORIA</v>
      </c>
      <c r="D596" s="78" t="s">
        <v>1456</v>
      </c>
      <c r="E596" s="6" t="s">
        <v>1548</v>
      </c>
      <c r="F596" s="78">
        <v>5.0</v>
      </c>
      <c r="G596" s="79">
        <v>387.36</v>
      </c>
    </row>
    <row r="597">
      <c r="A597" s="6">
        <v>146.0</v>
      </c>
      <c r="B597" s="76" t="str">
        <f>IFERROR(VLOOKUP($A597,EVENTO!$A$2:$C$4999,2,FALSE),"")</f>
        <v>CADASTRO</v>
      </c>
      <c r="C597" s="76" t="str">
        <f>IFERROR(VLOOKUP($A597,EVENTO!$A$2:$C$4999,3,FALSE),"")</f>
        <v>PREF. MUNICIPAL DE ARACATI - CONTROLADORIA</v>
      </c>
      <c r="D597" s="78" t="s">
        <v>1549</v>
      </c>
      <c r="E597" s="6" t="s">
        <v>1550</v>
      </c>
      <c r="F597" s="78">
        <v>5.0</v>
      </c>
      <c r="G597" s="79">
        <v>221.78</v>
      </c>
    </row>
    <row r="598">
      <c r="A598" s="6">
        <v>146.0</v>
      </c>
      <c r="B598" s="76" t="str">
        <f>IFERROR(VLOOKUP($A598,EVENTO!$A$2:$C$4999,2,FALSE),"")</f>
        <v>CADASTRO</v>
      </c>
      <c r="C598" s="76" t="str">
        <f>IFERROR(VLOOKUP($A598,EVENTO!$A$2:$C$4999,3,FALSE),"")</f>
        <v>PREF. MUNICIPAL DE ARACATI - CONTROLADORIA</v>
      </c>
      <c r="D598" s="78" t="s">
        <v>1551</v>
      </c>
      <c r="E598" s="6" t="s">
        <v>1552</v>
      </c>
      <c r="F598" s="78">
        <v>5.0</v>
      </c>
      <c r="G598" s="79">
        <v>173.93</v>
      </c>
    </row>
    <row r="599">
      <c r="A599" s="6">
        <v>146.0</v>
      </c>
      <c r="B599" s="76" t="str">
        <f>IFERROR(VLOOKUP($A599,EVENTO!$A$2:$C$4999,2,FALSE),"")</f>
        <v>CADASTRO</v>
      </c>
      <c r="C599" s="76" t="str">
        <f>IFERROR(VLOOKUP($A599,EVENTO!$A$2:$C$4999,3,FALSE),"")</f>
        <v>PREF. MUNICIPAL DE ARACATI - CONTROLADORIA</v>
      </c>
      <c r="D599" s="87" t="s">
        <v>1553</v>
      </c>
      <c r="F599" s="78">
        <v>4.0</v>
      </c>
      <c r="G599" s="79">
        <v>286.34</v>
      </c>
    </row>
    <row r="600">
      <c r="A600" s="6">
        <v>146.0</v>
      </c>
      <c r="B600" s="76" t="str">
        <f>IFERROR(VLOOKUP($A600,EVENTO!$A$2:$C$4999,2,FALSE),"")</f>
        <v>CADASTRO</v>
      </c>
      <c r="C600" s="76" t="str">
        <f>IFERROR(VLOOKUP($A600,EVENTO!$A$2:$C$4999,3,FALSE),"")</f>
        <v>PREF. MUNICIPAL DE ARACATI - CONTROLADORIA</v>
      </c>
      <c r="D600" s="87" t="s">
        <v>1556</v>
      </c>
      <c r="F600" s="78">
        <v>1.0</v>
      </c>
      <c r="G600" s="79">
        <v>148.11</v>
      </c>
    </row>
    <row r="601">
      <c r="A601" s="6">
        <v>146.0</v>
      </c>
      <c r="B601" s="76" t="str">
        <f>IFERROR(VLOOKUP($A601,EVENTO!$A$2:$C$4999,2,FALSE),"")</f>
        <v>CADASTRO</v>
      </c>
      <c r="C601" s="76" t="str">
        <f>IFERROR(VLOOKUP($A601,EVENTO!$A$2:$C$4999,3,FALSE),"")</f>
        <v>PREF. MUNICIPAL DE ARACATI - CONTROLADORIA</v>
      </c>
      <c r="D601" s="78" t="s">
        <v>1560</v>
      </c>
      <c r="F601" s="78">
        <v>2.0</v>
      </c>
      <c r="G601" s="79">
        <v>50.3</v>
      </c>
    </row>
    <row r="602">
      <c r="A602" s="6">
        <v>146.0</v>
      </c>
      <c r="B602" s="76" t="str">
        <f>IFERROR(VLOOKUP($A602,EVENTO!$A$2:$C$4999,2,FALSE),"")</f>
        <v>CADASTRO</v>
      </c>
      <c r="C602" s="76" t="str">
        <f>IFERROR(VLOOKUP($A602,EVENTO!$A$2:$C$4999,3,FALSE),"")</f>
        <v>PREF. MUNICIPAL DE ARACATI - CONTROLADORIA</v>
      </c>
      <c r="D602" s="78" t="s">
        <v>1504</v>
      </c>
      <c r="F602" s="78">
        <v>4.0</v>
      </c>
      <c r="G602" s="79">
        <v>41.95</v>
      </c>
    </row>
    <row r="603">
      <c r="A603" s="6">
        <v>146.0</v>
      </c>
      <c r="B603" s="76" t="str">
        <f>IFERROR(VLOOKUP($A603,EVENTO!$A$2:$C$4999,2,FALSE),"")</f>
        <v>CADASTRO</v>
      </c>
      <c r="C603" s="76" t="str">
        <f>IFERROR(VLOOKUP($A603,EVENTO!$A$2:$C$4999,3,FALSE),"")</f>
        <v>PREF. MUNICIPAL DE ARACATI - CONTROLADORIA</v>
      </c>
      <c r="D603" s="78" t="s">
        <v>1557</v>
      </c>
      <c r="F603" s="78">
        <v>5.0</v>
      </c>
      <c r="G603" s="79">
        <v>91.18</v>
      </c>
    </row>
    <row r="604">
      <c r="A604" s="6">
        <v>146.0</v>
      </c>
      <c r="B604" s="76" t="str">
        <f>IFERROR(VLOOKUP($A604,EVENTO!$A$2:$C$4999,2,FALSE),"")</f>
        <v>CADASTRO</v>
      </c>
      <c r="C604" s="76" t="str">
        <f>IFERROR(VLOOKUP($A604,EVENTO!$A$2:$C$4999,3,FALSE),"")</f>
        <v>PREF. MUNICIPAL DE ARACATI - CONTROLADORIA</v>
      </c>
      <c r="D604" s="78" t="s">
        <v>1592</v>
      </c>
      <c r="F604" s="78">
        <v>1.0</v>
      </c>
      <c r="G604" s="79">
        <v>193.47</v>
      </c>
    </row>
    <row r="605">
      <c r="A605" s="6">
        <v>146.0</v>
      </c>
      <c r="B605" s="76" t="str">
        <f>IFERROR(VLOOKUP($A605,EVENTO!$A$2:$C$4999,2,FALSE),"")</f>
        <v>CADASTRO</v>
      </c>
      <c r="C605" s="76" t="str">
        <f>IFERROR(VLOOKUP($A605,EVENTO!$A$2:$C$4999,3,FALSE),"")</f>
        <v>PREF. MUNICIPAL DE ARACATI - CONTROLADORIA</v>
      </c>
      <c r="D605" s="78" t="s">
        <v>1575</v>
      </c>
      <c r="F605" s="78">
        <v>1.0</v>
      </c>
      <c r="G605" s="79">
        <v>13.42</v>
      </c>
    </row>
    <row r="606">
      <c r="A606" s="6">
        <v>152.0</v>
      </c>
      <c r="B606" s="76" t="str">
        <f>IFERROR(VLOOKUP($A606,EVENTO!$A$2:$C$4999,2,FALSE),"")</f>
        <v>CADASTRO</v>
      </c>
      <c r="C606" s="76" t="str">
        <f>IFERROR(VLOOKUP($A606,EVENTO!$A$2:$C$4999,3,FALSE),"")</f>
        <v>PREFEITURA MUNICIPAL DE ITAREMA - SAUDE</v>
      </c>
      <c r="D606" s="78" t="s">
        <v>1593</v>
      </c>
      <c r="F606" s="78">
        <v>14.0</v>
      </c>
      <c r="G606" s="79">
        <v>184.17</v>
      </c>
    </row>
    <row r="607">
      <c r="A607" s="6">
        <v>152.0</v>
      </c>
      <c r="B607" s="76" t="str">
        <f>IFERROR(VLOOKUP($A607,EVENTO!$A$2:$C$4999,2,FALSE),"")</f>
        <v>CADASTRO</v>
      </c>
      <c r="C607" s="76" t="str">
        <f>IFERROR(VLOOKUP($A607,EVENTO!$A$2:$C$4999,3,FALSE),"")</f>
        <v>PREFEITURA MUNICIPAL DE ITAREMA - SAUDE</v>
      </c>
      <c r="D607" s="78" t="s">
        <v>1594</v>
      </c>
      <c r="F607" s="78">
        <v>59.0</v>
      </c>
      <c r="G607" s="79">
        <v>132.31</v>
      </c>
    </row>
    <row r="608">
      <c r="A608" s="6">
        <v>152.0</v>
      </c>
      <c r="B608" s="76" t="str">
        <f>IFERROR(VLOOKUP($A608,EVENTO!$A$2:$C$4999,2,FALSE),"")</f>
        <v>CADASTRO</v>
      </c>
      <c r="C608" s="76" t="str">
        <f>IFERROR(VLOOKUP($A608,EVENTO!$A$2:$C$4999,3,FALSE),"")</f>
        <v>PREFEITURA MUNICIPAL DE ITAREMA - SAUDE</v>
      </c>
      <c r="D608" s="78" t="s">
        <v>1548</v>
      </c>
      <c r="F608" s="78">
        <v>50.0</v>
      </c>
      <c r="G608" s="79">
        <v>166.27</v>
      </c>
    </row>
    <row r="609">
      <c r="A609" s="6">
        <v>152.0</v>
      </c>
      <c r="B609" s="76" t="str">
        <f>IFERROR(VLOOKUP($A609,EVENTO!$A$2:$C$4999,2,FALSE),"")</f>
        <v>CADASTRO</v>
      </c>
      <c r="C609" s="76" t="str">
        <f>IFERROR(VLOOKUP($A609,EVENTO!$A$2:$C$4999,3,FALSE),"")</f>
        <v>PREFEITURA MUNICIPAL DE ITAREMA - SAUDE</v>
      </c>
      <c r="D609" s="78" t="s">
        <v>1550</v>
      </c>
      <c r="F609" s="78">
        <v>162.0</v>
      </c>
      <c r="G609" s="79">
        <v>105.81</v>
      </c>
    </row>
    <row r="610">
      <c r="A610" s="6">
        <v>147.0</v>
      </c>
      <c r="B610" s="76" t="str">
        <f>IFERROR(VLOOKUP($A610,EVENTO!$A$2:$C$4999,2,FALSE),"")</f>
        <v>ADITIVO DE PRAZO</v>
      </c>
      <c r="C610" s="76" t="str">
        <f>IFERROR(VLOOKUP($A610,EVENTO!$A$2:$C$4999,3,FALSE),"")</f>
        <v>PREF. MUNICIPAL DE ARACATI - CONTROLADORIA</v>
      </c>
      <c r="D610" s="78" t="s">
        <v>1544</v>
      </c>
      <c r="E610" s="6" t="s">
        <v>1545</v>
      </c>
      <c r="F610" s="78">
        <v>2.0</v>
      </c>
      <c r="G610" s="79">
        <v>534.71</v>
      </c>
    </row>
    <row r="611">
      <c r="A611" s="6">
        <v>147.0</v>
      </c>
      <c r="B611" s="76" t="str">
        <f>IFERROR(VLOOKUP($A611,EVENTO!$A$2:$C$4999,2,FALSE),"")</f>
        <v>ADITIVO DE PRAZO</v>
      </c>
      <c r="C611" s="76" t="str">
        <f>IFERROR(VLOOKUP($A611,EVENTO!$A$2:$C$4999,3,FALSE),"")</f>
        <v>PREF. MUNICIPAL DE ARACATI - CONTROLADORIA</v>
      </c>
      <c r="D611" s="78" t="s">
        <v>1458</v>
      </c>
      <c r="E611" s="6" t="s">
        <v>1535</v>
      </c>
      <c r="F611" s="78">
        <v>2.0</v>
      </c>
      <c r="G611" s="79">
        <v>344.75</v>
      </c>
    </row>
    <row r="612">
      <c r="A612" s="6">
        <v>147.0</v>
      </c>
      <c r="B612" s="76" t="str">
        <f>IFERROR(VLOOKUP($A612,EVENTO!$A$2:$C$4999,2,FALSE),"")</f>
        <v>ADITIVO DE PRAZO</v>
      </c>
      <c r="C612" s="76" t="str">
        <f>IFERROR(VLOOKUP($A612,EVENTO!$A$2:$C$4999,3,FALSE),"")</f>
        <v>PREF. MUNICIPAL DE ARACATI - CONTROLADORIA</v>
      </c>
      <c r="D612" s="78" t="s">
        <v>1546</v>
      </c>
      <c r="E612" s="6" t="s">
        <v>1547</v>
      </c>
      <c r="F612" s="78">
        <v>2.0</v>
      </c>
      <c r="G612" s="79">
        <v>270.39</v>
      </c>
    </row>
    <row r="613">
      <c r="A613" s="6">
        <v>147.0</v>
      </c>
      <c r="B613" s="76" t="str">
        <f>IFERROR(VLOOKUP($A613,EVENTO!$A$2:$C$4999,2,FALSE),"")</f>
        <v>ADITIVO DE PRAZO</v>
      </c>
      <c r="C613" s="76" t="str">
        <f>IFERROR(VLOOKUP($A613,EVENTO!$A$2:$C$4999,3,FALSE),"")</f>
        <v>PREF. MUNICIPAL DE ARACATI - CONTROLADORIA</v>
      </c>
      <c r="D613" s="78" t="s">
        <v>1456</v>
      </c>
      <c r="E613" s="6" t="s">
        <v>1548</v>
      </c>
      <c r="F613" s="78">
        <v>5.0</v>
      </c>
      <c r="G613" s="79">
        <v>387.36</v>
      </c>
    </row>
    <row r="614">
      <c r="A614" s="6">
        <v>147.0</v>
      </c>
      <c r="B614" s="76" t="str">
        <f>IFERROR(VLOOKUP($A614,EVENTO!$A$2:$C$4999,2,FALSE),"")</f>
        <v>ADITIVO DE PRAZO</v>
      </c>
      <c r="C614" s="76" t="str">
        <f>IFERROR(VLOOKUP($A614,EVENTO!$A$2:$C$4999,3,FALSE),"")</f>
        <v>PREF. MUNICIPAL DE ARACATI - CONTROLADORIA</v>
      </c>
      <c r="D614" s="78" t="s">
        <v>1549</v>
      </c>
      <c r="E614" s="6" t="s">
        <v>1550</v>
      </c>
      <c r="F614" s="78">
        <v>5.0</v>
      </c>
      <c r="G614" s="79">
        <v>221.78</v>
      </c>
    </row>
    <row r="615">
      <c r="A615" s="6">
        <v>147.0</v>
      </c>
      <c r="B615" s="76" t="str">
        <f>IFERROR(VLOOKUP($A615,EVENTO!$A$2:$C$4999,2,FALSE),"")</f>
        <v>ADITIVO DE PRAZO</v>
      </c>
      <c r="C615" s="76" t="str">
        <f>IFERROR(VLOOKUP($A615,EVENTO!$A$2:$C$4999,3,FALSE),"")</f>
        <v>PREF. MUNICIPAL DE ARACATI - CONTROLADORIA</v>
      </c>
      <c r="D615" s="78" t="s">
        <v>1551</v>
      </c>
      <c r="E615" s="6" t="s">
        <v>1552</v>
      </c>
      <c r="F615" s="78">
        <v>5.0</v>
      </c>
      <c r="G615" s="79">
        <v>173.93</v>
      </c>
    </row>
    <row r="616">
      <c r="A616" s="6">
        <v>147.0</v>
      </c>
      <c r="B616" s="76" t="str">
        <f>IFERROR(VLOOKUP($A616,EVENTO!$A$2:$C$4999,2,FALSE),"")</f>
        <v>ADITIVO DE PRAZO</v>
      </c>
      <c r="C616" s="76" t="str">
        <f>IFERROR(VLOOKUP($A616,EVENTO!$A$2:$C$4999,3,FALSE),"")</f>
        <v>PREF. MUNICIPAL DE ARACATI - CONTROLADORIA</v>
      </c>
      <c r="D616" s="87" t="s">
        <v>1553</v>
      </c>
      <c r="F616" s="78">
        <v>4.0</v>
      </c>
      <c r="G616" s="79">
        <v>286.34</v>
      </c>
    </row>
    <row r="617">
      <c r="A617" s="6">
        <v>147.0</v>
      </c>
      <c r="B617" s="76" t="str">
        <f>IFERROR(VLOOKUP($A617,EVENTO!$A$2:$C$4999,2,FALSE),"")</f>
        <v>ADITIVO DE PRAZO</v>
      </c>
      <c r="C617" s="76" t="str">
        <f>IFERROR(VLOOKUP($A617,EVENTO!$A$2:$C$4999,3,FALSE),"")</f>
        <v>PREF. MUNICIPAL DE ARACATI - CONTROLADORIA</v>
      </c>
      <c r="D617" s="87" t="s">
        <v>1556</v>
      </c>
      <c r="F617" s="78">
        <v>1.0</v>
      </c>
      <c r="G617" s="79">
        <v>148.11</v>
      </c>
    </row>
    <row r="618">
      <c r="A618" s="6">
        <v>147.0</v>
      </c>
      <c r="B618" s="76" t="str">
        <f>IFERROR(VLOOKUP($A618,EVENTO!$A$2:$C$4999,2,FALSE),"")</f>
        <v>ADITIVO DE PRAZO</v>
      </c>
      <c r="C618" s="76" t="str">
        <f>IFERROR(VLOOKUP($A618,EVENTO!$A$2:$C$4999,3,FALSE),"")</f>
        <v>PREF. MUNICIPAL DE ARACATI - CONTROLADORIA</v>
      </c>
      <c r="D618" s="78" t="s">
        <v>1560</v>
      </c>
      <c r="F618" s="78">
        <v>2.0</v>
      </c>
      <c r="G618" s="79">
        <v>50.3</v>
      </c>
    </row>
    <row r="619">
      <c r="A619" s="6">
        <v>147.0</v>
      </c>
      <c r="B619" s="76" t="str">
        <f>IFERROR(VLOOKUP($A619,EVENTO!$A$2:$C$4999,2,FALSE),"")</f>
        <v>ADITIVO DE PRAZO</v>
      </c>
      <c r="C619" s="76" t="str">
        <f>IFERROR(VLOOKUP($A619,EVENTO!$A$2:$C$4999,3,FALSE),"")</f>
        <v>PREF. MUNICIPAL DE ARACATI - CONTROLADORIA</v>
      </c>
      <c r="D619" s="78" t="s">
        <v>1504</v>
      </c>
      <c r="F619" s="78">
        <v>4.0</v>
      </c>
      <c r="G619" s="79">
        <v>41.95</v>
      </c>
    </row>
    <row r="620">
      <c r="A620" s="6">
        <v>147.0</v>
      </c>
      <c r="B620" s="76" t="str">
        <f>IFERROR(VLOOKUP($A620,EVENTO!$A$2:$C$4999,2,FALSE),"")</f>
        <v>ADITIVO DE PRAZO</v>
      </c>
      <c r="C620" s="76" t="str">
        <f>IFERROR(VLOOKUP($A620,EVENTO!$A$2:$C$4999,3,FALSE),"")</f>
        <v>PREF. MUNICIPAL DE ARACATI - CONTROLADORIA</v>
      </c>
      <c r="D620" s="78" t="s">
        <v>1557</v>
      </c>
      <c r="F620" s="78">
        <v>5.0</v>
      </c>
      <c r="G620" s="79">
        <v>91.18</v>
      </c>
    </row>
    <row r="621">
      <c r="A621" s="6">
        <v>147.0</v>
      </c>
      <c r="B621" s="76" t="str">
        <f>IFERROR(VLOOKUP($A621,EVENTO!$A$2:$C$4999,2,FALSE),"")</f>
        <v>ADITIVO DE PRAZO</v>
      </c>
      <c r="C621" s="76" t="str">
        <f>IFERROR(VLOOKUP($A621,EVENTO!$A$2:$C$4999,3,FALSE),"")</f>
        <v>PREF. MUNICIPAL DE ARACATI - CONTROLADORIA</v>
      </c>
      <c r="D621" s="78" t="s">
        <v>1592</v>
      </c>
      <c r="F621" s="78">
        <v>1.0</v>
      </c>
      <c r="G621" s="79">
        <v>193.47</v>
      </c>
    </row>
    <row r="622">
      <c r="A622" s="6">
        <v>147.0</v>
      </c>
      <c r="B622" s="76" t="str">
        <f>IFERROR(VLOOKUP($A622,EVENTO!$A$2:$C$4999,2,FALSE),"")</f>
        <v>ADITIVO DE PRAZO</v>
      </c>
      <c r="C622" s="76" t="str">
        <f>IFERROR(VLOOKUP($A622,EVENTO!$A$2:$C$4999,3,FALSE),"")</f>
        <v>PREF. MUNICIPAL DE ARACATI - CONTROLADORIA</v>
      </c>
      <c r="D622" s="78" t="s">
        <v>1575</v>
      </c>
      <c r="F622" s="78">
        <v>1.0</v>
      </c>
      <c r="G622" s="79">
        <v>13.42</v>
      </c>
    </row>
    <row r="623">
      <c r="A623" s="6">
        <v>153.0</v>
      </c>
      <c r="B623" s="76" t="str">
        <f>IFERROR(VLOOKUP($A623,EVENTO!$A$2:$C$4999,2,FALSE),"")</f>
        <v>CADASTRO</v>
      </c>
      <c r="C623" s="76" t="str">
        <f>IFERROR(VLOOKUP($A623,EVENTO!$A$2:$C$4999,3,FALSE),"")</f>
        <v>PREFEITURA MUNICIPAL DE ACOPIARA - PROCURADORIA</v>
      </c>
      <c r="D623" s="78" t="s">
        <v>1552</v>
      </c>
      <c r="F623" s="78">
        <v>13.0</v>
      </c>
      <c r="G623" s="79">
        <v>227.98</v>
      </c>
    </row>
    <row r="624">
      <c r="A624" s="6">
        <v>153.0</v>
      </c>
      <c r="B624" s="76" t="str">
        <f>IFERROR(VLOOKUP($A624,EVENTO!$A$2:$C$4999,2,FALSE),"")</f>
        <v>CADASTRO</v>
      </c>
      <c r="C624" s="76" t="str">
        <f>IFERROR(VLOOKUP($A624,EVENTO!$A$2:$C$4999,3,FALSE),"")</f>
        <v>PREFEITURA MUNICIPAL DE ACOPIARA - PROCURADORIA</v>
      </c>
      <c r="D624" s="78" t="s">
        <v>1595</v>
      </c>
      <c r="F624" s="78">
        <v>3.0</v>
      </c>
      <c r="G624" s="79">
        <v>326.12</v>
      </c>
    </row>
    <row r="625">
      <c r="A625" s="6">
        <v>153.0</v>
      </c>
      <c r="B625" s="76" t="str">
        <f>IFERROR(VLOOKUP($A625,EVENTO!$A$2:$C$4999,2,FALSE),"")</f>
        <v>CADASTRO</v>
      </c>
      <c r="C625" s="76" t="str">
        <f>IFERROR(VLOOKUP($A625,EVENTO!$A$2:$C$4999,3,FALSE),"")</f>
        <v>PREFEITURA MUNICIPAL DE ACOPIARA - PROCURADORIA</v>
      </c>
      <c r="D625" s="78" t="s">
        <v>1596</v>
      </c>
      <c r="F625" s="78">
        <v>5.0</v>
      </c>
      <c r="G625" s="79">
        <v>183.21</v>
      </c>
    </row>
    <row r="626">
      <c r="A626" s="6">
        <v>153.0</v>
      </c>
      <c r="B626" s="76" t="str">
        <f>IFERROR(VLOOKUP($A626,EVENTO!$A$2:$C$4999,2,FALSE),"")</f>
        <v>CADASTRO</v>
      </c>
      <c r="C626" s="76" t="str">
        <f>IFERROR(VLOOKUP($A626,EVENTO!$A$2:$C$4999,3,FALSE),"")</f>
        <v>PREFEITURA MUNICIPAL DE ACOPIARA - PROCURADORIA</v>
      </c>
      <c r="D626" s="78" t="s">
        <v>1597</v>
      </c>
      <c r="F626" s="78">
        <v>5.0</v>
      </c>
      <c r="G626" s="79">
        <v>355.97</v>
      </c>
    </row>
    <row r="627">
      <c r="A627" s="6">
        <v>148.0</v>
      </c>
      <c r="B627" s="76" t="str">
        <f>IFERROR(VLOOKUP($A627,EVENTO!$A$2:$C$4999,2,FALSE),"")</f>
        <v>ADITIVO DE PRAZO</v>
      </c>
      <c r="C627" s="76" t="str">
        <f>IFERROR(VLOOKUP($A627,EVENTO!$A$2:$C$4999,3,FALSE),"")</f>
        <v>PREF. MUNICIPAL DE ARACATI - CONTROLADORIA</v>
      </c>
      <c r="D627" s="78" t="s">
        <v>1544</v>
      </c>
      <c r="E627" s="6" t="s">
        <v>1545</v>
      </c>
      <c r="F627" s="78">
        <v>2.0</v>
      </c>
      <c r="G627" s="79">
        <v>534.71</v>
      </c>
    </row>
    <row r="628">
      <c r="A628" s="6">
        <v>148.0</v>
      </c>
      <c r="B628" s="76" t="str">
        <f>IFERROR(VLOOKUP($A628,EVENTO!$A$2:$C$4999,2,FALSE),"")</f>
        <v>ADITIVO DE PRAZO</v>
      </c>
      <c r="C628" s="76" t="str">
        <f>IFERROR(VLOOKUP($A628,EVENTO!$A$2:$C$4999,3,FALSE),"")</f>
        <v>PREF. MUNICIPAL DE ARACATI - CONTROLADORIA</v>
      </c>
      <c r="D628" s="78" t="s">
        <v>1458</v>
      </c>
      <c r="E628" s="6" t="s">
        <v>1535</v>
      </c>
      <c r="F628" s="78">
        <v>2.0</v>
      </c>
      <c r="G628" s="79">
        <v>344.75</v>
      </c>
    </row>
    <row r="629">
      <c r="A629" s="6">
        <v>148.0</v>
      </c>
      <c r="B629" s="76" t="str">
        <f>IFERROR(VLOOKUP($A629,EVENTO!$A$2:$C$4999,2,FALSE),"")</f>
        <v>ADITIVO DE PRAZO</v>
      </c>
      <c r="C629" s="76" t="str">
        <f>IFERROR(VLOOKUP($A629,EVENTO!$A$2:$C$4999,3,FALSE),"")</f>
        <v>PREF. MUNICIPAL DE ARACATI - CONTROLADORIA</v>
      </c>
      <c r="D629" s="78" t="s">
        <v>1546</v>
      </c>
      <c r="E629" s="6" t="s">
        <v>1547</v>
      </c>
      <c r="F629" s="78">
        <v>2.0</v>
      </c>
      <c r="G629" s="79">
        <v>270.39</v>
      </c>
    </row>
    <row r="630">
      <c r="A630" s="6">
        <v>148.0</v>
      </c>
      <c r="B630" s="76" t="str">
        <f>IFERROR(VLOOKUP($A630,EVENTO!$A$2:$C$4999,2,FALSE),"")</f>
        <v>ADITIVO DE PRAZO</v>
      </c>
      <c r="C630" s="76" t="str">
        <f>IFERROR(VLOOKUP($A630,EVENTO!$A$2:$C$4999,3,FALSE),"")</f>
        <v>PREF. MUNICIPAL DE ARACATI - CONTROLADORIA</v>
      </c>
      <c r="D630" s="78" t="s">
        <v>1456</v>
      </c>
      <c r="E630" s="6" t="s">
        <v>1548</v>
      </c>
      <c r="F630" s="78">
        <v>5.0</v>
      </c>
      <c r="G630" s="79">
        <v>387.36</v>
      </c>
    </row>
    <row r="631">
      <c r="A631" s="6">
        <v>148.0</v>
      </c>
      <c r="B631" s="76" t="str">
        <f>IFERROR(VLOOKUP($A631,EVENTO!$A$2:$C$4999,2,FALSE),"")</f>
        <v>ADITIVO DE PRAZO</v>
      </c>
      <c r="C631" s="76" t="str">
        <f>IFERROR(VLOOKUP($A631,EVENTO!$A$2:$C$4999,3,FALSE),"")</f>
        <v>PREF. MUNICIPAL DE ARACATI - CONTROLADORIA</v>
      </c>
      <c r="D631" s="78" t="s">
        <v>1549</v>
      </c>
      <c r="E631" s="6" t="s">
        <v>1550</v>
      </c>
      <c r="F631" s="78">
        <v>5.0</v>
      </c>
      <c r="G631" s="79">
        <v>221.78</v>
      </c>
    </row>
    <row r="632">
      <c r="A632" s="6">
        <v>148.0</v>
      </c>
      <c r="B632" s="76" t="str">
        <f>IFERROR(VLOOKUP($A632,EVENTO!$A$2:$C$4999,2,FALSE),"")</f>
        <v>ADITIVO DE PRAZO</v>
      </c>
      <c r="C632" s="76" t="str">
        <f>IFERROR(VLOOKUP($A632,EVENTO!$A$2:$C$4999,3,FALSE),"")</f>
        <v>PREF. MUNICIPAL DE ARACATI - CONTROLADORIA</v>
      </c>
      <c r="D632" s="78" t="s">
        <v>1551</v>
      </c>
      <c r="E632" s="6" t="s">
        <v>1552</v>
      </c>
      <c r="F632" s="78">
        <v>5.0</v>
      </c>
      <c r="G632" s="79">
        <v>173.93</v>
      </c>
    </row>
    <row r="633">
      <c r="A633" s="6">
        <v>148.0</v>
      </c>
      <c r="B633" s="76" t="str">
        <f>IFERROR(VLOOKUP($A633,EVENTO!$A$2:$C$4999,2,FALSE),"")</f>
        <v>ADITIVO DE PRAZO</v>
      </c>
      <c r="C633" s="76" t="str">
        <f>IFERROR(VLOOKUP($A633,EVENTO!$A$2:$C$4999,3,FALSE),"")</f>
        <v>PREF. MUNICIPAL DE ARACATI - CONTROLADORIA</v>
      </c>
      <c r="D633" s="87" t="s">
        <v>1553</v>
      </c>
      <c r="F633" s="78">
        <v>4.0</v>
      </c>
      <c r="G633" s="79">
        <v>286.34</v>
      </c>
    </row>
    <row r="634">
      <c r="A634" s="6">
        <v>148.0</v>
      </c>
      <c r="B634" s="76" t="str">
        <f>IFERROR(VLOOKUP($A634,EVENTO!$A$2:$C$4999,2,FALSE),"")</f>
        <v>ADITIVO DE PRAZO</v>
      </c>
      <c r="C634" s="76" t="str">
        <f>IFERROR(VLOOKUP($A634,EVENTO!$A$2:$C$4999,3,FALSE),"")</f>
        <v>PREF. MUNICIPAL DE ARACATI - CONTROLADORIA</v>
      </c>
      <c r="D634" s="87" t="s">
        <v>1556</v>
      </c>
      <c r="F634" s="78">
        <v>1.0</v>
      </c>
      <c r="G634" s="79">
        <v>148.11</v>
      </c>
    </row>
    <row r="635">
      <c r="A635" s="6">
        <v>148.0</v>
      </c>
      <c r="B635" s="76" t="str">
        <f>IFERROR(VLOOKUP($A635,EVENTO!$A$2:$C$4999,2,FALSE),"")</f>
        <v>ADITIVO DE PRAZO</v>
      </c>
      <c r="C635" s="76" t="str">
        <f>IFERROR(VLOOKUP($A635,EVENTO!$A$2:$C$4999,3,FALSE),"")</f>
        <v>PREF. MUNICIPAL DE ARACATI - CONTROLADORIA</v>
      </c>
      <c r="D635" s="78" t="s">
        <v>1560</v>
      </c>
      <c r="F635" s="78">
        <v>2.0</v>
      </c>
      <c r="G635" s="79">
        <v>50.3</v>
      </c>
    </row>
    <row r="636">
      <c r="A636" s="6">
        <v>148.0</v>
      </c>
      <c r="B636" s="76" t="str">
        <f>IFERROR(VLOOKUP($A636,EVENTO!$A$2:$C$4999,2,FALSE),"")</f>
        <v>ADITIVO DE PRAZO</v>
      </c>
      <c r="C636" s="76" t="str">
        <f>IFERROR(VLOOKUP($A636,EVENTO!$A$2:$C$4999,3,FALSE),"")</f>
        <v>PREF. MUNICIPAL DE ARACATI - CONTROLADORIA</v>
      </c>
      <c r="D636" s="78" t="s">
        <v>1504</v>
      </c>
      <c r="F636" s="78">
        <v>4.0</v>
      </c>
      <c r="G636" s="79">
        <v>41.95</v>
      </c>
    </row>
    <row r="637">
      <c r="A637" s="6">
        <v>148.0</v>
      </c>
      <c r="B637" s="76" t="str">
        <f>IFERROR(VLOOKUP($A637,EVENTO!$A$2:$C$4999,2,FALSE),"")</f>
        <v>ADITIVO DE PRAZO</v>
      </c>
      <c r="C637" s="76" t="str">
        <f>IFERROR(VLOOKUP($A637,EVENTO!$A$2:$C$4999,3,FALSE),"")</f>
        <v>PREF. MUNICIPAL DE ARACATI - CONTROLADORIA</v>
      </c>
      <c r="D637" s="78" t="s">
        <v>1557</v>
      </c>
      <c r="F637" s="78">
        <v>5.0</v>
      </c>
      <c r="G637" s="79">
        <v>91.18</v>
      </c>
    </row>
    <row r="638">
      <c r="A638" s="6">
        <v>148.0</v>
      </c>
      <c r="B638" s="76" t="str">
        <f>IFERROR(VLOOKUP($A638,EVENTO!$A$2:$C$4999,2,FALSE),"")</f>
        <v>ADITIVO DE PRAZO</v>
      </c>
      <c r="C638" s="76" t="str">
        <f>IFERROR(VLOOKUP($A638,EVENTO!$A$2:$C$4999,3,FALSE),"")</f>
        <v>PREF. MUNICIPAL DE ARACATI - CONTROLADORIA</v>
      </c>
      <c r="D638" s="78" t="s">
        <v>1592</v>
      </c>
      <c r="F638" s="78">
        <v>1.0</v>
      </c>
      <c r="G638" s="79">
        <v>193.47</v>
      </c>
    </row>
    <row r="639">
      <c r="A639" s="6">
        <v>148.0</v>
      </c>
      <c r="B639" s="76" t="str">
        <f>IFERROR(VLOOKUP($A639,EVENTO!$A$2:$C$4999,2,FALSE),"")</f>
        <v>ADITIVO DE PRAZO</v>
      </c>
      <c r="C639" s="76" t="str">
        <f>IFERROR(VLOOKUP($A639,EVENTO!$A$2:$C$4999,3,FALSE),"")</f>
        <v>PREF. MUNICIPAL DE ARACATI - CONTROLADORIA</v>
      </c>
      <c r="D639" s="78" t="s">
        <v>1575</v>
      </c>
      <c r="F639" s="78">
        <v>1.0</v>
      </c>
      <c r="G639" s="79">
        <v>13.42</v>
      </c>
    </row>
    <row r="640">
      <c r="A640" s="6">
        <v>149.0</v>
      </c>
      <c r="B640" s="76" t="str">
        <f>IFERROR(VLOOKUP($A640,EVENTO!$A$2:$C$4999,2,FALSE),"")</f>
        <v>ADITIVO DE PRAZO</v>
      </c>
      <c r="C640" s="76" t="str">
        <f>IFERROR(VLOOKUP($A640,EVENTO!$A$2:$C$4999,3,FALSE),"")</f>
        <v>PREF. MUNICIPAL DE ARACATI - CONTROLADORIA</v>
      </c>
      <c r="D640" s="78" t="s">
        <v>1544</v>
      </c>
      <c r="E640" s="6" t="s">
        <v>1545</v>
      </c>
      <c r="F640" s="78">
        <v>2.0</v>
      </c>
      <c r="G640" s="79">
        <v>534.71</v>
      </c>
    </row>
    <row r="641">
      <c r="A641" s="6">
        <v>149.0</v>
      </c>
      <c r="B641" s="76" t="str">
        <f>IFERROR(VLOOKUP($A641,EVENTO!$A$2:$C$4999,2,FALSE),"")</f>
        <v>ADITIVO DE PRAZO</v>
      </c>
      <c r="C641" s="76" t="str">
        <f>IFERROR(VLOOKUP($A641,EVENTO!$A$2:$C$4999,3,FALSE),"")</f>
        <v>PREF. MUNICIPAL DE ARACATI - CONTROLADORIA</v>
      </c>
      <c r="D641" s="78" t="s">
        <v>1458</v>
      </c>
      <c r="E641" s="6" t="s">
        <v>1535</v>
      </c>
      <c r="F641" s="78">
        <v>2.0</v>
      </c>
      <c r="G641" s="79">
        <v>344.75</v>
      </c>
    </row>
    <row r="642">
      <c r="A642" s="6">
        <v>149.0</v>
      </c>
      <c r="B642" s="76" t="str">
        <f>IFERROR(VLOOKUP($A642,EVENTO!$A$2:$C$4999,2,FALSE),"")</f>
        <v>ADITIVO DE PRAZO</v>
      </c>
      <c r="C642" s="76" t="str">
        <f>IFERROR(VLOOKUP($A642,EVENTO!$A$2:$C$4999,3,FALSE),"")</f>
        <v>PREF. MUNICIPAL DE ARACATI - CONTROLADORIA</v>
      </c>
      <c r="D642" s="78" t="s">
        <v>1546</v>
      </c>
      <c r="E642" s="6" t="s">
        <v>1547</v>
      </c>
      <c r="F642" s="78">
        <v>2.0</v>
      </c>
      <c r="G642" s="79">
        <v>270.39</v>
      </c>
    </row>
    <row r="643">
      <c r="A643" s="6">
        <v>149.0</v>
      </c>
      <c r="B643" s="76" t="str">
        <f>IFERROR(VLOOKUP($A643,EVENTO!$A$2:$C$4999,2,FALSE),"")</f>
        <v>ADITIVO DE PRAZO</v>
      </c>
      <c r="C643" s="76" t="str">
        <f>IFERROR(VLOOKUP($A643,EVENTO!$A$2:$C$4999,3,FALSE),"")</f>
        <v>PREF. MUNICIPAL DE ARACATI - CONTROLADORIA</v>
      </c>
      <c r="D643" s="78" t="s">
        <v>1456</v>
      </c>
      <c r="E643" s="6" t="s">
        <v>1548</v>
      </c>
      <c r="F643" s="78">
        <v>5.0</v>
      </c>
      <c r="G643" s="79">
        <v>387.36</v>
      </c>
    </row>
    <row r="644">
      <c r="A644" s="6">
        <v>149.0</v>
      </c>
      <c r="B644" s="76" t="str">
        <f>IFERROR(VLOOKUP($A644,EVENTO!$A$2:$C$4999,2,FALSE),"")</f>
        <v>ADITIVO DE PRAZO</v>
      </c>
      <c r="C644" s="76" t="str">
        <f>IFERROR(VLOOKUP($A644,EVENTO!$A$2:$C$4999,3,FALSE),"")</f>
        <v>PREF. MUNICIPAL DE ARACATI - CONTROLADORIA</v>
      </c>
      <c r="D644" s="78" t="s">
        <v>1549</v>
      </c>
      <c r="E644" s="6" t="s">
        <v>1550</v>
      </c>
      <c r="F644" s="78">
        <v>5.0</v>
      </c>
      <c r="G644" s="79">
        <v>221.78</v>
      </c>
    </row>
    <row r="645">
      <c r="A645" s="6">
        <v>149.0</v>
      </c>
      <c r="B645" s="76" t="str">
        <f>IFERROR(VLOOKUP($A645,EVENTO!$A$2:$C$4999,2,FALSE),"")</f>
        <v>ADITIVO DE PRAZO</v>
      </c>
      <c r="C645" s="76" t="str">
        <f>IFERROR(VLOOKUP($A645,EVENTO!$A$2:$C$4999,3,FALSE),"")</f>
        <v>PREF. MUNICIPAL DE ARACATI - CONTROLADORIA</v>
      </c>
      <c r="D645" s="78" t="s">
        <v>1551</v>
      </c>
      <c r="E645" s="6" t="s">
        <v>1552</v>
      </c>
      <c r="F645" s="78">
        <v>5.0</v>
      </c>
      <c r="G645" s="79">
        <v>173.93</v>
      </c>
    </row>
    <row r="646">
      <c r="A646" s="6">
        <v>149.0</v>
      </c>
      <c r="B646" s="76" t="str">
        <f>IFERROR(VLOOKUP($A646,EVENTO!$A$2:$C$4999,2,FALSE),"")</f>
        <v>ADITIVO DE PRAZO</v>
      </c>
      <c r="C646" s="76" t="str">
        <f>IFERROR(VLOOKUP($A646,EVENTO!$A$2:$C$4999,3,FALSE),"")</f>
        <v>PREF. MUNICIPAL DE ARACATI - CONTROLADORIA</v>
      </c>
      <c r="D646" s="87" t="s">
        <v>1553</v>
      </c>
      <c r="F646" s="78">
        <v>4.0</v>
      </c>
      <c r="G646" s="79">
        <v>286.34</v>
      </c>
    </row>
    <row r="647">
      <c r="A647" s="6">
        <v>149.0</v>
      </c>
      <c r="B647" s="76" t="str">
        <f>IFERROR(VLOOKUP($A647,EVENTO!$A$2:$C$4999,2,FALSE),"")</f>
        <v>ADITIVO DE PRAZO</v>
      </c>
      <c r="C647" s="76" t="str">
        <f>IFERROR(VLOOKUP($A647,EVENTO!$A$2:$C$4999,3,FALSE),"")</f>
        <v>PREF. MUNICIPAL DE ARACATI - CONTROLADORIA</v>
      </c>
      <c r="D647" s="87" t="s">
        <v>1556</v>
      </c>
      <c r="F647" s="78">
        <v>1.0</v>
      </c>
      <c r="G647" s="79">
        <v>148.11</v>
      </c>
    </row>
    <row r="648">
      <c r="A648" s="6">
        <v>149.0</v>
      </c>
      <c r="B648" s="76" t="str">
        <f>IFERROR(VLOOKUP($A648,EVENTO!$A$2:$C$4999,2,FALSE),"")</f>
        <v>ADITIVO DE PRAZO</v>
      </c>
      <c r="C648" s="76" t="str">
        <f>IFERROR(VLOOKUP($A648,EVENTO!$A$2:$C$4999,3,FALSE),"")</f>
        <v>PREF. MUNICIPAL DE ARACATI - CONTROLADORIA</v>
      </c>
      <c r="D648" s="78" t="s">
        <v>1560</v>
      </c>
      <c r="F648" s="78">
        <v>2.0</v>
      </c>
      <c r="G648" s="79">
        <v>50.3</v>
      </c>
    </row>
    <row r="649">
      <c r="A649" s="6">
        <v>149.0</v>
      </c>
      <c r="B649" s="76" t="str">
        <f>IFERROR(VLOOKUP($A649,EVENTO!$A$2:$C$4999,2,FALSE),"")</f>
        <v>ADITIVO DE PRAZO</v>
      </c>
      <c r="C649" s="76" t="str">
        <f>IFERROR(VLOOKUP($A649,EVENTO!$A$2:$C$4999,3,FALSE),"")</f>
        <v>PREF. MUNICIPAL DE ARACATI - CONTROLADORIA</v>
      </c>
      <c r="D649" s="78" t="s">
        <v>1504</v>
      </c>
      <c r="F649" s="78">
        <v>4.0</v>
      </c>
      <c r="G649" s="79">
        <v>41.95</v>
      </c>
    </row>
    <row r="650">
      <c r="A650" s="6">
        <v>149.0</v>
      </c>
      <c r="B650" s="76" t="str">
        <f>IFERROR(VLOOKUP($A650,EVENTO!$A$2:$C$4999,2,FALSE),"")</f>
        <v>ADITIVO DE PRAZO</v>
      </c>
      <c r="C650" s="76" t="str">
        <f>IFERROR(VLOOKUP($A650,EVENTO!$A$2:$C$4999,3,FALSE),"")</f>
        <v>PREF. MUNICIPAL DE ARACATI - CONTROLADORIA</v>
      </c>
      <c r="D650" s="78" t="s">
        <v>1557</v>
      </c>
      <c r="F650" s="78">
        <v>5.0</v>
      </c>
      <c r="G650" s="79">
        <v>91.18</v>
      </c>
    </row>
    <row r="651">
      <c r="A651" s="6">
        <v>149.0</v>
      </c>
      <c r="B651" s="76" t="str">
        <f>IFERROR(VLOOKUP($A651,EVENTO!$A$2:$C$4999,2,FALSE),"")</f>
        <v>ADITIVO DE PRAZO</v>
      </c>
      <c r="C651" s="76" t="str">
        <f>IFERROR(VLOOKUP($A651,EVENTO!$A$2:$C$4999,3,FALSE),"")</f>
        <v>PREF. MUNICIPAL DE ARACATI - CONTROLADORIA</v>
      </c>
      <c r="D651" s="78" t="s">
        <v>1592</v>
      </c>
      <c r="F651" s="78">
        <v>1.0</v>
      </c>
      <c r="G651" s="79">
        <v>193.47</v>
      </c>
    </row>
    <row r="652">
      <c r="A652" s="6">
        <v>149.0</v>
      </c>
      <c r="B652" s="76" t="str">
        <f>IFERROR(VLOOKUP($A652,EVENTO!$A$2:$C$4999,2,FALSE),"")</f>
        <v>ADITIVO DE PRAZO</v>
      </c>
      <c r="C652" s="76" t="str">
        <f>IFERROR(VLOOKUP($A652,EVENTO!$A$2:$C$4999,3,FALSE),"")</f>
        <v>PREF. MUNICIPAL DE ARACATI - CONTROLADORIA</v>
      </c>
      <c r="D652" s="78" t="s">
        <v>1575</v>
      </c>
      <c r="F652" s="78">
        <v>1.0</v>
      </c>
      <c r="G652" s="79">
        <v>13.42</v>
      </c>
    </row>
    <row r="653">
      <c r="A653" s="6">
        <v>150.0</v>
      </c>
      <c r="B653" s="76" t="str">
        <f>IFERROR(VLOOKUP($A653,EVENTO!$A$2:$C$4999,2,FALSE),"")</f>
        <v>ADITIVO DE PRAZO</v>
      </c>
      <c r="C653" s="76" t="str">
        <f>IFERROR(VLOOKUP($A653,EVENTO!$A$2:$C$4999,3,FALSE),"")</f>
        <v>PREF. MUNICIPAL DE ARACATI - CONTROLADORIA</v>
      </c>
      <c r="D653" s="78" t="s">
        <v>1544</v>
      </c>
      <c r="E653" s="6" t="s">
        <v>1545</v>
      </c>
      <c r="F653" s="78">
        <v>2.0</v>
      </c>
      <c r="G653" s="79">
        <v>534.71</v>
      </c>
    </row>
    <row r="654">
      <c r="A654" s="6">
        <v>150.0</v>
      </c>
      <c r="B654" s="76" t="str">
        <f>IFERROR(VLOOKUP($A654,EVENTO!$A$2:$C$4999,2,FALSE),"")</f>
        <v>ADITIVO DE PRAZO</v>
      </c>
      <c r="C654" s="76" t="str">
        <f>IFERROR(VLOOKUP($A654,EVENTO!$A$2:$C$4999,3,FALSE),"")</f>
        <v>PREF. MUNICIPAL DE ARACATI - CONTROLADORIA</v>
      </c>
      <c r="D654" s="78" t="s">
        <v>1458</v>
      </c>
      <c r="E654" s="6" t="s">
        <v>1535</v>
      </c>
      <c r="F654" s="78">
        <v>2.0</v>
      </c>
      <c r="G654" s="79">
        <v>344.75</v>
      </c>
    </row>
    <row r="655">
      <c r="A655" s="6">
        <v>150.0</v>
      </c>
      <c r="B655" s="76" t="str">
        <f>IFERROR(VLOOKUP($A655,EVENTO!$A$2:$C$4999,2,FALSE),"")</f>
        <v>ADITIVO DE PRAZO</v>
      </c>
      <c r="C655" s="76" t="str">
        <f>IFERROR(VLOOKUP($A655,EVENTO!$A$2:$C$4999,3,FALSE),"")</f>
        <v>PREF. MUNICIPAL DE ARACATI - CONTROLADORIA</v>
      </c>
      <c r="D655" s="78" t="s">
        <v>1546</v>
      </c>
      <c r="E655" s="6" t="s">
        <v>1547</v>
      </c>
      <c r="F655" s="78">
        <v>2.0</v>
      </c>
      <c r="G655" s="79">
        <v>270.39</v>
      </c>
    </row>
    <row r="656">
      <c r="A656" s="6">
        <v>150.0</v>
      </c>
      <c r="B656" s="76" t="str">
        <f>IFERROR(VLOOKUP($A656,EVENTO!$A$2:$C$4999,2,FALSE),"")</f>
        <v>ADITIVO DE PRAZO</v>
      </c>
      <c r="C656" s="76" t="str">
        <f>IFERROR(VLOOKUP($A656,EVENTO!$A$2:$C$4999,3,FALSE),"")</f>
        <v>PREF. MUNICIPAL DE ARACATI - CONTROLADORIA</v>
      </c>
      <c r="D656" s="78" t="s">
        <v>1456</v>
      </c>
      <c r="E656" s="6" t="s">
        <v>1548</v>
      </c>
      <c r="F656" s="78">
        <v>5.0</v>
      </c>
      <c r="G656" s="79">
        <v>387.36</v>
      </c>
    </row>
    <row r="657">
      <c r="A657" s="6">
        <v>150.0</v>
      </c>
      <c r="B657" s="76" t="str">
        <f>IFERROR(VLOOKUP($A657,EVENTO!$A$2:$C$4999,2,FALSE),"")</f>
        <v>ADITIVO DE PRAZO</v>
      </c>
      <c r="C657" s="76" t="str">
        <f>IFERROR(VLOOKUP($A657,EVENTO!$A$2:$C$4999,3,FALSE),"")</f>
        <v>PREF. MUNICIPAL DE ARACATI - CONTROLADORIA</v>
      </c>
      <c r="D657" s="78" t="s">
        <v>1549</v>
      </c>
      <c r="E657" s="6" t="s">
        <v>1550</v>
      </c>
      <c r="F657" s="78">
        <v>5.0</v>
      </c>
      <c r="G657" s="79">
        <v>221.78</v>
      </c>
    </row>
    <row r="658">
      <c r="A658" s="6">
        <v>150.0</v>
      </c>
      <c r="B658" s="76" t="str">
        <f>IFERROR(VLOOKUP($A658,EVENTO!$A$2:$C$4999,2,FALSE),"")</f>
        <v>ADITIVO DE PRAZO</v>
      </c>
      <c r="C658" s="76" t="str">
        <f>IFERROR(VLOOKUP($A658,EVENTO!$A$2:$C$4999,3,FALSE),"")</f>
        <v>PREF. MUNICIPAL DE ARACATI - CONTROLADORIA</v>
      </c>
      <c r="D658" s="78" t="s">
        <v>1551</v>
      </c>
      <c r="E658" s="6" t="s">
        <v>1552</v>
      </c>
      <c r="F658" s="78">
        <v>5.0</v>
      </c>
      <c r="G658" s="79">
        <v>173.93</v>
      </c>
    </row>
    <row r="659">
      <c r="A659" s="6">
        <v>150.0</v>
      </c>
      <c r="B659" s="76" t="str">
        <f>IFERROR(VLOOKUP($A659,EVENTO!$A$2:$C$4999,2,FALSE),"")</f>
        <v>ADITIVO DE PRAZO</v>
      </c>
      <c r="C659" s="76" t="str">
        <f>IFERROR(VLOOKUP($A659,EVENTO!$A$2:$C$4999,3,FALSE),"")</f>
        <v>PREF. MUNICIPAL DE ARACATI - CONTROLADORIA</v>
      </c>
      <c r="D659" s="87" t="s">
        <v>1553</v>
      </c>
      <c r="F659" s="78">
        <v>4.0</v>
      </c>
      <c r="G659" s="79">
        <v>286.34</v>
      </c>
    </row>
    <row r="660">
      <c r="A660" s="6">
        <v>150.0</v>
      </c>
      <c r="B660" s="76" t="str">
        <f>IFERROR(VLOOKUP($A660,EVENTO!$A$2:$C$4999,2,FALSE),"")</f>
        <v>ADITIVO DE PRAZO</v>
      </c>
      <c r="C660" s="76" t="str">
        <f>IFERROR(VLOOKUP($A660,EVENTO!$A$2:$C$4999,3,FALSE),"")</f>
        <v>PREF. MUNICIPAL DE ARACATI - CONTROLADORIA</v>
      </c>
      <c r="D660" s="87" t="s">
        <v>1556</v>
      </c>
      <c r="F660" s="78">
        <v>1.0</v>
      </c>
      <c r="G660" s="79">
        <v>148.11</v>
      </c>
    </row>
    <row r="661">
      <c r="A661" s="6">
        <v>150.0</v>
      </c>
      <c r="B661" s="76" t="str">
        <f>IFERROR(VLOOKUP($A661,EVENTO!$A$2:$C$4999,2,FALSE),"")</f>
        <v>ADITIVO DE PRAZO</v>
      </c>
      <c r="C661" s="76" t="str">
        <f>IFERROR(VLOOKUP($A661,EVENTO!$A$2:$C$4999,3,FALSE),"")</f>
        <v>PREF. MUNICIPAL DE ARACATI - CONTROLADORIA</v>
      </c>
      <c r="D661" s="78" t="s">
        <v>1560</v>
      </c>
      <c r="F661" s="78">
        <v>2.0</v>
      </c>
      <c r="G661" s="79">
        <v>50.3</v>
      </c>
    </row>
    <row r="662">
      <c r="A662" s="6">
        <v>150.0</v>
      </c>
      <c r="B662" s="76" t="str">
        <f>IFERROR(VLOOKUP($A662,EVENTO!$A$2:$C$4999,2,FALSE),"")</f>
        <v>ADITIVO DE PRAZO</v>
      </c>
      <c r="C662" s="76" t="str">
        <f>IFERROR(VLOOKUP($A662,EVENTO!$A$2:$C$4999,3,FALSE),"")</f>
        <v>PREF. MUNICIPAL DE ARACATI - CONTROLADORIA</v>
      </c>
      <c r="D662" s="78" t="s">
        <v>1504</v>
      </c>
      <c r="F662" s="78">
        <v>4.0</v>
      </c>
      <c r="G662" s="79">
        <v>41.95</v>
      </c>
    </row>
    <row r="663">
      <c r="A663" s="6">
        <v>150.0</v>
      </c>
      <c r="B663" s="76" t="str">
        <f>IFERROR(VLOOKUP($A663,EVENTO!$A$2:$C$4999,2,FALSE),"")</f>
        <v>ADITIVO DE PRAZO</v>
      </c>
      <c r="C663" s="76" t="str">
        <f>IFERROR(VLOOKUP($A663,EVENTO!$A$2:$C$4999,3,FALSE),"")</f>
        <v>PREF. MUNICIPAL DE ARACATI - CONTROLADORIA</v>
      </c>
      <c r="D663" s="78" t="s">
        <v>1557</v>
      </c>
      <c r="F663" s="78">
        <v>5.0</v>
      </c>
      <c r="G663" s="79">
        <v>91.18</v>
      </c>
    </row>
    <row r="664">
      <c r="A664" s="6">
        <v>150.0</v>
      </c>
      <c r="B664" s="76" t="str">
        <f>IFERROR(VLOOKUP($A664,EVENTO!$A$2:$C$4999,2,FALSE),"")</f>
        <v>ADITIVO DE PRAZO</v>
      </c>
      <c r="C664" s="76" t="str">
        <f>IFERROR(VLOOKUP($A664,EVENTO!$A$2:$C$4999,3,FALSE),"")</f>
        <v>PREF. MUNICIPAL DE ARACATI - CONTROLADORIA</v>
      </c>
      <c r="D664" s="78" t="s">
        <v>1592</v>
      </c>
      <c r="F664" s="78">
        <v>1.0</v>
      </c>
      <c r="G664" s="79">
        <v>193.47</v>
      </c>
    </row>
    <row r="665">
      <c r="A665" s="6">
        <v>150.0</v>
      </c>
      <c r="B665" s="76" t="str">
        <f>IFERROR(VLOOKUP($A665,EVENTO!$A$2:$C$4999,2,FALSE),"")</f>
        <v>ADITIVO DE PRAZO</v>
      </c>
      <c r="C665" s="76" t="str">
        <f>IFERROR(VLOOKUP($A665,EVENTO!$A$2:$C$4999,3,FALSE),"")</f>
        <v>PREF. MUNICIPAL DE ARACATI - CONTROLADORIA</v>
      </c>
      <c r="D665" s="78" t="s">
        <v>1575</v>
      </c>
      <c r="F665" s="78">
        <v>1.0</v>
      </c>
      <c r="G665" s="79">
        <v>13.42</v>
      </c>
    </row>
    <row r="666">
      <c r="A666" s="6">
        <v>151.0</v>
      </c>
      <c r="B666" s="76" t="str">
        <f>IFERROR(VLOOKUP($A666,EVENTO!$A$2:$C$4999,2,FALSE),"")</f>
        <v>ADITIVO DE PRAZO</v>
      </c>
      <c r="C666" s="76" t="str">
        <f>IFERROR(VLOOKUP($A666,EVENTO!$A$2:$C$4999,3,FALSE),"")</f>
        <v>PREF. MUNICIPAL DE ARACATI - CONTROLADORIA</v>
      </c>
      <c r="D666" s="78" t="s">
        <v>1544</v>
      </c>
      <c r="E666" s="6" t="s">
        <v>1545</v>
      </c>
      <c r="F666" s="78">
        <v>2.0</v>
      </c>
      <c r="G666" s="79">
        <v>534.71</v>
      </c>
    </row>
    <row r="667">
      <c r="A667" s="6">
        <v>151.0</v>
      </c>
      <c r="B667" s="76" t="str">
        <f>IFERROR(VLOOKUP($A667,EVENTO!$A$2:$C$4999,2,FALSE),"")</f>
        <v>ADITIVO DE PRAZO</v>
      </c>
      <c r="C667" s="76" t="str">
        <f>IFERROR(VLOOKUP($A667,EVENTO!$A$2:$C$4999,3,FALSE),"")</f>
        <v>PREF. MUNICIPAL DE ARACATI - CONTROLADORIA</v>
      </c>
      <c r="D667" s="78" t="s">
        <v>1458</v>
      </c>
      <c r="E667" s="6" t="s">
        <v>1535</v>
      </c>
      <c r="F667" s="78">
        <v>2.0</v>
      </c>
      <c r="G667" s="79">
        <v>344.75</v>
      </c>
    </row>
    <row r="668">
      <c r="A668" s="6">
        <v>151.0</v>
      </c>
      <c r="B668" s="76" t="str">
        <f>IFERROR(VLOOKUP($A668,EVENTO!$A$2:$C$4999,2,FALSE),"")</f>
        <v>ADITIVO DE PRAZO</v>
      </c>
      <c r="C668" s="76" t="str">
        <f>IFERROR(VLOOKUP($A668,EVENTO!$A$2:$C$4999,3,FALSE),"")</f>
        <v>PREF. MUNICIPAL DE ARACATI - CONTROLADORIA</v>
      </c>
      <c r="D668" s="78" t="s">
        <v>1546</v>
      </c>
      <c r="E668" s="6" t="s">
        <v>1547</v>
      </c>
      <c r="F668" s="78">
        <v>2.0</v>
      </c>
      <c r="G668" s="79">
        <v>270.39</v>
      </c>
    </row>
    <row r="669">
      <c r="A669" s="6">
        <v>151.0</v>
      </c>
      <c r="B669" s="76" t="str">
        <f>IFERROR(VLOOKUP($A669,EVENTO!$A$2:$C$4999,2,FALSE),"")</f>
        <v>ADITIVO DE PRAZO</v>
      </c>
      <c r="C669" s="76" t="str">
        <f>IFERROR(VLOOKUP($A669,EVENTO!$A$2:$C$4999,3,FALSE),"")</f>
        <v>PREF. MUNICIPAL DE ARACATI - CONTROLADORIA</v>
      </c>
      <c r="D669" s="78" t="s">
        <v>1456</v>
      </c>
      <c r="E669" s="6" t="s">
        <v>1548</v>
      </c>
      <c r="F669" s="78">
        <v>5.0</v>
      </c>
      <c r="G669" s="79">
        <v>387.36</v>
      </c>
    </row>
    <row r="670">
      <c r="A670" s="6">
        <v>151.0</v>
      </c>
      <c r="B670" s="76" t="str">
        <f>IFERROR(VLOOKUP($A670,EVENTO!$A$2:$C$4999,2,FALSE),"")</f>
        <v>ADITIVO DE PRAZO</v>
      </c>
      <c r="C670" s="76" t="str">
        <f>IFERROR(VLOOKUP($A670,EVENTO!$A$2:$C$4999,3,FALSE),"")</f>
        <v>PREF. MUNICIPAL DE ARACATI - CONTROLADORIA</v>
      </c>
      <c r="D670" s="78" t="s">
        <v>1549</v>
      </c>
      <c r="E670" s="6" t="s">
        <v>1550</v>
      </c>
      <c r="F670" s="78">
        <v>5.0</v>
      </c>
      <c r="G670" s="79">
        <v>221.78</v>
      </c>
    </row>
    <row r="671">
      <c r="A671" s="6">
        <v>151.0</v>
      </c>
      <c r="B671" s="76" t="str">
        <f>IFERROR(VLOOKUP($A671,EVENTO!$A$2:$C$4999,2,FALSE),"")</f>
        <v>ADITIVO DE PRAZO</v>
      </c>
      <c r="C671" s="76" t="str">
        <f>IFERROR(VLOOKUP($A671,EVENTO!$A$2:$C$4999,3,FALSE),"")</f>
        <v>PREF. MUNICIPAL DE ARACATI - CONTROLADORIA</v>
      </c>
      <c r="D671" s="78" t="s">
        <v>1551</v>
      </c>
      <c r="E671" s="6" t="s">
        <v>1552</v>
      </c>
      <c r="F671" s="78">
        <v>5.0</v>
      </c>
      <c r="G671" s="79">
        <v>173.93</v>
      </c>
    </row>
    <row r="672">
      <c r="A672" s="6">
        <v>151.0</v>
      </c>
      <c r="B672" s="76" t="str">
        <f>IFERROR(VLOOKUP($A672,EVENTO!$A$2:$C$4999,2,FALSE),"")</f>
        <v>ADITIVO DE PRAZO</v>
      </c>
      <c r="C672" s="76" t="str">
        <f>IFERROR(VLOOKUP($A672,EVENTO!$A$2:$C$4999,3,FALSE),"")</f>
        <v>PREF. MUNICIPAL DE ARACATI - CONTROLADORIA</v>
      </c>
      <c r="D672" s="87" t="s">
        <v>1553</v>
      </c>
      <c r="F672" s="78">
        <v>4.0</v>
      </c>
      <c r="G672" s="79">
        <v>286.34</v>
      </c>
    </row>
    <row r="673">
      <c r="A673" s="6">
        <v>151.0</v>
      </c>
      <c r="B673" s="76" t="str">
        <f>IFERROR(VLOOKUP($A673,EVENTO!$A$2:$C$4999,2,FALSE),"")</f>
        <v>ADITIVO DE PRAZO</v>
      </c>
      <c r="C673" s="76" t="str">
        <f>IFERROR(VLOOKUP($A673,EVENTO!$A$2:$C$4999,3,FALSE),"")</f>
        <v>PREF. MUNICIPAL DE ARACATI - CONTROLADORIA</v>
      </c>
      <c r="D673" s="87" t="s">
        <v>1556</v>
      </c>
      <c r="F673" s="78">
        <v>1.0</v>
      </c>
      <c r="G673" s="79">
        <v>148.11</v>
      </c>
    </row>
    <row r="674">
      <c r="A674" s="6">
        <v>151.0</v>
      </c>
      <c r="B674" s="76" t="str">
        <f>IFERROR(VLOOKUP($A674,EVENTO!$A$2:$C$4999,2,FALSE),"")</f>
        <v>ADITIVO DE PRAZO</v>
      </c>
      <c r="C674" s="76" t="str">
        <f>IFERROR(VLOOKUP($A674,EVENTO!$A$2:$C$4999,3,FALSE),"")</f>
        <v>PREF. MUNICIPAL DE ARACATI - CONTROLADORIA</v>
      </c>
      <c r="D674" s="78" t="s">
        <v>1560</v>
      </c>
      <c r="F674" s="78">
        <v>2.0</v>
      </c>
      <c r="G674" s="79">
        <v>50.3</v>
      </c>
    </row>
    <row r="675">
      <c r="A675" s="6">
        <v>151.0</v>
      </c>
      <c r="B675" s="76" t="str">
        <f>IFERROR(VLOOKUP($A675,EVENTO!$A$2:$C$4999,2,FALSE),"")</f>
        <v>ADITIVO DE PRAZO</v>
      </c>
      <c r="C675" s="76" t="str">
        <f>IFERROR(VLOOKUP($A675,EVENTO!$A$2:$C$4999,3,FALSE),"")</f>
        <v>PREF. MUNICIPAL DE ARACATI - CONTROLADORIA</v>
      </c>
      <c r="D675" s="78" t="s">
        <v>1504</v>
      </c>
      <c r="F675" s="78">
        <v>4.0</v>
      </c>
      <c r="G675" s="79">
        <v>41.95</v>
      </c>
    </row>
    <row r="676">
      <c r="A676" s="6">
        <v>151.0</v>
      </c>
      <c r="B676" s="76" t="str">
        <f>IFERROR(VLOOKUP($A676,EVENTO!$A$2:$C$4999,2,FALSE),"")</f>
        <v>ADITIVO DE PRAZO</v>
      </c>
      <c r="C676" s="76" t="str">
        <f>IFERROR(VLOOKUP($A676,EVENTO!$A$2:$C$4999,3,FALSE),"")</f>
        <v>PREF. MUNICIPAL DE ARACATI - CONTROLADORIA</v>
      </c>
      <c r="D676" s="78" t="s">
        <v>1557</v>
      </c>
      <c r="F676" s="78">
        <v>5.0</v>
      </c>
      <c r="G676" s="79">
        <v>91.18</v>
      </c>
    </row>
    <row r="677">
      <c r="A677" s="6">
        <v>151.0</v>
      </c>
      <c r="B677" s="76" t="str">
        <f>IFERROR(VLOOKUP($A677,EVENTO!$A$2:$C$4999,2,FALSE),"")</f>
        <v>ADITIVO DE PRAZO</v>
      </c>
      <c r="C677" s="76" t="str">
        <f>IFERROR(VLOOKUP($A677,EVENTO!$A$2:$C$4999,3,FALSE),"")</f>
        <v>PREF. MUNICIPAL DE ARACATI - CONTROLADORIA</v>
      </c>
      <c r="D677" s="78" t="s">
        <v>1592</v>
      </c>
      <c r="F677" s="78">
        <v>1.0</v>
      </c>
      <c r="G677" s="79">
        <v>193.47</v>
      </c>
    </row>
    <row r="678">
      <c r="A678" s="6">
        <v>151.0</v>
      </c>
      <c r="B678" s="76" t="str">
        <f>IFERROR(VLOOKUP($A678,EVENTO!$A$2:$C$4999,2,FALSE),"")</f>
        <v>ADITIVO DE PRAZO</v>
      </c>
      <c r="C678" s="76" t="str">
        <f>IFERROR(VLOOKUP($A678,EVENTO!$A$2:$C$4999,3,FALSE),"")</f>
        <v>PREF. MUNICIPAL DE ARACATI - CONTROLADORIA</v>
      </c>
      <c r="D678" s="78" t="s">
        <v>1575</v>
      </c>
      <c r="F678" s="78">
        <v>1.0</v>
      </c>
      <c r="G678" s="79">
        <v>13.42</v>
      </c>
    </row>
    <row r="679">
      <c r="A679" s="6">
        <v>156.0</v>
      </c>
      <c r="B679" s="76" t="str">
        <f>IFERROR(VLOOKUP($A679,EVENTO!$A$2:$C$4999,2,FALSE),"")</f>
        <v>CADASTRO</v>
      </c>
      <c r="C679" s="76" t="str">
        <f>IFERROR(VLOOKUP($A679,EVENTO!$A$2:$C$4999,3,FALSE),"")</f>
        <v>PREFEITURA MUNICIPAL DE MARANGUAPE - SEJUV</v>
      </c>
      <c r="D679" s="78" t="s">
        <v>1567</v>
      </c>
      <c r="E679" s="6" t="s">
        <v>1567</v>
      </c>
      <c r="F679" s="78">
        <v>3.0</v>
      </c>
      <c r="G679" s="79">
        <v>132.31</v>
      </c>
    </row>
    <row r="680">
      <c r="A680" s="6">
        <v>156.0</v>
      </c>
      <c r="B680" s="76" t="str">
        <f>IFERROR(VLOOKUP($A680,EVENTO!$A$2:$C$4999,2,FALSE),"")</f>
        <v>CADASTRO</v>
      </c>
      <c r="C680" s="76" t="str">
        <f>IFERROR(VLOOKUP($A680,EVENTO!$A$2:$C$4999,3,FALSE),"")</f>
        <v>PREFEITURA MUNICIPAL DE MARANGUAPE - SEJUV</v>
      </c>
      <c r="D680" s="78" t="s">
        <v>1598</v>
      </c>
      <c r="E680" s="6" t="s">
        <v>1598</v>
      </c>
      <c r="F680" s="78">
        <v>3.0</v>
      </c>
      <c r="G680" s="79">
        <v>105.81</v>
      </c>
    </row>
    <row r="681">
      <c r="A681" s="6">
        <v>157.0</v>
      </c>
      <c r="B681" s="76" t="str">
        <f>IFERROR(VLOOKUP($A681,EVENTO!$A$2:$C$4999,2,FALSE),"")</f>
        <v>CADASTRO</v>
      </c>
      <c r="C681" s="76" t="str">
        <f>IFERROR(VLOOKUP($A681,EVENTO!$A$2:$C$4999,3,FALSE),"")</f>
        <v>PREFEITURA MUNICIPAL DE MARANGUAPE - TRAB ASSIST SOCIAL - 07.25.03.03.001</v>
      </c>
      <c r="D681" s="78" t="s">
        <v>1599</v>
      </c>
      <c r="E681" s="6" t="s">
        <v>1599</v>
      </c>
      <c r="F681" s="78">
        <v>2.0</v>
      </c>
      <c r="G681" s="79">
        <v>166.27</v>
      </c>
    </row>
    <row r="682">
      <c r="A682" s="6">
        <v>157.0</v>
      </c>
      <c r="B682" s="76" t="str">
        <f>IFERROR(VLOOKUP($A682,EVENTO!$A$2:$C$4999,2,FALSE),"")</f>
        <v>CADASTRO</v>
      </c>
      <c r="C682" s="76" t="str">
        <f>IFERROR(VLOOKUP($A682,EVENTO!$A$2:$C$4999,3,FALSE),"")</f>
        <v>PREFEITURA MUNICIPAL DE MARANGUAPE - TRAB ASSIST SOCIAL - 07.25.03.03.001</v>
      </c>
      <c r="D682" s="78" t="s">
        <v>1600</v>
      </c>
      <c r="E682" s="6" t="s">
        <v>1600</v>
      </c>
      <c r="F682" s="78">
        <v>34.0</v>
      </c>
      <c r="G682" s="79">
        <v>105.81</v>
      </c>
    </row>
    <row r="683">
      <c r="A683" s="6">
        <v>158.0</v>
      </c>
      <c r="B683" s="76" t="str">
        <f>IFERROR(VLOOKUP($A683,EVENTO!$A$2:$C$4999,2,FALSE),"")</f>
        <v>CADASTRO</v>
      </c>
      <c r="C683" s="76" t="str">
        <f>IFERROR(VLOOKUP($A683,EVENTO!$A$2:$C$4999,3,FALSE),"")</f>
        <v>PREFEITURA MUNICIPAL DE MARANGUAPE - TRAB ASSIST SOCIAL - 07.25.04.02.001</v>
      </c>
      <c r="D683" s="78" t="s">
        <v>1589</v>
      </c>
      <c r="E683" s="6" t="s">
        <v>1589</v>
      </c>
      <c r="F683" s="78">
        <v>3.0</v>
      </c>
      <c r="G683" s="79">
        <v>132.31</v>
      </c>
    </row>
    <row r="684">
      <c r="A684" s="6">
        <v>158.0</v>
      </c>
      <c r="B684" s="76" t="str">
        <f>IFERROR(VLOOKUP($A684,EVENTO!$A$2:$C$4999,2,FALSE),"")</f>
        <v>CADASTRO</v>
      </c>
      <c r="C684" s="76" t="str">
        <f>IFERROR(VLOOKUP($A684,EVENTO!$A$2:$C$4999,3,FALSE),"")</f>
        <v>PREFEITURA MUNICIPAL DE MARANGUAPE - TRAB ASSIST SOCIAL - 07.25.04.02.001</v>
      </c>
      <c r="D684" s="78" t="s">
        <v>1590</v>
      </c>
      <c r="E684" s="6" t="s">
        <v>1590</v>
      </c>
      <c r="F684" s="78">
        <v>1.0</v>
      </c>
      <c r="G684" s="79">
        <v>166.27</v>
      </c>
    </row>
    <row r="685">
      <c r="A685" s="6">
        <v>159.0</v>
      </c>
      <c r="B685" s="76" t="str">
        <f>IFERROR(VLOOKUP($A685,EVENTO!$A$2:$C$4999,2,FALSE),"")</f>
        <v>CADASTRO</v>
      </c>
      <c r="C685" s="76" t="str">
        <f>IFERROR(VLOOKUP($A685,EVENTO!$A$2:$C$4999,3,FALSE),"")</f>
        <v>PREFEITURA MUNICIPAL DE ACOPIARA - SAÚDE</v>
      </c>
      <c r="D685" s="78" t="s">
        <v>1552</v>
      </c>
      <c r="F685" s="78">
        <v>53.0</v>
      </c>
      <c r="G685" s="79">
        <v>227.98</v>
      </c>
    </row>
    <row r="686">
      <c r="A686" s="6">
        <v>159.0</v>
      </c>
      <c r="B686" s="76" t="str">
        <f>IFERROR(VLOOKUP($A686,EVENTO!$A$2:$C$4999,2,FALSE),"")</f>
        <v>CADASTRO</v>
      </c>
      <c r="C686" s="76" t="str">
        <f>IFERROR(VLOOKUP($A686,EVENTO!$A$2:$C$4999,3,FALSE),"")</f>
        <v>PREFEITURA MUNICIPAL DE ACOPIARA - SAÚDE</v>
      </c>
      <c r="D686" s="78" t="s">
        <v>1595</v>
      </c>
      <c r="F686" s="78">
        <v>7.0</v>
      </c>
      <c r="G686" s="79">
        <v>326.12</v>
      </c>
    </row>
    <row r="687">
      <c r="A687" s="6">
        <v>159.0</v>
      </c>
      <c r="B687" s="76" t="str">
        <f>IFERROR(VLOOKUP($A687,EVENTO!$A$2:$C$4999,2,FALSE),"")</f>
        <v>CADASTRO</v>
      </c>
      <c r="C687" s="76" t="str">
        <f>IFERROR(VLOOKUP($A687,EVENTO!$A$2:$C$4999,3,FALSE),"")</f>
        <v>PREFEITURA MUNICIPAL DE ACOPIARA - SAÚDE</v>
      </c>
      <c r="D687" s="78" t="s">
        <v>1596</v>
      </c>
      <c r="F687" s="78">
        <v>11.0</v>
      </c>
      <c r="G687" s="79">
        <v>183.21</v>
      </c>
    </row>
    <row r="688">
      <c r="A688" s="6">
        <v>159.0</v>
      </c>
      <c r="B688" s="76" t="str">
        <f>IFERROR(VLOOKUP($A688,EVENTO!$A$2:$C$4999,2,FALSE),"")</f>
        <v>CADASTRO</v>
      </c>
      <c r="C688" s="76" t="str">
        <f>IFERROR(VLOOKUP($A688,EVENTO!$A$2:$C$4999,3,FALSE),"")</f>
        <v>PREFEITURA MUNICIPAL DE ACOPIARA - SAÚDE</v>
      </c>
      <c r="D688" s="78" t="s">
        <v>1601</v>
      </c>
      <c r="F688" s="78">
        <v>11.0</v>
      </c>
      <c r="G688" s="79">
        <v>138.05</v>
      </c>
    </row>
    <row r="689">
      <c r="A689" s="6">
        <v>159.0</v>
      </c>
      <c r="B689" s="76" t="str">
        <f>IFERROR(VLOOKUP($A689,EVENTO!$A$2:$C$4999,2,FALSE),"")</f>
        <v>CADASTRO</v>
      </c>
      <c r="C689" s="76" t="str">
        <f>IFERROR(VLOOKUP($A689,EVENTO!$A$2:$C$4999,3,FALSE),"")</f>
        <v>PREFEITURA MUNICIPAL DE ACOPIARA - SAÚDE</v>
      </c>
      <c r="D689" s="78" t="s">
        <v>1602</v>
      </c>
      <c r="F689" s="78">
        <v>29.0</v>
      </c>
      <c r="G689" s="79">
        <v>339.28</v>
      </c>
    </row>
    <row r="690">
      <c r="A690" s="6">
        <v>159.0</v>
      </c>
      <c r="B690" s="76" t="str">
        <f>IFERROR(VLOOKUP($A690,EVENTO!$A$2:$C$4999,2,FALSE),"")</f>
        <v>CADASTRO</v>
      </c>
      <c r="C690" s="76" t="str">
        <f>IFERROR(VLOOKUP($A690,EVENTO!$A$2:$C$4999,3,FALSE),"")</f>
        <v>PREFEITURA MUNICIPAL DE ACOPIARA - SAÚDE</v>
      </c>
      <c r="D690" s="78" t="s">
        <v>1597</v>
      </c>
      <c r="F690" s="78">
        <v>27.0</v>
      </c>
      <c r="G690" s="79">
        <v>355.97</v>
      </c>
    </row>
    <row r="691">
      <c r="A691" s="6">
        <v>162.0</v>
      </c>
      <c r="B691" s="76" t="str">
        <f>IFERROR(VLOOKUP($A691,EVENTO!$A$2:$C$4999,2,FALSE),"")</f>
        <v>CADASTRO</v>
      </c>
      <c r="C691" s="76" t="str">
        <f>IFERROR(VLOOKUP($A691,EVENTO!$A$2:$C$4999,3,FALSE),"")</f>
        <v>PREFEITURA MUNICIPAL DE ACOPIARA - TRANSPORTE E LOGISTICA</v>
      </c>
      <c r="D691" s="78" t="s">
        <v>1552</v>
      </c>
      <c r="F691" s="78">
        <v>3.0</v>
      </c>
      <c r="G691" s="79">
        <v>227.98</v>
      </c>
    </row>
    <row r="692">
      <c r="A692" s="6">
        <v>162.0</v>
      </c>
      <c r="B692" s="76" t="str">
        <f>IFERROR(VLOOKUP($A692,EVENTO!$A$2:$C$4999,2,FALSE),"")</f>
        <v>CADASTRO</v>
      </c>
      <c r="C692" s="76" t="str">
        <f>IFERROR(VLOOKUP($A692,EVENTO!$A$2:$C$4999,3,FALSE),"")</f>
        <v>PREFEITURA MUNICIPAL DE ACOPIARA - TRANSPORTE E LOGISTICA</v>
      </c>
      <c r="D692" s="78" t="s">
        <v>1595</v>
      </c>
      <c r="F692" s="78">
        <v>1.0</v>
      </c>
      <c r="G692" s="79">
        <v>326.12</v>
      </c>
    </row>
    <row r="693">
      <c r="A693" s="6">
        <v>162.0</v>
      </c>
      <c r="B693" s="76" t="str">
        <f>IFERROR(VLOOKUP($A693,EVENTO!$A$2:$C$4999,2,FALSE),"")</f>
        <v>CADASTRO</v>
      </c>
      <c r="C693" s="76" t="str">
        <f>IFERROR(VLOOKUP($A693,EVENTO!$A$2:$C$4999,3,FALSE),"")</f>
        <v>PREFEITURA MUNICIPAL DE ACOPIARA - TRANSPORTE E LOGISTICA</v>
      </c>
      <c r="D693" s="78" t="s">
        <v>1596</v>
      </c>
      <c r="F693" s="78">
        <v>1.0</v>
      </c>
      <c r="G693" s="79">
        <v>183.21</v>
      </c>
    </row>
    <row r="694">
      <c r="A694" s="6">
        <v>165.0</v>
      </c>
      <c r="B694" s="76" t="str">
        <f>IFERROR(VLOOKUP($A694,EVENTO!$A$2:$C$4999,2,FALSE),"")</f>
        <v>CADASTRO</v>
      </c>
      <c r="C694" s="76" t="str">
        <f>IFERROR(VLOOKUP($A694,EVENTO!$A$2:$C$4999,3,FALSE),"")</f>
        <v>PREFEITURA MUNICIPAL DE ACOPIARA - TRABALHO E DESENVOLVIMENTO SOCIAL</v>
      </c>
      <c r="D694" s="78" t="s">
        <v>1552</v>
      </c>
      <c r="F694" s="78">
        <v>17.0</v>
      </c>
      <c r="G694" s="79">
        <v>227.98</v>
      </c>
    </row>
    <row r="695">
      <c r="A695" s="6">
        <v>165.0</v>
      </c>
      <c r="B695" s="76" t="str">
        <f>IFERROR(VLOOKUP($A695,EVENTO!$A$2:$C$4999,2,FALSE),"")</f>
        <v>CADASTRO</v>
      </c>
      <c r="C695" s="76" t="str">
        <f>IFERROR(VLOOKUP($A695,EVENTO!$A$2:$C$4999,3,FALSE),"")</f>
        <v>PREFEITURA MUNICIPAL DE ACOPIARA - TRABALHO E DESENVOLVIMENTO SOCIAL</v>
      </c>
      <c r="D695" s="78" t="s">
        <v>1595</v>
      </c>
      <c r="F695" s="78">
        <v>3.0</v>
      </c>
      <c r="G695" s="79">
        <v>326.12</v>
      </c>
    </row>
    <row r="696">
      <c r="A696" s="6">
        <v>165.0</v>
      </c>
      <c r="B696" s="76" t="str">
        <f>IFERROR(VLOOKUP($A696,EVENTO!$A$2:$C$4999,2,FALSE),"")</f>
        <v>CADASTRO</v>
      </c>
      <c r="C696" s="76" t="str">
        <f>IFERROR(VLOOKUP($A696,EVENTO!$A$2:$C$4999,3,FALSE),"")</f>
        <v>PREFEITURA MUNICIPAL DE ACOPIARA - TRABALHO E DESENVOLVIMENTO SOCIAL</v>
      </c>
      <c r="D696" s="78" t="s">
        <v>1596</v>
      </c>
      <c r="F696" s="78">
        <v>6.0</v>
      </c>
      <c r="G696" s="79">
        <v>183.21</v>
      </c>
    </row>
    <row r="697">
      <c r="A697" s="6">
        <v>165.0</v>
      </c>
      <c r="B697" s="76" t="str">
        <f>IFERROR(VLOOKUP($A697,EVENTO!$A$2:$C$4999,2,FALSE),"")</f>
        <v>CADASTRO</v>
      </c>
      <c r="C697" s="76" t="str">
        <f>IFERROR(VLOOKUP($A697,EVENTO!$A$2:$C$4999,3,FALSE),"")</f>
        <v>PREFEITURA MUNICIPAL DE ACOPIARA - TRABALHO E DESENVOLVIMENTO SOCIAL</v>
      </c>
      <c r="D697" s="78" t="s">
        <v>1597</v>
      </c>
      <c r="F697" s="78">
        <v>14.0</v>
      </c>
      <c r="G697" s="79">
        <v>355.97</v>
      </c>
    </row>
    <row r="698">
      <c r="A698" s="6">
        <v>168.0</v>
      </c>
      <c r="B698" s="76" t="str">
        <f>IFERROR(VLOOKUP($A698,EVENTO!$A$2:$C$4999,2,FALSE),"")</f>
        <v>CADASTRO</v>
      </c>
      <c r="C698" s="76" t="str">
        <f>IFERROR(VLOOKUP($A698,EVENTO!$A$2:$C$4999,3,FALSE),"")</f>
        <v>PREFEITURA MUNICIPAL DE ACOPIARA - TRABALHO E DESENVOLVIMENTO SOCIAL - PROGRAMAS</v>
      </c>
      <c r="D698" s="78" t="s">
        <v>1552</v>
      </c>
      <c r="F698" s="78">
        <v>23.0</v>
      </c>
      <c r="G698" s="79">
        <v>227.98</v>
      </c>
    </row>
    <row r="699">
      <c r="A699" s="6">
        <v>168.0</v>
      </c>
      <c r="B699" s="76" t="str">
        <f>IFERROR(VLOOKUP($A699,EVENTO!$A$2:$C$4999,2,FALSE),"")</f>
        <v>CADASTRO</v>
      </c>
      <c r="C699" s="76" t="str">
        <f>IFERROR(VLOOKUP($A699,EVENTO!$A$2:$C$4999,3,FALSE),"")</f>
        <v>PREFEITURA MUNICIPAL DE ACOPIARA - TRABALHO E DESENVOLVIMENTO SOCIAL - PROGRAMAS</v>
      </c>
      <c r="D699" s="78" t="s">
        <v>1595</v>
      </c>
      <c r="F699" s="78">
        <v>5.0</v>
      </c>
      <c r="G699" s="79">
        <v>326.12</v>
      </c>
    </row>
    <row r="700">
      <c r="A700" s="6">
        <v>168.0</v>
      </c>
      <c r="B700" s="76" t="str">
        <f>IFERROR(VLOOKUP($A700,EVENTO!$A$2:$C$4999,2,FALSE),"")</f>
        <v>CADASTRO</v>
      </c>
      <c r="C700" s="76" t="str">
        <f>IFERROR(VLOOKUP($A700,EVENTO!$A$2:$C$4999,3,FALSE),"")</f>
        <v>PREFEITURA MUNICIPAL DE ACOPIARA - TRABALHO E DESENVOLVIMENTO SOCIAL - PROGRAMAS</v>
      </c>
      <c r="D700" s="78" t="s">
        <v>1596</v>
      </c>
      <c r="F700" s="78">
        <v>5.0</v>
      </c>
      <c r="G700" s="79">
        <v>183.21</v>
      </c>
    </row>
    <row r="701">
      <c r="A701" s="6">
        <v>168.0</v>
      </c>
      <c r="B701" s="76" t="str">
        <f>IFERROR(VLOOKUP($A701,EVENTO!$A$2:$C$4999,2,FALSE),"")</f>
        <v>CADASTRO</v>
      </c>
      <c r="C701" s="76" t="str">
        <f>IFERROR(VLOOKUP($A701,EVENTO!$A$2:$C$4999,3,FALSE),"")</f>
        <v>PREFEITURA MUNICIPAL DE ACOPIARA - TRABALHO E DESENVOLVIMENTO SOCIAL - PROGRAMAS</v>
      </c>
      <c r="D701" s="78" t="s">
        <v>1597</v>
      </c>
      <c r="F701" s="78">
        <v>7.0</v>
      </c>
      <c r="G701" s="79">
        <v>355.97</v>
      </c>
    </row>
    <row r="702">
      <c r="A702" s="6">
        <v>171.0</v>
      </c>
      <c r="B702" s="76" t="str">
        <f>IFERROR(VLOOKUP($A702,EVENTO!$A$2:$C$4999,2,FALSE),"")</f>
        <v>CADASTRO</v>
      </c>
      <c r="C702" s="76" t="str">
        <f>IFERROR(VLOOKUP($A702,EVENTO!$A$2:$C$4999,3,FALSE),"")</f>
        <v>SECRETARIA DO TRABALHO DO ESTADO DO CEARÁ - SET</v>
      </c>
      <c r="D702" s="78" t="s">
        <v>1603</v>
      </c>
      <c r="E702" s="6" t="s">
        <v>1604</v>
      </c>
      <c r="F702" s="78">
        <v>20.0</v>
      </c>
      <c r="G702" s="79">
        <v>97.2</v>
      </c>
    </row>
    <row r="703">
      <c r="A703" s="6">
        <v>171.0</v>
      </c>
      <c r="B703" s="76" t="str">
        <f>IFERROR(VLOOKUP($A703,EVENTO!$A$2:$C$4999,2,FALSE),"")</f>
        <v>CADASTRO</v>
      </c>
      <c r="C703" s="76" t="str">
        <f>IFERROR(VLOOKUP($A703,EVENTO!$A$2:$C$4999,3,FALSE),"")</f>
        <v>SECRETARIA DO TRABALHO DO ESTADO DO CEARÁ - SET</v>
      </c>
      <c r="D703" s="78" t="s">
        <v>1605</v>
      </c>
      <c r="E703" s="6" t="s">
        <v>1606</v>
      </c>
      <c r="F703" s="78">
        <v>1.0</v>
      </c>
      <c r="G703" s="79">
        <v>1056.0</v>
      </c>
    </row>
    <row r="704">
      <c r="A704" s="6">
        <v>171.0</v>
      </c>
      <c r="B704" s="76" t="str">
        <f>IFERROR(VLOOKUP($A704,EVENTO!$A$2:$C$4999,2,FALSE),"")</f>
        <v>CADASTRO</v>
      </c>
      <c r="C704" s="76" t="str">
        <f>IFERROR(VLOOKUP($A704,EVENTO!$A$2:$C$4999,3,FALSE),"")</f>
        <v>SECRETARIA DO TRABALHO DO ESTADO DO CEARÁ - SET</v>
      </c>
      <c r="D704" s="78" t="s">
        <v>1607</v>
      </c>
      <c r="E704" s="6" t="s">
        <v>1608</v>
      </c>
      <c r="F704" s="78">
        <v>1.0</v>
      </c>
      <c r="G704" s="79">
        <v>1333.0</v>
      </c>
    </row>
    <row r="705">
      <c r="A705" s="6">
        <v>171.0</v>
      </c>
      <c r="B705" s="76" t="str">
        <f>IFERROR(VLOOKUP($A705,EVENTO!$A$2:$C$4999,2,FALSE),"")</f>
        <v>CADASTRO</v>
      </c>
      <c r="C705" s="76" t="str">
        <f>IFERROR(VLOOKUP($A705,EVENTO!$A$2:$C$4999,3,FALSE),"")</f>
        <v>SECRETARIA DO TRABALHO DO ESTADO DO CEARÁ - SET</v>
      </c>
      <c r="D705" s="78" t="s">
        <v>1609</v>
      </c>
      <c r="E705" s="6" t="s">
        <v>1610</v>
      </c>
      <c r="F705" s="78">
        <v>1.0</v>
      </c>
      <c r="G705" s="79">
        <v>528.0</v>
      </c>
    </row>
    <row r="706">
      <c r="A706" s="6">
        <v>171.0</v>
      </c>
      <c r="B706" s="76" t="str">
        <f>IFERROR(VLOOKUP($A706,EVENTO!$A$2:$C$4999,2,FALSE),"")</f>
        <v>CADASTRO</v>
      </c>
      <c r="C706" s="76" t="str">
        <f>IFERROR(VLOOKUP($A706,EVENTO!$A$2:$C$4999,3,FALSE),"")</f>
        <v>SECRETARIA DO TRABALHO DO ESTADO DO CEARÁ - SET</v>
      </c>
      <c r="D706" s="78" t="s">
        <v>1611</v>
      </c>
      <c r="E706" s="6" t="s">
        <v>1612</v>
      </c>
      <c r="F706" s="78">
        <v>1.0</v>
      </c>
      <c r="G706" s="79">
        <v>494.0</v>
      </c>
    </row>
    <row r="707">
      <c r="A707" s="6">
        <v>172.0</v>
      </c>
      <c r="B707" s="76" t="str">
        <f>IFERROR(VLOOKUP($A707,EVENTO!$A$2:$C$4999,2,FALSE),"")</f>
        <v>CADASTRO</v>
      </c>
      <c r="C707" s="76" t="str">
        <f>IFERROR(VLOOKUP($A707,EVENTO!$A$2:$C$4999,3,FALSE),"")</f>
        <v>PREFEITURA MUNICIPAL DE PALMACIA - FUNDO MUNICIPAL DE ASSISTENCIA SOCIAL</v>
      </c>
      <c r="D707" s="78" t="s">
        <v>1460</v>
      </c>
      <c r="E707" s="6" t="s">
        <v>1613</v>
      </c>
      <c r="F707" s="78">
        <v>4.0</v>
      </c>
      <c r="G707" s="79">
        <v>420.0</v>
      </c>
    </row>
    <row r="708">
      <c r="A708" s="6">
        <v>172.0</v>
      </c>
      <c r="B708" s="76" t="str">
        <f>IFERROR(VLOOKUP($A708,EVENTO!$A$2:$C$4999,2,FALSE),"")</f>
        <v>CADASTRO</v>
      </c>
      <c r="C708" s="76" t="str">
        <f>IFERROR(VLOOKUP($A708,EVENTO!$A$2:$C$4999,3,FALSE),"")</f>
        <v>PREFEITURA MUNICIPAL DE PALMACIA - FUNDO MUNICIPAL DE ASSISTENCIA SOCIAL</v>
      </c>
      <c r="D708" s="78" t="s">
        <v>1614</v>
      </c>
      <c r="E708" s="6" t="s">
        <v>1615</v>
      </c>
      <c r="F708" s="78">
        <v>8.0</v>
      </c>
      <c r="G708" s="79">
        <v>352.0</v>
      </c>
    </row>
    <row r="709">
      <c r="A709" s="6">
        <v>172.0</v>
      </c>
      <c r="B709" s="76" t="str">
        <f>IFERROR(VLOOKUP($A709,EVENTO!$A$2:$C$4999,2,FALSE),"")</f>
        <v>CADASTRO</v>
      </c>
      <c r="C709" s="76" t="str">
        <f>IFERROR(VLOOKUP($A709,EVENTO!$A$2:$C$4999,3,FALSE),"")</f>
        <v>PREFEITURA MUNICIPAL DE PALMACIA - FUNDO MUNICIPAL DE ASSISTENCIA SOCIAL</v>
      </c>
      <c r="D709" s="78" t="s">
        <v>1616</v>
      </c>
      <c r="E709" s="6" t="s">
        <v>1617</v>
      </c>
      <c r="F709" s="78">
        <v>9.0</v>
      </c>
      <c r="G709" s="79">
        <v>265.0</v>
      </c>
    </row>
    <row r="710">
      <c r="A710" s="6">
        <v>172.0</v>
      </c>
      <c r="B710" s="76" t="str">
        <f>IFERROR(VLOOKUP($A710,EVENTO!$A$2:$C$4999,2,FALSE),"")</f>
        <v>CADASTRO</v>
      </c>
      <c r="C710" s="76" t="str">
        <f>IFERROR(VLOOKUP($A710,EVENTO!$A$2:$C$4999,3,FALSE),"")</f>
        <v>PREFEITURA MUNICIPAL DE PALMACIA - FUNDO MUNICIPAL DE ASSISTENCIA SOCIAL</v>
      </c>
      <c r="D710" s="78" t="s">
        <v>1618</v>
      </c>
      <c r="E710" s="6" t="s">
        <v>1619</v>
      </c>
      <c r="F710" s="78">
        <v>1.0</v>
      </c>
      <c r="G710" s="79">
        <v>378.0</v>
      </c>
    </row>
    <row r="711">
      <c r="A711" s="6">
        <v>172.0</v>
      </c>
      <c r="B711" s="76" t="str">
        <f>IFERROR(VLOOKUP($A711,EVENTO!$A$2:$C$4999,2,FALSE),"")</f>
        <v>CADASTRO</v>
      </c>
      <c r="C711" s="76" t="str">
        <f>IFERROR(VLOOKUP($A711,EVENTO!$A$2:$C$4999,3,FALSE),"")</f>
        <v>PREFEITURA MUNICIPAL DE PALMACIA - FUNDO MUNICIPAL DE ASSISTENCIA SOCIAL</v>
      </c>
      <c r="D711" s="78" t="s">
        <v>1620</v>
      </c>
      <c r="E711" s="6" t="s">
        <v>1621</v>
      </c>
      <c r="F711" s="78">
        <v>2.0</v>
      </c>
      <c r="G711" s="79">
        <v>123.0</v>
      </c>
    </row>
    <row r="712">
      <c r="A712" s="6">
        <v>172.0</v>
      </c>
      <c r="B712" s="76" t="str">
        <f>IFERROR(VLOOKUP($A712,EVENTO!$A$2:$C$4999,2,FALSE),"")</f>
        <v>CADASTRO</v>
      </c>
      <c r="C712" s="76" t="str">
        <f>IFERROR(VLOOKUP($A712,EVENTO!$A$2:$C$4999,3,FALSE),"")</f>
        <v>PREFEITURA MUNICIPAL DE PALMACIA - FUNDO MUNICIPAL DE ASSISTENCIA SOCIAL</v>
      </c>
      <c r="D712" s="78" t="s">
        <v>1622</v>
      </c>
      <c r="E712" s="6" t="s">
        <v>1619</v>
      </c>
      <c r="F712" s="78">
        <v>5.0</v>
      </c>
      <c r="G712" s="79">
        <v>207.0</v>
      </c>
    </row>
    <row r="713">
      <c r="A713" s="6">
        <v>173.0</v>
      </c>
      <c r="B713" s="76" t="str">
        <f>IFERROR(VLOOKUP($A713,EVENTO!$A$2:$C$4999,2,FALSE),"")</f>
        <v>CADASTRO</v>
      </c>
      <c r="C713" s="76" t="str">
        <f>IFERROR(VLOOKUP($A713,EVENTO!$A$2:$C$4999,3,FALSE),"")</f>
        <v>PREFEITURA MUNICIPAL DE PALMACIA - EDUCAÇÃO</v>
      </c>
      <c r="D713" s="78" t="s">
        <v>1460</v>
      </c>
      <c r="E713" s="6" t="s">
        <v>1613</v>
      </c>
      <c r="F713" s="78">
        <v>5.0</v>
      </c>
      <c r="G713" s="79">
        <v>420.0</v>
      </c>
    </row>
    <row r="714">
      <c r="A714" s="6">
        <v>173.0</v>
      </c>
      <c r="B714" s="76" t="str">
        <f>IFERROR(VLOOKUP($A714,EVENTO!$A$2:$C$4999,2,FALSE),"")</f>
        <v>CADASTRO</v>
      </c>
      <c r="C714" s="76" t="str">
        <f>IFERROR(VLOOKUP($A714,EVENTO!$A$2:$C$4999,3,FALSE),"")</f>
        <v>PREFEITURA MUNICIPAL DE PALMACIA - EDUCAÇÃO</v>
      </c>
      <c r="D714" s="78" t="s">
        <v>1614</v>
      </c>
      <c r="E714" s="6" t="s">
        <v>1615</v>
      </c>
      <c r="F714" s="78">
        <v>5.0</v>
      </c>
      <c r="G714" s="79">
        <v>352.0</v>
      </c>
    </row>
    <row r="715">
      <c r="A715" s="6">
        <v>173.0</v>
      </c>
      <c r="B715" s="76" t="str">
        <f>IFERROR(VLOOKUP($A715,EVENTO!$A$2:$C$4999,2,FALSE),"")</f>
        <v>CADASTRO</v>
      </c>
      <c r="C715" s="76" t="str">
        <f>IFERROR(VLOOKUP($A715,EVENTO!$A$2:$C$4999,3,FALSE),"")</f>
        <v>PREFEITURA MUNICIPAL DE PALMACIA - EDUCAÇÃO</v>
      </c>
      <c r="D715" s="78" t="s">
        <v>1616</v>
      </c>
      <c r="E715" s="6" t="s">
        <v>1617</v>
      </c>
      <c r="F715" s="78">
        <v>2.0</v>
      </c>
      <c r="G715" s="79">
        <v>265.0</v>
      </c>
    </row>
    <row r="716">
      <c r="A716" s="6">
        <v>173.0</v>
      </c>
      <c r="B716" s="76" t="str">
        <f>IFERROR(VLOOKUP($A716,EVENTO!$A$2:$C$4999,2,FALSE),"")</f>
        <v>CADASTRO</v>
      </c>
      <c r="C716" s="76" t="str">
        <f>IFERROR(VLOOKUP($A716,EVENTO!$A$2:$C$4999,3,FALSE),"")</f>
        <v>PREFEITURA MUNICIPAL DE PALMACIA - EDUCAÇÃO</v>
      </c>
      <c r="D716" s="78" t="s">
        <v>1623</v>
      </c>
      <c r="E716" s="6" t="s">
        <v>1617</v>
      </c>
      <c r="F716" s="78">
        <v>2.0</v>
      </c>
      <c r="G716" s="79">
        <v>2474.0</v>
      </c>
    </row>
    <row r="717">
      <c r="A717" s="6">
        <v>173.0</v>
      </c>
      <c r="B717" s="76" t="str">
        <f>IFERROR(VLOOKUP($A717,EVENTO!$A$2:$C$4999,2,FALSE),"")</f>
        <v>CADASTRO</v>
      </c>
      <c r="C717" s="76" t="str">
        <f>IFERROR(VLOOKUP($A717,EVENTO!$A$2:$C$4999,3,FALSE),"")</f>
        <v>PREFEITURA MUNICIPAL DE PALMACIA - EDUCAÇÃO</v>
      </c>
      <c r="D717" s="78" t="s">
        <v>1618</v>
      </c>
      <c r="E717" s="6" t="s">
        <v>1619</v>
      </c>
      <c r="F717" s="78">
        <v>5.0</v>
      </c>
      <c r="G717" s="79">
        <v>378.0</v>
      </c>
    </row>
    <row r="718">
      <c r="A718" s="6">
        <v>173.0</v>
      </c>
      <c r="B718" s="76" t="str">
        <f>IFERROR(VLOOKUP($A718,EVENTO!$A$2:$C$4999,2,FALSE),"")</f>
        <v>CADASTRO</v>
      </c>
      <c r="C718" s="76" t="str">
        <f>IFERROR(VLOOKUP($A718,EVENTO!$A$2:$C$4999,3,FALSE),"")</f>
        <v>PREFEITURA MUNICIPAL DE PALMACIA - EDUCAÇÃO</v>
      </c>
      <c r="D718" s="78" t="s">
        <v>1620</v>
      </c>
      <c r="E718" s="6" t="s">
        <v>1621</v>
      </c>
      <c r="F718" s="78">
        <v>2.0</v>
      </c>
      <c r="G718" s="79">
        <v>123.0</v>
      </c>
    </row>
    <row r="719">
      <c r="A719" s="6">
        <v>173.0</v>
      </c>
      <c r="B719" s="76" t="str">
        <f>IFERROR(VLOOKUP($A719,EVENTO!$A$2:$C$4999,2,FALSE),"")</f>
        <v>CADASTRO</v>
      </c>
      <c r="C719" s="76" t="str">
        <f>IFERROR(VLOOKUP($A719,EVENTO!$A$2:$C$4999,3,FALSE),"")</f>
        <v>PREFEITURA MUNICIPAL DE PALMACIA - EDUCAÇÃO</v>
      </c>
      <c r="D719" s="78" t="s">
        <v>1578</v>
      </c>
      <c r="E719" s="6" t="s">
        <v>1624</v>
      </c>
      <c r="F719" s="78">
        <v>1.0</v>
      </c>
      <c r="G719" s="79">
        <v>173.0</v>
      </c>
    </row>
    <row r="720">
      <c r="A720" s="6">
        <v>174.0</v>
      </c>
      <c r="B720" s="76" t="str">
        <f>IFERROR(VLOOKUP($A720,EVENTO!$A$2:$C$4999,2,FALSE),"")</f>
        <v>CADASTRO</v>
      </c>
      <c r="C720" s="76" t="str">
        <f>IFERROR(VLOOKUP($A720,EVENTO!$A$2:$C$4999,3,FALSE),"")</f>
        <v>PREFEITURA MUNICIPAL DE PALMACIA - FUNDO MUNICIPAL DE PREVIDÊNCIA</v>
      </c>
      <c r="D720" s="78" t="s">
        <v>1622</v>
      </c>
      <c r="E720" s="6" t="s">
        <v>1619</v>
      </c>
      <c r="F720" s="78">
        <v>1.0</v>
      </c>
      <c r="G720" s="79">
        <v>207.0</v>
      </c>
    </row>
    <row r="721">
      <c r="A721" s="6">
        <v>175.0</v>
      </c>
      <c r="B721" s="76" t="str">
        <f>IFERROR(VLOOKUP($A721,EVENTO!$A$2:$C$4999,2,FALSE),"")</f>
        <v>CADASTRO</v>
      </c>
      <c r="C721" s="76" t="str">
        <f>IFERROR(VLOOKUP($A721,EVENTO!$A$2:$C$4999,3,FALSE),"")</f>
        <v>PREFEITURA MUNICIPAL DE PALMACIA - ADMINISTRAÇÃO</v>
      </c>
      <c r="D721" s="78" t="s">
        <v>1460</v>
      </c>
      <c r="E721" s="6" t="s">
        <v>1613</v>
      </c>
      <c r="F721" s="78">
        <v>2.0</v>
      </c>
      <c r="G721" s="79">
        <v>420.0</v>
      </c>
    </row>
    <row r="722">
      <c r="A722" s="6">
        <v>175.0</v>
      </c>
      <c r="B722" s="76" t="str">
        <f>IFERROR(VLOOKUP($A722,EVENTO!$A$2:$C$4999,2,FALSE),"")</f>
        <v>CADASTRO</v>
      </c>
      <c r="C722" s="76" t="str">
        <f>IFERROR(VLOOKUP($A722,EVENTO!$A$2:$C$4999,3,FALSE),"")</f>
        <v>PREFEITURA MUNICIPAL DE PALMACIA - ADMINISTRAÇÃO</v>
      </c>
      <c r="D722" s="78" t="s">
        <v>1614</v>
      </c>
      <c r="E722" s="6" t="s">
        <v>1615</v>
      </c>
      <c r="F722" s="78">
        <v>2.0</v>
      </c>
      <c r="G722" s="79">
        <v>352.0</v>
      </c>
    </row>
    <row r="723">
      <c r="A723" s="6">
        <v>175.0</v>
      </c>
      <c r="B723" s="76" t="str">
        <f>IFERROR(VLOOKUP($A723,EVENTO!$A$2:$C$4999,2,FALSE),"")</f>
        <v>CADASTRO</v>
      </c>
      <c r="C723" s="76" t="str">
        <f>IFERROR(VLOOKUP($A723,EVENTO!$A$2:$C$4999,3,FALSE),"")</f>
        <v>PREFEITURA MUNICIPAL DE PALMACIA - ADMINISTRAÇÃO</v>
      </c>
      <c r="D723" s="78" t="s">
        <v>1616</v>
      </c>
      <c r="E723" s="6" t="s">
        <v>1617</v>
      </c>
      <c r="F723" s="78">
        <v>5.0</v>
      </c>
      <c r="G723" s="79">
        <v>265.0</v>
      </c>
    </row>
    <row r="724">
      <c r="A724" s="6">
        <v>176.0</v>
      </c>
      <c r="B724" s="76" t="str">
        <f>IFERROR(VLOOKUP($A724,EVENTO!$A$2:$C$4999,2,FALSE),"")</f>
        <v>CADASTRO</v>
      </c>
      <c r="C724" s="76" t="str">
        <f>IFERROR(VLOOKUP($A724,EVENTO!$A$2:$C$4999,3,FALSE),"")</f>
        <v>PREFEITURA MUNICIPAL DE PALMACIA - AGRICULTURA E ABASTECIMENTO</v>
      </c>
      <c r="D724" s="78" t="s">
        <v>1614</v>
      </c>
      <c r="E724" s="6" t="s">
        <v>1615</v>
      </c>
      <c r="F724" s="78">
        <v>1.0</v>
      </c>
      <c r="G724" s="79">
        <v>352.0</v>
      </c>
    </row>
    <row r="725">
      <c r="A725" s="6">
        <v>176.0</v>
      </c>
      <c r="B725" s="76" t="str">
        <f>IFERROR(VLOOKUP($A725,EVENTO!$A$2:$C$4999,2,FALSE),"")</f>
        <v>CADASTRO</v>
      </c>
      <c r="C725" s="76" t="str">
        <f>IFERROR(VLOOKUP($A725,EVENTO!$A$2:$C$4999,3,FALSE),"")</f>
        <v>PREFEITURA MUNICIPAL DE PALMACIA - AGRICULTURA E ABASTECIMENTO</v>
      </c>
      <c r="D725" s="78" t="s">
        <v>1616</v>
      </c>
      <c r="E725" s="6" t="s">
        <v>1617</v>
      </c>
      <c r="F725" s="78">
        <v>1.0</v>
      </c>
      <c r="G725" s="79">
        <v>265.0</v>
      </c>
    </row>
    <row r="726">
      <c r="A726" s="6">
        <v>176.0</v>
      </c>
      <c r="B726" s="76" t="str">
        <f>IFERROR(VLOOKUP($A726,EVENTO!$A$2:$C$4999,2,FALSE),"")</f>
        <v>CADASTRO</v>
      </c>
      <c r="C726" s="76" t="str">
        <f>IFERROR(VLOOKUP($A726,EVENTO!$A$2:$C$4999,3,FALSE),"")</f>
        <v>PREFEITURA MUNICIPAL DE PALMACIA - AGRICULTURA E ABASTECIMENTO</v>
      </c>
      <c r="D726" s="78" t="s">
        <v>1620</v>
      </c>
      <c r="E726" s="6" t="s">
        <v>1621</v>
      </c>
      <c r="F726" s="78">
        <v>1.0</v>
      </c>
      <c r="G726" s="79">
        <v>123.0</v>
      </c>
    </row>
    <row r="727">
      <c r="A727" s="6">
        <v>177.0</v>
      </c>
      <c r="B727" s="76" t="str">
        <f>IFERROR(VLOOKUP($A727,EVENTO!$A$2:$C$4999,2,FALSE),"")</f>
        <v>CADASTRO</v>
      </c>
      <c r="C727" s="76" t="str">
        <f>IFERROR(VLOOKUP($A727,EVENTO!$A$2:$C$4999,3,FALSE),"")</f>
        <v>PREFEITURA MUNICIPAL DE PALMACIA - CULTURA</v>
      </c>
      <c r="D727" s="78" t="s">
        <v>1460</v>
      </c>
      <c r="E727" s="6" t="s">
        <v>1613</v>
      </c>
      <c r="F727" s="78">
        <v>1.0</v>
      </c>
      <c r="G727" s="79">
        <v>420.0</v>
      </c>
    </row>
    <row r="728">
      <c r="A728" s="6">
        <v>177.0</v>
      </c>
      <c r="B728" s="76" t="str">
        <f>IFERROR(VLOOKUP($A728,EVENTO!$A$2:$C$4999,2,FALSE),"")</f>
        <v>CADASTRO</v>
      </c>
      <c r="C728" s="76" t="str">
        <f>IFERROR(VLOOKUP($A728,EVENTO!$A$2:$C$4999,3,FALSE),"")</f>
        <v>PREFEITURA MUNICIPAL DE PALMACIA - CULTURA</v>
      </c>
      <c r="D728" s="78" t="s">
        <v>1614</v>
      </c>
      <c r="E728" s="6" t="s">
        <v>1615</v>
      </c>
      <c r="F728" s="78">
        <v>1.0</v>
      </c>
      <c r="G728" s="79">
        <v>352.0</v>
      </c>
    </row>
    <row r="729">
      <c r="A729" s="6">
        <v>177.0</v>
      </c>
      <c r="B729" s="76" t="str">
        <f>IFERROR(VLOOKUP($A729,EVENTO!$A$2:$C$4999,2,FALSE),"")</f>
        <v>CADASTRO</v>
      </c>
      <c r="C729" s="76" t="str">
        <f>IFERROR(VLOOKUP($A729,EVENTO!$A$2:$C$4999,3,FALSE),"")</f>
        <v>PREFEITURA MUNICIPAL DE PALMACIA - CULTURA</v>
      </c>
      <c r="D729" s="78" t="s">
        <v>1616</v>
      </c>
      <c r="E729" s="6" t="s">
        <v>1617</v>
      </c>
      <c r="F729" s="78">
        <v>1.0</v>
      </c>
      <c r="G729" s="79">
        <v>265.0</v>
      </c>
    </row>
    <row r="730">
      <c r="A730" s="6">
        <v>178.0</v>
      </c>
      <c r="B730" s="76" t="str">
        <f>IFERROR(VLOOKUP($A730,EVENTO!$A$2:$C$4999,2,FALSE),"")</f>
        <v>CADASTRO</v>
      </c>
      <c r="C730" s="76" t="str">
        <f>IFERROR(VLOOKUP($A730,EVENTO!$A$2:$C$4999,3,FALSE),"")</f>
        <v>PREFEITURA MUNICIPAL DE PALMACIA - FINANÇAS</v>
      </c>
      <c r="D730" s="78" t="s">
        <v>1460</v>
      </c>
      <c r="E730" s="6" t="s">
        <v>1613</v>
      </c>
      <c r="F730" s="78">
        <v>2.0</v>
      </c>
      <c r="G730" s="79">
        <v>420.0</v>
      </c>
    </row>
    <row r="731">
      <c r="A731" s="6">
        <v>178.0</v>
      </c>
      <c r="B731" s="76" t="str">
        <f>IFERROR(VLOOKUP($A731,EVENTO!$A$2:$C$4999,2,FALSE),"")</f>
        <v>CADASTRO</v>
      </c>
      <c r="C731" s="76" t="str">
        <f>IFERROR(VLOOKUP($A731,EVENTO!$A$2:$C$4999,3,FALSE),"")</f>
        <v>PREFEITURA MUNICIPAL DE PALMACIA - FINANÇAS</v>
      </c>
      <c r="D731" s="78" t="s">
        <v>1614</v>
      </c>
      <c r="E731" s="6" t="s">
        <v>1615</v>
      </c>
      <c r="F731" s="78">
        <v>1.0</v>
      </c>
      <c r="G731" s="79">
        <v>352.0</v>
      </c>
    </row>
    <row r="732">
      <c r="A732" s="6">
        <v>178.0</v>
      </c>
      <c r="B732" s="76" t="str">
        <f>IFERROR(VLOOKUP($A732,EVENTO!$A$2:$C$4999,2,FALSE),"")</f>
        <v>CADASTRO</v>
      </c>
      <c r="C732" s="76" t="str">
        <f>IFERROR(VLOOKUP($A732,EVENTO!$A$2:$C$4999,3,FALSE),"")</f>
        <v>PREFEITURA MUNICIPAL DE PALMACIA - FINANÇAS</v>
      </c>
      <c r="D732" s="78" t="s">
        <v>1616</v>
      </c>
      <c r="E732" s="6" t="s">
        <v>1617</v>
      </c>
      <c r="F732" s="78">
        <v>4.0</v>
      </c>
      <c r="G732" s="79">
        <v>265.0</v>
      </c>
    </row>
    <row r="733">
      <c r="A733" s="6">
        <v>178.0</v>
      </c>
      <c r="B733" s="76" t="str">
        <f>IFERROR(VLOOKUP($A733,EVENTO!$A$2:$C$4999,2,FALSE),"")</f>
        <v>CADASTRO</v>
      </c>
      <c r="C733" s="76" t="str">
        <f>IFERROR(VLOOKUP($A733,EVENTO!$A$2:$C$4999,3,FALSE),"")</f>
        <v>PREFEITURA MUNICIPAL DE PALMACIA - FINANÇAS</v>
      </c>
      <c r="D733" s="78" t="s">
        <v>1622</v>
      </c>
      <c r="E733" s="6" t="s">
        <v>1619</v>
      </c>
      <c r="F733" s="78">
        <v>3.0</v>
      </c>
      <c r="G733" s="79">
        <v>207.0</v>
      </c>
    </row>
    <row r="734">
      <c r="A734" s="6">
        <v>179.0</v>
      </c>
      <c r="B734" s="76" t="str">
        <f>IFERROR(VLOOKUP($A734,EVENTO!$A$2:$C$4999,2,FALSE),"")</f>
        <v>CADASTRO</v>
      </c>
      <c r="C734" s="76" t="str">
        <f>IFERROR(VLOOKUP($A734,EVENTO!$A$2:$C$4999,3,FALSE),"")</f>
        <v>PREFEITURA MUNICIPAL DE PALMACIA - OBRAS E MEIO AMBIENTE</v>
      </c>
      <c r="D734" s="78" t="s">
        <v>1460</v>
      </c>
      <c r="E734" s="6" t="s">
        <v>1613</v>
      </c>
      <c r="F734" s="78">
        <v>1.0</v>
      </c>
      <c r="G734" s="79">
        <v>420.0</v>
      </c>
    </row>
    <row r="735">
      <c r="A735" s="6">
        <v>179.0</v>
      </c>
      <c r="B735" s="76" t="str">
        <f>IFERROR(VLOOKUP($A735,EVENTO!$A$2:$C$4999,2,FALSE),"")</f>
        <v>CADASTRO</v>
      </c>
      <c r="C735" s="76" t="str">
        <f>IFERROR(VLOOKUP($A735,EVENTO!$A$2:$C$4999,3,FALSE),"")</f>
        <v>PREFEITURA MUNICIPAL DE PALMACIA - OBRAS E MEIO AMBIENTE</v>
      </c>
      <c r="D735" s="78" t="s">
        <v>1614</v>
      </c>
      <c r="E735" s="6" t="s">
        <v>1615</v>
      </c>
      <c r="F735" s="78">
        <v>1.0</v>
      </c>
      <c r="G735" s="79">
        <v>352.0</v>
      </c>
    </row>
    <row r="736">
      <c r="A736" s="6">
        <v>179.0</v>
      </c>
      <c r="B736" s="76" t="str">
        <f>IFERROR(VLOOKUP($A736,EVENTO!$A$2:$C$4999,2,FALSE),"")</f>
        <v>CADASTRO</v>
      </c>
      <c r="C736" s="76" t="str">
        <f>IFERROR(VLOOKUP($A736,EVENTO!$A$2:$C$4999,3,FALSE),"")</f>
        <v>PREFEITURA MUNICIPAL DE PALMACIA - OBRAS E MEIO AMBIENTE</v>
      </c>
      <c r="D736" s="78" t="s">
        <v>1616</v>
      </c>
      <c r="E736" s="6" t="s">
        <v>1617</v>
      </c>
      <c r="F736" s="78">
        <v>1.0</v>
      </c>
      <c r="G736" s="79">
        <v>265.0</v>
      </c>
    </row>
    <row r="737">
      <c r="A737" s="6">
        <v>180.0</v>
      </c>
      <c r="B737" s="76" t="str">
        <f>IFERROR(VLOOKUP($A737,EVENTO!$A$2:$C$4999,2,FALSE),"")</f>
        <v>CADASTRO</v>
      </c>
      <c r="C737" s="76" t="str">
        <f>IFERROR(VLOOKUP($A737,EVENTO!$A$2:$C$4999,3,FALSE),"")</f>
        <v>PREFEITURA MUNICIPAL DE PALMACIA - SAÚDE</v>
      </c>
      <c r="D737" s="78" t="s">
        <v>1460</v>
      </c>
      <c r="E737" s="6" t="s">
        <v>1613</v>
      </c>
      <c r="F737" s="78">
        <v>2.0</v>
      </c>
      <c r="G737" s="79">
        <v>420.0</v>
      </c>
    </row>
    <row r="738">
      <c r="A738" s="6">
        <v>180.0</v>
      </c>
      <c r="B738" s="76" t="str">
        <f>IFERROR(VLOOKUP($A738,EVENTO!$A$2:$C$4999,2,FALSE),"")</f>
        <v>CADASTRO</v>
      </c>
      <c r="C738" s="76" t="str">
        <f>IFERROR(VLOOKUP($A738,EVENTO!$A$2:$C$4999,3,FALSE),"")</f>
        <v>PREFEITURA MUNICIPAL DE PALMACIA - SAÚDE</v>
      </c>
      <c r="D738" s="78" t="s">
        <v>1614</v>
      </c>
      <c r="E738" s="6" t="s">
        <v>1615</v>
      </c>
      <c r="F738" s="78">
        <v>4.0</v>
      </c>
      <c r="G738" s="79">
        <v>352.0</v>
      </c>
    </row>
    <row r="739">
      <c r="A739" s="6">
        <v>180.0</v>
      </c>
      <c r="B739" s="76" t="str">
        <f>IFERROR(VLOOKUP($A739,EVENTO!$A$2:$C$4999,2,FALSE),"")</f>
        <v>CADASTRO</v>
      </c>
      <c r="C739" s="76" t="str">
        <f>IFERROR(VLOOKUP($A739,EVENTO!$A$2:$C$4999,3,FALSE),"")</f>
        <v>PREFEITURA MUNICIPAL DE PALMACIA - SAÚDE</v>
      </c>
      <c r="D739" s="78" t="s">
        <v>1616</v>
      </c>
      <c r="E739" s="6" t="s">
        <v>1617</v>
      </c>
      <c r="F739" s="78">
        <v>1.0</v>
      </c>
      <c r="G739" s="79">
        <v>265.0</v>
      </c>
    </row>
    <row r="740">
      <c r="A740" s="6">
        <v>180.0</v>
      </c>
      <c r="B740" s="76" t="str">
        <f>IFERROR(VLOOKUP($A740,EVENTO!$A$2:$C$4999,2,FALSE),"")</f>
        <v>CADASTRO</v>
      </c>
      <c r="C740" s="76" t="str">
        <f>IFERROR(VLOOKUP($A740,EVENTO!$A$2:$C$4999,3,FALSE),"")</f>
        <v>PREFEITURA MUNICIPAL DE PALMACIA - SAÚDE</v>
      </c>
      <c r="D740" s="78" t="s">
        <v>1620</v>
      </c>
      <c r="E740" s="6" t="s">
        <v>1621</v>
      </c>
      <c r="F740" s="78">
        <v>3.0</v>
      </c>
      <c r="G740" s="79">
        <v>123.0</v>
      </c>
    </row>
    <row r="741">
      <c r="A741" s="6">
        <v>180.0</v>
      </c>
      <c r="B741" s="76" t="str">
        <f>IFERROR(VLOOKUP($A741,EVENTO!$A$2:$C$4999,2,FALSE),"")</f>
        <v>CADASTRO</v>
      </c>
      <c r="C741" s="76" t="str">
        <f>IFERROR(VLOOKUP($A741,EVENTO!$A$2:$C$4999,3,FALSE),"")</f>
        <v>PREFEITURA MUNICIPAL DE PALMACIA - SAÚDE</v>
      </c>
      <c r="D741" s="78" t="s">
        <v>1622</v>
      </c>
      <c r="E741" s="6" t="s">
        <v>1619</v>
      </c>
      <c r="F741" s="78">
        <v>1.0</v>
      </c>
      <c r="G741" s="79">
        <v>207.0</v>
      </c>
    </row>
    <row r="742">
      <c r="A742" s="6">
        <v>181.0</v>
      </c>
      <c r="B742" s="76" t="str">
        <f>IFERROR(VLOOKUP($A742,EVENTO!$A$2:$C$4999,2,FALSE),"")</f>
        <v>CADASTRO</v>
      </c>
      <c r="C742" s="76" t="str">
        <f>IFERROR(VLOOKUP($A742,EVENTO!$A$2:$C$4999,3,FALSE),"")</f>
        <v>Hospital Municipal Dr. Augeu Braga Herbster</v>
      </c>
      <c r="D742" s="78" t="s">
        <v>1589</v>
      </c>
      <c r="E742" s="6" t="s">
        <v>1589</v>
      </c>
      <c r="F742" s="78">
        <v>2.0</v>
      </c>
      <c r="G742" s="79">
        <v>132.31</v>
      </c>
    </row>
    <row r="743">
      <c r="A743" s="6">
        <v>181.0</v>
      </c>
      <c r="B743" s="76" t="str">
        <f>IFERROR(VLOOKUP($A743,EVENTO!$A$2:$C$4999,2,FALSE),"")</f>
        <v>CADASTRO</v>
      </c>
      <c r="C743" s="76" t="str">
        <f>IFERROR(VLOOKUP($A743,EVENTO!$A$2:$C$4999,3,FALSE),"")</f>
        <v>Hospital Municipal Dr. Augeu Braga Herbster</v>
      </c>
      <c r="D743" s="78" t="s">
        <v>1591</v>
      </c>
      <c r="E743" s="6" t="s">
        <v>1591</v>
      </c>
      <c r="F743" s="78">
        <v>15.0</v>
      </c>
      <c r="G743" s="79">
        <v>105.81</v>
      </c>
    </row>
    <row r="744">
      <c r="A744" s="6">
        <v>183.0</v>
      </c>
      <c r="B744" s="76" t="str">
        <f>IFERROR(VLOOKUP($A744,EVENTO!$A$2:$C$4999,2,FALSE),"")</f>
        <v>CADASTRO</v>
      </c>
      <c r="C744" s="76" t="str">
        <f>IFERROR(VLOOKUP($A744,EVENTO!$A$2:$C$4999,3,FALSE),"")</f>
        <v>PREFEITURA MUNICIPAL DE ARACATI - DESENVOLVIMENTO AGRÁRIO </v>
      </c>
      <c r="D744" s="78" t="s">
        <v>1544</v>
      </c>
      <c r="E744" s="6" t="s">
        <v>1545</v>
      </c>
      <c r="F744" s="78">
        <v>1.0</v>
      </c>
      <c r="G744" s="79">
        <v>534.71</v>
      </c>
    </row>
    <row r="745">
      <c r="A745" s="6">
        <v>183.0</v>
      </c>
      <c r="B745" s="76" t="str">
        <f>IFERROR(VLOOKUP($A745,EVENTO!$A$2:$C$4999,2,FALSE),"")</f>
        <v>CADASTRO</v>
      </c>
      <c r="C745" s="76" t="str">
        <f>IFERROR(VLOOKUP($A745,EVENTO!$A$2:$C$4999,3,FALSE),"")</f>
        <v>PREFEITURA MUNICIPAL DE ARACATI - DESENVOLVIMENTO AGRÁRIO </v>
      </c>
      <c r="D745" s="78" t="s">
        <v>1458</v>
      </c>
      <c r="E745" s="6" t="s">
        <v>1535</v>
      </c>
      <c r="F745" s="78">
        <v>3.0</v>
      </c>
      <c r="G745" s="79">
        <v>344.75</v>
      </c>
    </row>
    <row r="746">
      <c r="A746" s="6">
        <v>183.0</v>
      </c>
      <c r="B746" s="76" t="str">
        <f>IFERROR(VLOOKUP($A746,EVENTO!$A$2:$C$4999,2,FALSE),"")</f>
        <v>CADASTRO</v>
      </c>
      <c r="C746" s="76" t="str">
        <f>IFERROR(VLOOKUP($A746,EVENTO!$A$2:$C$4999,3,FALSE),"")</f>
        <v>PREFEITURA MUNICIPAL DE ARACATI - DESENVOLVIMENTO AGRÁRIO </v>
      </c>
      <c r="D746" s="78" t="s">
        <v>1546</v>
      </c>
      <c r="E746" s="6" t="s">
        <v>1547</v>
      </c>
      <c r="F746" s="78">
        <v>3.0</v>
      </c>
      <c r="G746" s="79">
        <v>270.39</v>
      </c>
    </row>
    <row r="747">
      <c r="A747" s="6">
        <v>183.0</v>
      </c>
      <c r="B747" s="76" t="str">
        <f>IFERROR(VLOOKUP($A747,EVENTO!$A$2:$C$4999,2,FALSE),"")</f>
        <v>CADASTRO</v>
      </c>
      <c r="C747" s="76" t="str">
        <f>IFERROR(VLOOKUP($A747,EVENTO!$A$2:$C$4999,3,FALSE),"")</f>
        <v>PREFEITURA MUNICIPAL DE ARACATI - DESENVOLVIMENTO AGRÁRIO </v>
      </c>
      <c r="D747" s="78" t="s">
        <v>1456</v>
      </c>
      <c r="E747" s="6" t="s">
        <v>1548</v>
      </c>
      <c r="F747" s="78">
        <v>3.0</v>
      </c>
      <c r="G747" s="79">
        <v>387.36</v>
      </c>
    </row>
    <row r="748">
      <c r="A748" s="6">
        <v>183.0</v>
      </c>
      <c r="B748" s="76" t="str">
        <f>IFERROR(VLOOKUP($A748,EVENTO!$A$2:$C$4999,2,FALSE),"")</f>
        <v>CADASTRO</v>
      </c>
      <c r="C748" s="76" t="str">
        <f>IFERROR(VLOOKUP($A748,EVENTO!$A$2:$C$4999,3,FALSE),"")</f>
        <v>PREFEITURA MUNICIPAL DE ARACATI - DESENVOLVIMENTO AGRÁRIO </v>
      </c>
      <c r="D748" s="78" t="s">
        <v>1549</v>
      </c>
      <c r="E748" s="6" t="s">
        <v>1550</v>
      </c>
      <c r="F748" s="78">
        <v>12.0</v>
      </c>
      <c r="G748" s="79">
        <v>221.78</v>
      </c>
    </row>
    <row r="749">
      <c r="A749" s="6">
        <v>183.0</v>
      </c>
      <c r="B749" s="76" t="str">
        <f>IFERROR(VLOOKUP($A749,EVENTO!$A$2:$C$4999,2,FALSE),"")</f>
        <v>CADASTRO</v>
      </c>
      <c r="C749" s="76" t="str">
        <f>IFERROR(VLOOKUP($A749,EVENTO!$A$2:$C$4999,3,FALSE),"")</f>
        <v>PREFEITURA MUNICIPAL DE ARACATI - DESENVOLVIMENTO AGRÁRIO </v>
      </c>
      <c r="D749" s="78" t="s">
        <v>1551</v>
      </c>
      <c r="E749" s="6" t="s">
        <v>1552</v>
      </c>
      <c r="F749" s="78">
        <v>8.0</v>
      </c>
      <c r="G749" s="79">
        <v>173.93</v>
      </c>
    </row>
    <row r="750">
      <c r="A750" s="6">
        <v>183.0</v>
      </c>
      <c r="B750" s="76" t="str">
        <f>IFERROR(VLOOKUP($A750,EVENTO!$A$2:$C$4999,2,FALSE),"")</f>
        <v>CADASTRO</v>
      </c>
      <c r="C750" s="76" t="str">
        <f>IFERROR(VLOOKUP($A750,EVENTO!$A$2:$C$4999,3,FALSE),"")</f>
        <v>PREFEITURA MUNICIPAL DE ARACATI - DESENVOLVIMENTO AGRÁRIO </v>
      </c>
      <c r="D750" s="87" t="s">
        <v>1553</v>
      </c>
      <c r="F750" s="78">
        <v>2.0</v>
      </c>
      <c r="G750" s="79">
        <v>286.34</v>
      </c>
    </row>
    <row r="751">
      <c r="A751" s="6">
        <v>183.0</v>
      </c>
      <c r="B751" s="76" t="str">
        <f>IFERROR(VLOOKUP($A751,EVENTO!$A$2:$C$4999,2,FALSE),"")</f>
        <v>CADASTRO</v>
      </c>
      <c r="C751" s="76" t="str">
        <f>IFERROR(VLOOKUP($A751,EVENTO!$A$2:$C$4999,3,FALSE),"")</f>
        <v>PREFEITURA MUNICIPAL DE ARACATI - DESENVOLVIMENTO AGRÁRIO </v>
      </c>
      <c r="D751" s="87" t="s">
        <v>1487</v>
      </c>
      <c r="F751" s="78">
        <v>2.0</v>
      </c>
      <c r="G751" s="79">
        <v>234.7</v>
      </c>
    </row>
    <row r="752">
      <c r="A752" s="6">
        <v>183.0</v>
      </c>
      <c r="B752" s="76" t="str">
        <f>IFERROR(VLOOKUP($A752,EVENTO!$A$2:$C$4999,2,FALSE),"")</f>
        <v>CADASTRO</v>
      </c>
      <c r="C752" s="76" t="str">
        <f>IFERROR(VLOOKUP($A752,EVENTO!$A$2:$C$4999,3,FALSE),"")</f>
        <v>PREFEITURA MUNICIPAL DE ARACATI - DESENVOLVIMENTO AGRÁRIO </v>
      </c>
      <c r="D752" s="87" t="s">
        <v>1556</v>
      </c>
      <c r="F752" s="78">
        <v>2.0</v>
      </c>
      <c r="G752" s="79">
        <v>148.11</v>
      </c>
    </row>
    <row r="753">
      <c r="A753" s="6">
        <v>183.0</v>
      </c>
      <c r="B753" s="76" t="str">
        <f>IFERROR(VLOOKUP($A753,EVENTO!$A$2:$C$4999,2,FALSE),"")</f>
        <v>CADASTRO</v>
      </c>
      <c r="C753" s="76" t="str">
        <f>IFERROR(VLOOKUP($A753,EVENTO!$A$2:$C$4999,3,FALSE),"")</f>
        <v>PREFEITURA MUNICIPAL DE ARACATI - DESENVOLVIMENTO AGRÁRIO </v>
      </c>
      <c r="D753" s="78" t="s">
        <v>1504</v>
      </c>
      <c r="F753" s="78">
        <v>3.0</v>
      </c>
      <c r="G753" s="79">
        <v>41.95</v>
      </c>
    </row>
    <row r="754">
      <c r="A754" s="6">
        <v>183.0</v>
      </c>
      <c r="B754" s="76" t="str">
        <f>IFERROR(VLOOKUP($A754,EVENTO!$A$2:$C$4999,2,FALSE),"")</f>
        <v>CADASTRO</v>
      </c>
      <c r="C754" s="76" t="str">
        <f>IFERROR(VLOOKUP($A754,EVENTO!$A$2:$C$4999,3,FALSE),"")</f>
        <v>PREFEITURA MUNICIPAL DE ARACATI - DESENVOLVIMENTO AGRÁRIO </v>
      </c>
      <c r="D754" s="78" t="s">
        <v>1557</v>
      </c>
      <c r="F754" s="78">
        <v>1.0</v>
      </c>
      <c r="G754" s="79">
        <v>91.18</v>
      </c>
    </row>
    <row r="755">
      <c r="A755" s="6">
        <v>183.0</v>
      </c>
      <c r="B755" s="76" t="str">
        <f>IFERROR(VLOOKUP($A755,EVENTO!$A$2:$C$4999,2,FALSE),"")</f>
        <v>CADASTRO</v>
      </c>
      <c r="C755" s="76" t="str">
        <f>IFERROR(VLOOKUP($A755,EVENTO!$A$2:$C$4999,3,FALSE),"")</f>
        <v>PREFEITURA MUNICIPAL DE ARACATI - DESENVOLVIMENTO AGRÁRIO </v>
      </c>
      <c r="D755" s="78" t="s">
        <v>1560</v>
      </c>
      <c r="F755" s="78">
        <v>2.0</v>
      </c>
      <c r="G755" s="79">
        <v>50.3</v>
      </c>
    </row>
    <row r="756">
      <c r="A756" s="6">
        <v>189.0</v>
      </c>
      <c r="B756" s="76" t="str">
        <f>IFERROR(VLOOKUP($A756,EVENTO!$A$2:$C$4999,2,FALSE),"")</f>
        <v>CADASTRO</v>
      </c>
      <c r="C756" s="76" t="str">
        <f>IFERROR(VLOOKUP($A756,EVENTO!$A$2:$C$4999,3,FALSE),"")</f>
        <v>PREFEITURA MUNICIPAL DE MARANGUAPE - EDUCAÇÃO</v>
      </c>
      <c r="D756" s="78" t="s">
        <v>1589</v>
      </c>
      <c r="F756" s="78">
        <v>20.0</v>
      </c>
      <c r="G756" s="79">
        <v>132.31</v>
      </c>
    </row>
    <row r="757">
      <c r="A757" s="6">
        <v>189.0</v>
      </c>
      <c r="B757" s="76" t="str">
        <f>IFERROR(VLOOKUP($A757,EVENTO!$A$2:$C$4999,2,FALSE),"")</f>
        <v>CADASTRO</v>
      </c>
      <c r="C757" s="76" t="str">
        <f>IFERROR(VLOOKUP($A757,EVENTO!$A$2:$C$4999,3,FALSE),"")</f>
        <v>PREFEITURA MUNICIPAL DE MARANGUAPE - EDUCAÇÃO</v>
      </c>
      <c r="D757" s="78" t="s">
        <v>1591</v>
      </c>
      <c r="F757" s="78">
        <v>70.0</v>
      </c>
      <c r="G757" s="79">
        <v>105.81</v>
      </c>
    </row>
    <row r="758">
      <c r="A758" s="6">
        <v>190.0</v>
      </c>
      <c r="B758" s="76" t="str">
        <f>IFERROR(VLOOKUP($A758,EVENTO!$A$2:$C$4999,2,FALSE),"")</f>
        <v>CADASTRO</v>
      </c>
      <c r="C758" s="76" t="str">
        <f>IFERROR(VLOOKUP($A758,EVENTO!$A$2:$C$4999,3,FALSE),"")</f>
        <v>CÂMARA MUNICIPAL DE CAUCAIA </v>
      </c>
      <c r="D758" s="78" t="s">
        <v>1593</v>
      </c>
      <c r="F758" s="78">
        <v>1.0</v>
      </c>
      <c r="G758" s="89">
        <v>534.71</v>
      </c>
    </row>
    <row r="759">
      <c r="A759" s="6">
        <v>190.0</v>
      </c>
      <c r="B759" s="76" t="str">
        <f>IFERROR(VLOOKUP($A759,EVENTO!$A$2:$C$4999,2,FALSE),"")</f>
        <v>CADASTRO</v>
      </c>
      <c r="C759" s="76" t="str">
        <f>IFERROR(VLOOKUP($A759,EVENTO!$A$2:$C$4999,3,FALSE),"")</f>
        <v>CÂMARA MUNICIPAL DE CAUCAIA </v>
      </c>
      <c r="D759" s="78" t="s">
        <v>1594</v>
      </c>
      <c r="F759" s="78">
        <v>1.0</v>
      </c>
      <c r="G759" s="90">
        <v>344.75</v>
      </c>
    </row>
    <row r="760">
      <c r="A760" s="6">
        <v>190.0</v>
      </c>
      <c r="B760" s="76" t="str">
        <f>IFERROR(VLOOKUP($A760,EVENTO!$A$2:$C$4999,2,FALSE),"")</f>
        <v>CADASTRO</v>
      </c>
      <c r="C760" s="76" t="str">
        <f>IFERROR(VLOOKUP($A760,EVENTO!$A$2:$C$4999,3,FALSE),"")</f>
        <v>CÂMARA MUNICIPAL DE CAUCAIA </v>
      </c>
      <c r="D760" s="78" t="s">
        <v>1595</v>
      </c>
      <c r="F760" s="78">
        <v>1.0</v>
      </c>
      <c r="G760" s="90">
        <v>270.39</v>
      </c>
    </row>
    <row r="761">
      <c r="A761" s="6">
        <v>190.0</v>
      </c>
      <c r="B761" s="76" t="str">
        <f>IFERROR(VLOOKUP($A761,EVENTO!$A$2:$C$4999,2,FALSE),"")</f>
        <v>CADASTRO</v>
      </c>
      <c r="C761" s="76" t="str">
        <f>IFERROR(VLOOKUP($A761,EVENTO!$A$2:$C$4999,3,FALSE),"")</f>
        <v>CÂMARA MUNICIPAL DE CAUCAIA </v>
      </c>
      <c r="D761" s="78" t="s">
        <v>1625</v>
      </c>
      <c r="F761" s="78">
        <v>1.0</v>
      </c>
      <c r="G761" s="90">
        <v>182.29</v>
      </c>
    </row>
    <row r="762">
      <c r="A762" s="6">
        <v>190.0</v>
      </c>
      <c r="B762" s="76" t="str">
        <f>IFERROR(VLOOKUP($A762,EVENTO!$A$2:$C$4999,2,FALSE),"")</f>
        <v>CADASTRO</v>
      </c>
      <c r="C762" s="76" t="str">
        <f>IFERROR(VLOOKUP($A762,EVENTO!$A$2:$C$4999,3,FALSE),"")</f>
        <v>CÂMARA MUNICIPAL DE CAUCAIA </v>
      </c>
      <c r="D762" s="78" t="s">
        <v>1548</v>
      </c>
      <c r="F762" s="78">
        <v>1.0</v>
      </c>
      <c r="G762" s="90">
        <v>387.36</v>
      </c>
    </row>
    <row r="763">
      <c r="A763" s="6">
        <v>190.0</v>
      </c>
      <c r="B763" s="76" t="str">
        <f>IFERROR(VLOOKUP($A763,EVENTO!$A$2:$C$4999,2,FALSE),"")</f>
        <v>CADASTRO</v>
      </c>
      <c r="C763" s="76" t="str">
        <f>IFERROR(VLOOKUP($A763,EVENTO!$A$2:$C$4999,3,FALSE),"")</f>
        <v>CÂMARA MUNICIPAL DE CAUCAIA </v>
      </c>
      <c r="D763" s="78" t="s">
        <v>1550</v>
      </c>
      <c r="F763" s="78">
        <v>1.0</v>
      </c>
      <c r="G763" s="90">
        <v>221.78</v>
      </c>
    </row>
    <row r="764">
      <c r="A764" s="6">
        <v>190.0</v>
      </c>
      <c r="B764" s="76" t="str">
        <f>IFERROR(VLOOKUP($A764,EVENTO!$A$2:$C$4999,2,FALSE),"")</f>
        <v>CADASTRO</v>
      </c>
      <c r="C764" s="76" t="str">
        <f>IFERROR(VLOOKUP($A764,EVENTO!$A$2:$C$4999,3,FALSE),"")</f>
        <v>CÂMARA MUNICIPAL DE CAUCAIA </v>
      </c>
      <c r="D764" s="78" t="s">
        <v>1552</v>
      </c>
      <c r="F764" s="78">
        <v>1.0</v>
      </c>
      <c r="G764" s="90">
        <v>173.93</v>
      </c>
    </row>
    <row r="765">
      <c r="A765" s="6">
        <v>190.0</v>
      </c>
      <c r="B765" s="76" t="str">
        <f>IFERROR(VLOOKUP($A765,EVENTO!$A$2:$C$4999,2,FALSE),"")</f>
        <v>CADASTRO</v>
      </c>
      <c r="C765" s="76" t="str">
        <f>IFERROR(VLOOKUP($A765,EVENTO!$A$2:$C$4999,3,FALSE),"")</f>
        <v>CÂMARA MUNICIPAL DE CAUCAIA </v>
      </c>
      <c r="D765" s="78" t="s">
        <v>1626</v>
      </c>
      <c r="F765" s="78">
        <v>1.0</v>
      </c>
      <c r="G765" s="90">
        <v>177.73</v>
      </c>
    </row>
    <row r="766">
      <c r="A766" s="6">
        <v>190.0</v>
      </c>
      <c r="B766" s="76" t="str">
        <f>IFERROR(VLOOKUP($A766,EVENTO!$A$2:$C$4999,2,FALSE),"")</f>
        <v>CADASTRO</v>
      </c>
      <c r="C766" s="76" t="str">
        <f>IFERROR(VLOOKUP($A766,EVENTO!$A$2:$C$4999,3,FALSE),"")</f>
        <v>CÂMARA MUNICIPAL DE CAUCAIA </v>
      </c>
      <c r="D766" s="78" t="s">
        <v>1627</v>
      </c>
      <c r="F766" s="78">
        <v>1.0</v>
      </c>
      <c r="G766" s="90">
        <v>638.01</v>
      </c>
    </row>
    <row r="767">
      <c r="A767" s="6">
        <v>190.0</v>
      </c>
      <c r="B767" s="76" t="str">
        <f>IFERROR(VLOOKUP($A767,EVENTO!$A$2:$C$4999,2,FALSE),"")</f>
        <v>CADASTRO</v>
      </c>
      <c r="C767" s="76" t="str">
        <f>IFERROR(VLOOKUP($A767,EVENTO!$A$2:$C$4999,3,FALSE),"")</f>
        <v>CÂMARA MUNICIPAL DE CAUCAIA </v>
      </c>
      <c r="D767" s="78" t="s">
        <v>1628</v>
      </c>
      <c r="F767" s="78">
        <v>1.0</v>
      </c>
      <c r="G767" s="90">
        <v>290.14</v>
      </c>
    </row>
    <row r="768">
      <c r="A768" s="6">
        <v>190.0</v>
      </c>
      <c r="B768" s="76" t="str">
        <f>IFERROR(VLOOKUP($A768,EVENTO!$A$2:$C$4999,2,FALSE),"")</f>
        <v>CADASTRO</v>
      </c>
      <c r="C768" s="76" t="str">
        <f>IFERROR(VLOOKUP($A768,EVENTO!$A$2:$C$4999,3,FALSE),"")</f>
        <v>CÂMARA MUNICIPAL DE CAUCAIA </v>
      </c>
      <c r="D768" s="78" t="s">
        <v>1629</v>
      </c>
      <c r="F768" s="78">
        <v>1.0</v>
      </c>
      <c r="G768" s="90">
        <v>470.91</v>
      </c>
    </row>
    <row r="769">
      <c r="A769" s="6">
        <v>190.0</v>
      </c>
      <c r="B769" s="76" t="str">
        <f>IFERROR(VLOOKUP($A769,EVENTO!$A$2:$C$4999,2,FALSE),"")</f>
        <v>CADASTRO</v>
      </c>
      <c r="C769" s="76" t="str">
        <f>IFERROR(VLOOKUP($A769,EVENTO!$A$2:$C$4999,3,FALSE),"")</f>
        <v>CÂMARA MUNICIPAL DE CAUCAIA </v>
      </c>
      <c r="D769" s="78" t="s">
        <v>1616</v>
      </c>
      <c r="F769" s="78">
        <v>1.0</v>
      </c>
      <c r="G769" s="90">
        <v>286.34</v>
      </c>
    </row>
    <row r="770">
      <c r="A770" s="6">
        <v>190.0</v>
      </c>
      <c r="B770" s="76" t="str">
        <f>IFERROR(VLOOKUP($A770,EVENTO!$A$2:$C$4999,2,FALSE),"")</f>
        <v>CADASTRO</v>
      </c>
      <c r="C770" s="76" t="str">
        <f>IFERROR(VLOOKUP($A770,EVENTO!$A$2:$C$4999,3,FALSE),"")</f>
        <v>CÂMARA MUNICIPAL DE CAUCAIA </v>
      </c>
      <c r="D770" s="78" t="s">
        <v>1630</v>
      </c>
      <c r="F770" s="78">
        <v>1.0</v>
      </c>
      <c r="G770" s="90">
        <v>234.7</v>
      </c>
    </row>
    <row r="771">
      <c r="A771" s="6">
        <v>190.0</v>
      </c>
      <c r="B771" s="76" t="str">
        <f>IFERROR(VLOOKUP($A771,EVENTO!$A$2:$C$4999,2,FALSE),"")</f>
        <v>CADASTRO</v>
      </c>
      <c r="C771" s="76" t="str">
        <f>IFERROR(VLOOKUP($A771,EVENTO!$A$2:$C$4999,3,FALSE),"")</f>
        <v>CÂMARA MUNICIPAL DE CAUCAIA </v>
      </c>
      <c r="D771" s="78" t="s">
        <v>1622</v>
      </c>
      <c r="F771" s="78">
        <v>12.0</v>
      </c>
      <c r="G771" s="90">
        <v>148.11</v>
      </c>
    </row>
    <row r="772">
      <c r="A772" s="6">
        <v>190.0</v>
      </c>
      <c r="B772" s="76" t="str">
        <f>IFERROR(VLOOKUP($A772,EVENTO!$A$2:$C$4999,2,FALSE),"")</f>
        <v>CADASTRO</v>
      </c>
      <c r="C772" s="76" t="str">
        <f>IFERROR(VLOOKUP($A772,EVENTO!$A$2:$C$4999,3,FALSE),"")</f>
        <v>CÂMARA MUNICIPAL DE CAUCAIA </v>
      </c>
      <c r="D772" s="78" t="s">
        <v>1631</v>
      </c>
      <c r="F772" s="78">
        <v>1.0</v>
      </c>
      <c r="G772" s="90">
        <v>412.43</v>
      </c>
    </row>
    <row r="773">
      <c r="A773" s="6">
        <v>190.0</v>
      </c>
      <c r="B773" s="76" t="str">
        <f>IFERROR(VLOOKUP($A773,EVENTO!$A$2:$C$4999,2,FALSE),"")</f>
        <v>CADASTRO</v>
      </c>
      <c r="C773" s="76" t="str">
        <f>IFERROR(VLOOKUP($A773,EVENTO!$A$2:$C$4999,3,FALSE),"")</f>
        <v>CÂMARA MUNICIPAL DE CAUCAIA </v>
      </c>
      <c r="D773" s="78" t="s">
        <v>1632</v>
      </c>
      <c r="F773" s="78">
        <v>1.0</v>
      </c>
      <c r="G773" s="90">
        <v>1239.56</v>
      </c>
    </row>
    <row r="774">
      <c r="A774" s="6">
        <v>190.0</v>
      </c>
      <c r="B774" s="76" t="str">
        <f>IFERROR(VLOOKUP($A774,EVENTO!$A$2:$C$4999,2,FALSE),"")</f>
        <v>CADASTRO</v>
      </c>
      <c r="C774" s="76" t="str">
        <f>IFERROR(VLOOKUP($A774,EVENTO!$A$2:$C$4999,3,FALSE),"")</f>
        <v>CÂMARA MUNICIPAL DE CAUCAIA </v>
      </c>
      <c r="D774" s="78" t="s">
        <v>1633</v>
      </c>
      <c r="F774" s="78">
        <v>1.0</v>
      </c>
      <c r="G774" s="90">
        <v>1363.36</v>
      </c>
    </row>
    <row r="775">
      <c r="A775" s="6">
        <v>190.0</v>
      </c>
      <c r="B775" s="76" t="str">
        <f>IFERROR(VLOOKUP($A775,EVENTO!$A$2:$C$4999,2,FALSE),"")</f>
        <v>CADASTRO</v>
      </c>
      <c r="C775" s="76" t="str">
        <f>IFERROR(VLOOKUP($A775,EVENTO!$A$2:$C$4999,3,FALSE),"")</f>
        <v>CÂMARA MUNICIPAL DE CAUCAIA </v>
      </c>
      <c r="D775" s="78" t="s">
        <v>1634</v>
      </c>
      <c r="F775" s="78">
        <v>1.0</v>
      </c>
      <c r="G775" s="90">
        <v>1499.32</v>
      </c>
    </row>
    <row r="776">
      <c r="A776" s="6">
        <v>190.0</v>
      </c>
      <c r="B776" s="76" t="str">
        <f>IFERROR(VLOOKUP($A776,EVENTO!$A$2:$C$4999,2,FALSE),"")</f>
        <v>CADASTRO</v>
      </c>
      <c r="C776" s="76" t="str">
        <f>IFERROR(VLOOKUP($A776,EVENTO!$A$2:$C$4999,3,FALSE),"")</f>
        <v>CÂMARA MUNICIPAL DE CAUCAIA </v>
      </c>
      <c r="D776" s="78" t="s">
        <v>1635</v>
      </c>
      <c r="F776" s="78">
        <v>1.0</v>
      </c>
      <c r="G776" s="90">
        <v>294.69</v>
      </c>
    </row>
    <row r="777">
      <c r="A777" s="6">
        <v>190.0</v>
      </c>
      <c r="B777" s="76" t="str">
        <f>IFERROR(VLOOKUP($A777,EVENTO!$A$2:$C$4999,2,FALSE),"")</f>
        <v>CADASTRO</v>
      </c>
      <c r="C777" s="76" t="str">
        <f>IFERROR(VLOOKUP($A777,EVENTO!$A$2:$C$4999,3,FALSE),"")</f>
        <v>CÂMARA MUNICIPAL DE CAUCAIA </v>
      </c>
      <c r="D777" s="78" t="s">
        <v>1636</v>
      </c>
      <c r="F777" s="78">
        <v>1.0</v>
      </c>
      <c r="G777" s="90">
        <v>80.51</v>
      </c>
    </row>
    <row r="778">
      <c r="A778" s="6">
        <v>190.0</v>
      </c>
      <c r="B778" s="76" t="str">
        <f>IFERROR(VLOOKUP($A778,EVENTO!$A$2:$C$4999,2,FALSE),"")</f>
        <v>CADASTRO</v>
      </c>
      <c r="C778" s="76" t="str">
        <f>IFERROR(VLOOKUP($A778,EVENTO!$A$2:$C$4999,3,FALSE),"")</f>
        <v>CÂMARA MUNICIPAL DE CAUCAIA </v>
      </c>
      <c r="D778" s="78" t="s">
        <v>1637</v>
      </c>
      <c r="F778" s="78">
        <v>1.0</v>
      </c>
      <c r="G778" s="90">
        <v>196.72</v>
      </c>
    </row>
    <row r="779">
      <c r="A779" s="6">
        <v>190.0</v>
      </c>
      <c r="B779" s="76" t="str">
        <f>IFERROR(VLOOKUP($A779,EVENTO!$A$2:$C$4999,2,FALSE),"")</f>
        <v>CADASTRO</v>
      </c>
      <c r="C779" s="76" t="str">
        <f>IFERROR(VLOOKUP($A779,EVENTO!$A$2:$C$4999,3,FALSE),"")</f>
        <v>CÂMARA MUNICIPAL DE CAUCAIA </v>
      </c>
      <c r="D779" s="78" t="s">
        <v>1638</v>
      </c>
      <c r="F779" s="78">
        <v>1.0</v>
      </c>
      <c r="G779" s="90">
        <v>90.38</v>
      </c>
    </row>
    <row r="780">
      <c r="A780" s="6">
        <v>184.0</v>
      </c>
      <c r="B780" s="76" t="str">
        <f>IFERROR(VLOOKUP($A780,EVENTO!$A$2:$C$4999,2,FALSE),"")</f>
        <v>ADITIVO DE PRAZO</v>
      </c>
      <c r="C780" s="76" t="str">
        <f>IFERROR(VLOOKUP($A780,EVENTO!$A$2:$C$4999,3,FALSE),"")</f>
        <v>PREFEITURA MUNICIPAL DE ARACATI - DESENVOLVIMENTO AGRÁRIO </v>
      </c>
      <c r="D780" s="78" t="s">
        <v>1544</v>
      </c>
      <c r="E780" s="6" t="s">
        <v>1545</v>
      </c>
      <c r="F780" s="78">
        <v>1.0</v>
      </c>
      <c r="G780" s="79">
        <v>534.71</v>
      </c>
    </row>
    <row r="781">
      <c r="A781" s="6">
        <v>184.0</v>
      </c>
      <c r="B781" s="76" t="str">
        <f>IFERROR(VLOOKUP($A781,EVENTO!$A$2:$C$4999,2,FALSE),"")</f>
        <v>ADITIVO DE PRAZO</v>
      </c>
      <c r="C781" s="76" t="str">
        <f>IFERROR(VLOOKUP($A781,EVENTO!$A$2:$C$4999,3,FALSE),"")</f>
        <v>PREFEITURA MUNICIPAL DE ARACATI - DESENVOLVIMENTO AGRÁRIO </v>
      </c>
      <c r="D781" s="78" t="s">
        <v>1458</v>
      </c>
      <c r="E781" s="6" t="s">
        <v>1535</v>
      </c>
      <c r="F781" s="78">
        <v>3.0</v>
      </c>
      <c r="G781" s="79">
        <v>344.75</v>
      </c>
    </row>
    <row r="782">
      <c r="A782" s="6">
        <v>184.0</v>
      </c>
      <c r="B782" s="76" t="str">
        <f>IFERROR(VLOOKUP($A782,EVENTO!$A$2:$C$4999,2,FALSE),"")</f>
        <v>ADITIVO DE PRAZO</v>
      </c>
      <c r="C782" s="76" t="str">
        <f>IFERROR(VLOOKUP($A782,EVENTO!$A$2:$C$4999,3,FALSE),"")</f>
        <v>PREFEITURA MUNICIPAL DE ARACATI - DESENVOLVIMENTO AGRÁRIO </v>
      </c>
      <c r="D782" s="78" t="s">
        <v>1546</v>
      </c>
      <c r="E782" s="6" t="s">
        <v>1547</v>
      </c>
      <c r="F782" s="78">
        <v>3.0</v>
      </c>
      <c r="G782" s="79">
        <v>270.39</v>
      </c>
    </row>
    <row r="783">
      <c r="A783" s="6">
        <v>184.0</v>
      </c>
      <c r="B783" s="76" t="str">
        <f>IFERROR(VLOOKUP($A783,EVENTO!$A$2:$C$4999,2,FALSE),"")</f>
        <v>ADITIVO DE PRAZO</v>
      </c>
      <c r="C783" s="76" t="str">
        <f>IFERROR(VLOOKUP($A783,EVENTO!$A$2:$C$4999,3,FALSE),"")</f>
        <v>PREFEITURA MUNICIPAL DE ARACATI - DESENVOLVIMENTO AGRÁRIO </v>
      </c>
      <c r="D783" s="78" t="s">
        <v>1456</v>
      </c>
      <c r="E783" s="6" t="s">
        <v>1548</v>
      </c>
      <c r="F783" s="78">
        <v>3.0</v>
      </c>
      <c r="G783" s="79">
        <v>387.36</v>
      </c>
    </row>
    <row r="784">
      <c r="A784" s="6">
        <v>184.0</v>
      </c>
      <c r="B784" s="76" t="str">
        <f>IFERROR(VLOOKUP($A784,EVENTO!$A$2:$C$4999,2,FALSE),"")</f>
        <v>ADITIVO DE PRAZO</v>
      </c>
      <c r="C784" s="76" t="str">
        <f>IFERROR(VLOOKUP($A784,EVENTO!$A$2:$C$4999,3,FALSE),"")</f>
        <v>PREFEITURA MUNICIPAL DE ARACATI - DESENVOLVIMENTO AGRÁRIO </v>
      </c>
      <c r="D784" s="78" t="s">
        <v>1549</v>
      </c>
      <c r="E784" s="6" t="s">
        <v>1550</v>
      </c>
      <c r="F784" s="78">
        <v>12.0</v>
      </c>
      <c r="G784" s="79">
        <v>221.78</v>
      </c>
    </row>
    <row r="785">
      <c r="A785" s="6">
        <v>184.0</v>
      </c>
      <c r="B785" s="76" t="str">
        <f>IFERROR(VLOOKUP($A785,EVENTO!$A$2:$C$4999,2,FALSE),"")</f>
        <v>ADITIVO DE PRAZO</v>
      </c>
      <c r="C785" s="76" t="str">
        <f>IFERROR(VLOOKUP($A785,EVENTO!$A$2:$C$4999,3,FALSE),"")</f>
        <v>PREFEITURA MUNICIPAL DE ARACATI - DESENVOLVIMENTO AGRÁRIO </v>
      </c>
      <c r="D785" s="78" t="s">
        <v>1551</v>
      </c>
      <c r="E785" s="6" t="s">
        <v>1552</v>
      </c>
      <c r="F785" s="78">
        <v>8.0</v>
      </c>
      <c r="G785" s="79">
        <v>173.93</v>
      </c>
    </row>
    <row r="786">
      <c r="A786" s="6">
        <v>184.0</v>
      </c>
      <c r="B786" s="76" t="str">
        <f>IFERROR(VLOOKUP($A786,EVENTO!$A$2:$C$4999,2,FALSE),"")</f>
        <v>ADITIVO DE PRAZO</v>
      </c>
      <c r="C786" s="76" t="str">
        <f>IFERROR(VLOOKUP($A786,EVENTO!$A$2:$C$4999,3,FALSE),"")</f>
        <v>PREFEITURA MUNICIPAL DE ARACATI - DESENVOLVIMENTO AGRÁRIO </v>
      </c>
      <c r="D786" s="87" t="s">
        <v>1553</v>
      </c>
      <c r="F786" s="78">
        <v>2.0</v>
      </c>
      <c r="G786" s="79">
        <v>286.34</v>
      </c>
    </row>
    <row r="787">
      <c r="A787" s="6">
        <v>184.0</v>
      </c>
      <c r="B787" s="76" t="str">
        <f>IFERROR(VLOOKUP($A787,EVENTO!$A$2:$C$4999,2,FALSE),"")</f>
        <v>ADITIVO DE PRAZO</v>
      </c>
      <c r="C787" s="76" t="str">
        <f>IFERROR(VLOOKUP($A787,EVENTO!$A$2:$C$4999,3,FALSE),"")</f>
        <v>PREFEITURA MUNICIPAL DE ARACATI - DESENVOLVIMENTO AGRÁRIO </v>
      </c>
      <c r="D787" s="87" t="s">
        <v>1487</v>
      </c>
      <c r="F787" s="78">
        <v>2.0</v>
      </c>
      <c r="G787" s="79">
        <v>234.7</v>
      </c>
    </row>
    <row r="788">
      <c r="A788" s="6">
        <v>184.0</v>
      </c>
      <c r="B788" s="76" t="str">
        <f>IFERROR(VLOOKUP($A788,EVENTO!$A$2:$C$4999,2,FALSE),"")</f>
        <v>ADITIVO DE PRAZO</v>
      </c>
      <c r="C788" s="76" t="str">
        <f>IFERROR(VLOOKUP($A788,EVENTO!$A$2:$C$4999,3,FALSE),"")</f>
        <v>PREFEITURA MUNICIPAL DE ARACATI - DESENVOLVIMENTO AGRÁRIO </v>
      </c>
      <c r="D788" s="87" t="s">
        <v>1556</v>
      </c>
      <c r="F788" s="78">
        <v>2.0</v>
      </c>
      <c r="G788" s="79">
        <v>148.11</v>
      </c>
    </row>
    <row r="789">
      <c r="A789" s="6">
        <v>184.0</v>
      </c>
      <c r="B789" s="76" t="str">
        <f>IFERROR(VLOOKUP($A789,EVENTO!$A$2:$C$4999,2,FALSE),"")</f>
        <v>ADITIVO DE PRAZO</v>
      </c>
      <c r="C789" s="76" t="str">
        <f>IFERROR(VLOOKUP($A789,EVENTO!$A$2:$C$4999,3,FALSE),"")</f>
        <v>PREFEITURA MUNICIPAL DE ARACATI - DESENVOLVIMENTO AGRÁRIO </v>
      </c>
      <c r="D789" s="78" t="s">
        <v>1504</v>
      </c>
      <c r="F789" s="78">
        <v>3.0</v>
      </c>
      <c r="G789" s="79">
        <v>41.95</v>
      </c>
    </row>
    <row r="790">
      <c r="A790" s="6">
        <v>184.0</v>
      </c>
      <c r="B790" s="76" t="str">
        <f>IFERROR(VLOOKUP($A790,EVENTO!$A$2:$C$4999,2,FALSE),"")</f>
        <v>ADITIVO DE PRAZO</v>
      </c>
      <c r="C790" s="76" t="str">
        <f>IFERROR(VLOOKUP($A790,EVENTO!$A$2:$C$4999,3,FALSE),"")</f>
        <v>PREFEITURA MUNICIPAL DE ARACATI - DESENVOLVIMENTO AGRÁRIO </v>
      </c>
      <c r="D790" s="78" t="s">
        <v>1557</v>
      </c>
      <c r="F790" s="78">
        <v>1.0</v>
      </c>
      <c r="G790" s="79">
        <v>91.18</v>
      </c>
    </row>
    <row r="791">
      <c r="A791" s="6">
        <v>184.0</v>
      </c>
      <c r="B791" s="76" t="str">
        <f>IFERROR(VLOOKUP($A791,EVENTO!$A$2:$C$4999,2,FALSE),"")</f>
        <v>ADITIVO DE PRAZO</v>
      </c>
      <c r="C791" s="76" t="str">
        <f>IFERROR(VLOOKUP($A791,EVENTO!$A$2:$C$4999,3,FALSE),"")</f>
        <v>PREFEITURA MUNICIPAL DE ARACATI - DESENVOLVIMENTO AGRÁRIO </v>
      </c>
      <c r="D791" s="78" t="s">
        <v>1560</v>
      </c>
      <c r="F791" s="78">
        <v>2.0</v>
      </c>
      <c r="G791" s="79">
        <v>50.3</v>
      </c>
    </row>
    <row r="792">
      <c r="A792" s="6">
        <v>185.0</v>
      </c>
      <c r="B792" s="76" t="str">
        <f>IFERROR(VLOOKUP($A792,EVENTO!$A$2:$C$4999,2,FALSE),"")</f>
        <v>ADITIVO DE PRAZO</v>
      </c>
      <c r="C792" s="76" t="str">
        <f>IFERROR(VLOOKUP($A792,EVENTO!$A$2:$C$4999,3,FALSE),"")</f>
        <v>PREFEITURA MUNICIPAL DE ARACATI - DESENVOLVIMENTO AGRÁRIO </v>
      </c>
      <c r="D792" s="78" t="s">
        <v>1544</v>
      </c>
      <c r="E792" s="6" t="s">
        <v>1545</v>
      </c>
      <c r="F792" s="78">
        <v>1.0</v>
      </c>
      <c r="G792" s="79">
        <v>534.71</v>
      </c>
    </row>
    <row r="793">
      <c r="A793" s="6">
        <v>185.0</v>
      </c>
      <c r="B793" s="76" t="str">
        <f>IFERROR(VLOOKUP($A793,EVENTO!$A$2:$C$4999,2,FALSE),"")</f>
        <v>ADITIVO DE PRAZO</v>
      </c>
      <c r="C793" s="76" t="str">
        <f>IFERROR(VLOOKUP($A793,EVENTO!$A$2:$C$4999,3,FALSE),"")</f>
        <v>PREFEITURA MUNICIPAL DE ARACATI - DESENVOLVIMENTO AGRÁRIO </v>
      </c>
      <c r="D793" s="78" t="s">
        <v>1458</v>
      </c>
      <c r="E793" s="6" t="s">
        <v>1535</v>
      </c>
      <c r="F793" s="78">
        <v>3.0</v>
      </c>
      <c r="G793" s="79">
        <v>344.75</v>
      </c>
    </row>
    <row r="794">
      <c r="A794" s="6">
        <v>185.0</v>
      </c>
      <c r="B794" s="76" t="str">
        <f>IFERROR(VLOOKUP($A794,EVENTO!$A$2:$C$4999,2,FALSE),"")</f>
        <v>ADITIVO DE PRAZO</v>
      </c>
      <c r="C794" s="76" t="str">
        <f>IFERROR(VLOOKUP($A794,EVENTO!$A$2:$C$4999,3,FALSE),"")</f>
        <v>PREFEITURA MUNICIPAL DE ARACATI - DESENVOLVIMENTO AGRÁRIO </v>
      </c>
      <c r="D794" s="78" t="s">
        <v>1546</v>
      </c>
      <c r="E794" s="6" t="s">
        <v>1547</v>
      </c>
      <c r="F794" s="78">
        <v>3.0</v>
      </c>
      <c r="G794" s="79">
        <v>270.39</v>
      </c>
    </row>
    <row r="795">
      <c r="A795" s="6">
        <v>185.0</v>
      </c>
      <c r="B795" s="76" t="str">
        <f>IFERROR(VLOOKUP($A795,EVENTO!$A$2:$C$4999,2,FALSE),"")</f>
        <v>ADITIVO DE PRAZO</v>
      </c>
      <c r="C795" s="76" t="str">
        <f>IFERROR(VLOOKUP($A795,EVENTO!$A$2:$C$4999,3,FALSE),"")</f>
        <v>PREFEITURA MUNICIPAL DE ARACATI - DESENVOLVIMENTO AGRÁRIO </v>
      </c>
      <c r="D795" s="78" t="s">
        <v>1456</v>
      </c>
      <c r="E795" s="6" t="s">
        <v>1548</v>
      </c>
      <c r="F795" s="78">
        <v>3.0</v>
      </c>
      <c r="G795" s="79">
        <v>387.36</v>
      </c>
    </row>
    <row r="796">
      <c r="A796" s="6">
        <v>185.0</v>
      </c>
      <c r="B796" s="76" t="str">
        <f>IFERROR(VLOOKUP($A796,EVENTO!$A$2:$C$4999,2,FALSE),"")</f>
        <v>ADITIVO DE PRAZO</v>
      </c>
      <c r="C796" s="76" t="str">
        <f>IFERROR(VLOOKUP($A796,EVENTO!$A$2:$C$4999,3,FALSE),"")</f>
        <v>PREFEITURA MUNICIPAL DE ARACATI - DESENVOLVIMENTO AGRÁRIO </v>
      </c>
      <c r="D796" s="78" t="s">
        <v>1549</v>
      </c>
      <c r="E796" s="6" t="s">
        <v>1550</v>
      </c>
      <c r="F796" s="78">
        <v>12.0</v>
      </c>
      <c r="G796" s="79">
        <v>221.78</v>
      </c>
    </row>
    <row r="797">
      <c r="A797" s="6">
        <v>185.0</v>
      </c>
      <c r="B797" s="76" t="str">
        <f>IFERROR(VLOOKUP($A797,EVENTO!$A$2:$C$4999,2,FALSE),"")</f>
        <v>ADITIVO DE PRAZO</v>
      </c>
      <c r="C797" s="76" t="str">
        <f>IFERROR(VLOOKUP($A797,EVENTO!$A$2:$C$4999,3,FALSE),"")</f>
        <v>PREFEITURA MUNICIPAL DE ARACATI - DESENVOLVIMENTO AGRÁRIO </v>
      </c>
      <c r="D797" s="78" t="s">
        <v>1551</v>
      </c>
      <c r="E797" s="6" t="s">
        <v>1552</v>
      </c>
      <c r="F797" s="78">
        <v>8.0</v>
      </c>
      <c r="G797" s="79">
        <v>173.93</v>
      </c>
    </row>
    <row r="798">
      <c r="A798" s="6">
        <v>185.0</v>
      </c>
      <c r="B798" s="76" t="str">
        <f>IFERROR(VLOOKUP($A798,EVENTO!$A$2:$C$4999,2,FALSE),"")</f>
        <v>ADITIVO DE PRAZO</v>
      </c>
      <c r="C798" s="76" t="str">
        <f>IFERROR(VLOOKUP($A798,EVENTO!$A$2:$C$4999,3,FALSE),"")</f>
        <v>PREFEITURA MUNICIPAL DE ARACATI - DESENVOLVIMENTO AGRÁRIO </v>
      </c>
      <c r="D798" s="87" t="s">
        <v>1553</v>
      </c>
      <c r="F798" s="78">
        <v>2.0</v>
      </c>
      <c r="G798" s="79">
        <v>286.34</v>
      </c>
    </row>
    <row r="799">
      <c r="A799" s="6">
        <v>185.0</v>
      </c>
      <c r="B799" s="76" t="str">
        <f>IFERROR(VLOOKUP($A799,EVENTO!$A$2:$C$4999,2,FALSE),"")</f>
        <v>ADITIVO DE PRAZO</v>
      </c>
      <c r="C799" s="76" t="str">
        <f>IFERROR(VLOOKUP($A799,EVENTO!$A$2:$C$4999,3,FALSE),"")</f>
        <v>PREFEITURA MUNICIPAL DE ARACATI - DESENVOLVIMENTO AGRÁRIO </v>
      </c>
      <c r="D799" s="87" t="s">
        <v>1487</v>
      </c>
      <c r="F799" s="78">
        <v>2.0</v>
      </c>
      <c r="G799" s="79">
        <v>234.7</v>
      </c>
    </row>
    <row r="800">
      <c r="A800" s="6">
        <v>185.0</v>
      </c>
      <c r="B800" s="76" t="str">
        <f>IFERROR(VLOOKUP($A800,EVENTO!$A$2:$C$4999,2,FALSE),"")</f>
        <v>ADITIVO DE PRAZO</v>
      </c>
      <c r="C800" s="76" t="str">
        <f>IFERROR(VLOOKUP($A800,EVENTO!$A$2:$C$4999,3,FALSE),"")</f>
        <v>PREFEITURA MUNICIPAL DE ARACATI - DESENVOLVIMENTO AGRÁRIO </v>
      </c>
      <c r="D800" s="87" t="s">
        <v>1556</v>
      </c>
      <c r="F800" s="78">
        <v>2.0</v>
      </c>
      <c r="G800" s="79">
        <v>148.11</v>
      </c>
    </row>
    <row r="801">
      <c r="A801" s="6">
        <v>185.0</v>
      </c>
      <c r="B801" s="76" t="str">
        <f>IFERROR(VLOOKUP($A801,EVENTO!$A$2:$C$4999,2,FALSE),"")</f>
        <v>ADITIVO DE PRAZO</v>
      </c>
      <c r="C801" s="76" t="str">
        <f>IFERROR(VLOOKUP($A801,EVENTO!$A$2:$C$4999,3,FALSE),"")</f>
        <v>PREFEITURA MUNICIPAL DE ARACATI - DESENVOLVIMENTO AGRÁRIO </v>
      </c>
      <c r="D801" s="78" t="s">
        <v>1504</v>
      </c>
      <c r="F801" s="78">
        <v>3.0</v>
      </c>
      <c r="G801" s="79">
        <v>41.95</v>
      </c>
    </row>
    <row r="802">
      <c r="A802" s="6">
        <v>185.0</v>
      </c>
      <c r="B802" s="76" t="str">
        <f>IFERROR(VLOOKUP($A802,EVENTO!$A$2:$C$4999,2,FALSE),"")</f>
        <v>ADITIVO DE PRAZO</v>
      </c>
      <c r="C802" s="76" t="str">
        <f>IFERROR(VLOOKUP($A802,EVENTO!$A$2:$C$4999,3,FALSE),"")</f>
        <v>PREFEITURA MUNICIPAL DE ARACATI - DESENVOLVIMENTO AGRÁRIO </v>
      </c>
      <c r="D802" s="78" t="s">
        <v>1557</v>
      </c>
      <c r="F802" s="78">
        <v>1.0</v>
      </c>
      <c r="G802" s="79">
        <v>91.18</v>
      </c>
    </row>
    <row r="803">
      <c r="A803" s="6">
        <v>185.0</v>
      </c>
      <c r="B803" s="76" t="str">
        <f>IFERROR(VLOOKUP($A803,EVENTO!$A$2:$C$4999,2,FALSE),"")</f>
        <v>ADITIVO DE PRAZO</v>
      </c>
      <c r="C803" s="76" t="str">
        <f>IFERROR(VLOOKUP($A803,EVENTO!$A$2:$C$4999,3,FALSE),"")</f>
        <v>PREFEITURA MUNICIPAL DE ARACATI - DESENVOLVIMENTO AGRÁRIO </v>
      </c>
      <c r="D803" s="78" t="s">
        <v>1560</v>
      </c>
      <c r="F803" s="78">
        <v>2.0</v>
      </c>
      <c r="G803" s="79">
        <v>50.3</v>
      </c>
    </row>
    <row r="804">
      <c r="A804" s="6">
        <v>186.0</v>
      </c>
      <c r="B804" s="76" t="str">
        <f>IFERROR(VLOOKUP($A804,EVENTO!$A$2:$C$4999,2,FALSE),"")</f>
        <v>ADITIVO DE PRAZO</v>
      </c>
      <c r="C804" s="76" t="str">
        <f>IFERROR(VLOOKUP($A804,EVENTO!$A$2:$C$4999,3,FALSE),"")</f>
        <v>PREFEITURA MUNICIPAL DE ARACATI - DESENVOLVIMENTO AGRÁRIO </v>
      </c>
      <c r="D804" s="78" t="s">
        <v>1544</v>
      </c>
      <c r="E804" s="6" t="s">
        <v>1545</v>
      </c>
      <c r="F804" s="78">
        <v>1.0</v>
      </c>
      <c r="G804" s="79">
        <v>534.71</v>
      </c>
    </row>
    <row r="805">
      <c r="A805" s="6">
        <v>186.0</v>
      </c>
      <c r="B805" s="76" t="str">
        <f>IFERROR(VLOOKUP($A805,EVENTO!$A$2:$C$4999,2,FALSE),"")</f>
        <v>ADITIVO DE PRAZO</v>
      </c>
      <c r="C805" s="76" t="str">
        <f>IFERROR(VLOOKUP($A805,EVENTO!$A$2:$C$4999,3,FALSE),"")</f>
        <v>PREFEITURA MUNICIPAL DE ARACATI - DESENVOLVIMENTO AGRÁRIO </v>
      </c>
      <c r="D805" s="78" t="s">
        <v>1458</v>
      </c>
      <c r="E805" s="6" t="s">
        <v>1535</v>
      </c>
      <c r="F805" s="78">
        <v>3.0</v>
      </c>
      <c r="G805" s="79">
        <v>344.75</v>
      </c>
    </row>
    <row r="806">
      <c r="A806" s="6">
        <v>186.0</v>
      </c>
      <c r="B806" s="76" t="str">
        <f>IFERROR(VLOOKUP($A806,EVENTO!$A$2:$C$4999,2,FALSE),"")</f>
        <v>ADITIVO DE PRAZO</v>
      </c>
      <c r="C806" s="76" t="str">
        <f>IFERROR(VLOOKUP($A806,EVENTO!$A$2:$C$4999,3,FALSE),"")</f>
        <v>PREFEITURA MUNICIPAL DE ARACATI - DESENVOLVIMENTO AGRÁRIO </v>
      </c>
      <c r="D806" s="78" t="s">
        <v>1546</v>
      </c>
      <c r="E806" s="6" t="s">
        <v>1547</v>
      </c>
      <c r="F806" s="78">
        <v>3.0</v>
      </c>
      <c r="G806" s="79">
        <v>270.39</v>
      </c>
    </row>
    <row r="807">
      <c r="A807" s="6">
        <v>186.0</v>
      </c>
      <c r="B807" s="76" t="str">
        <f>IFERROR(VLOOKUP($A807,EVENTO!$A$2:$C$4999,2,FALSE),"")</f>
        <v>ADITIVO DE PRAZO</v>
      </c>
      <c r="C807" s="76" t="str">
        <f>IFERROR(VLOOKUP($A807,EVENTO!$A$2:$C$4999,3,FALSE),"")</f>
        <v>PREFEITURA MUNICIPAL DE ARACATI - DESENVOLVIMENTO AGRÁRIO </v>
      </c>
      <c r="D807" s="78" t="s">
        <v>1456</v>
      </c>
      <c r="E807" s="6" t="s">
        <v>1548</v>
      </c>
      <c r="F807" s="78">
        <v>3.0</v>
      </c>
      <c r="G807" s="79">
        <v>387.36</v>
      </c>
    </row>
    <row r="808">
      <c r="A808" s="6">
        <v>186.0</v>
      </c>
      <c r="B808" s="76" t="str">
        <f>IFERROR(VLOOKUP($A808,EVENTO!$A$2:$C$4999,2,FALSE),"")</f>
        <v>ADITIVO DE PRAZO</v>
      </c>
      <c r="C808" s="76" t="str">
        <f>IFERROR(VLOOKUP($A808,EVENTO!$A$2:$C$4999,3,FALSE),"")</f>
        <v>PREFEITURA MUNICIPAL DE ARACATI - DESENVOLVIMENTO AGRÁRIO </v>
      </c>
      <c r="D808" s="78" t="s">
        <v>1549</v>
      </c>
      <c r="E808" s="6" t="s">
        <v>1550</v>
      </c>
      <c r="F808" s="78">
        <v>12.0</v>
      </c>
      <c r="G808" s="79">
        <v>221.78</v>
      </c>
    </row>
    <row r="809">
      <c r="A809" s="6">
        <v>186.0</v>
      </c>
      <c r="B809" s="76" t="str">
        <f>IFERROR(VLOOKUP($A809,EVENTO!$A$2:$C$4999,2,FALSE),"")</f>
        <v>ADITIVO DE PRAZO</v>
      </c>
      <c r="C809" s="76" t="str">
        <f>IFERROR(VLOOKUP($A809,EVENTO!$A$2:$C$4999,3,FALSE),"")</f>
        <v>PREFEITURA MUNICIPAL DE ARACATI - DESENVOLVIMENTO AGRÁRIO </v>
      </c>
      <c r="D809" s="78" t="s">
        <v>1551</v>
      </c>
      <c r="E809" s="6" t="s">
        <v>1552</v>
      </c>
      <c r="F809" s="78">
        <v>8.0</v>
      </c>
      <c r="G809" s="79">
        <v>173.93</v>
      </c>
    </row>
    <row r="810">
      <c r="A810" s="6">
        <v>186.0</v>
      </c>
      <c r="B810" s="76" t="str">
        <f>IFERROR(VLOOKUP($A810,EVENTO!$A$2:$C$4999,2,FALSE),"")</f>
        <v>ADITIVO DE PRAZO</v>
      </c>
      <c r="C810" s="76" t="str">
        <f>IFERROR(VLOOKUP($A810,EVENTO!$A$2:$C$4999,3,FALSE),"")</f>
        <v>PREFEITURA MUNICIPAL DE ARACATI - DESENVOLVIMENTO AGRÁRIO </v>
      </c>
      <c r="D810" s="87" t="s">
        <v>1553</v>
      </c>
      <c r="F810" s="78">
        <v>2.0</v>
      </c>
      <c r="G810" s="79">
        <v>286.34</v>
      </c>
    </row>
    <row r="811">
      <c r="A811" s="6">
        <v>186.0</v>
      </c>
      <c r="B811" s="76" t="str">
        <f>IFERROR(VLOOKUP($A811,EVENTO!$A$2:$C$4999,2,FALSE),"")</f>
        <v>ADITIVO DE PRAZO</v>
      </c>
      <c r="C811" s="76" t="str">
        <f>IFERROR(VLOOKUP($A811,EVENTO!$A$2:$C$4999,3,FALSE),"")</f>
        <v>PREFEITURA MUNICIPAL DE ARACATI - DESENVOLVIMENTO AGRÁRIO </v>
      </c>
      <c r="D811" s="87" t="s">
        <v>1487</v>
      </c>
      <c r="F811" s="78">
        <v>2.0</v>
      </c>
      <c r="G811" s="79">
        <v>234.7</v>
      </c>
    </row>
    <row r="812">
      <c r="A812" s="6">
        <v>186.0</v>
      </c>
      <c r="B812" s="76" t="str">
        <f>IFERROR(VLOOKUP($A812,EVENTO!$A$2:$C$4999,2,FALSE),"")</f>
        <v>ADITIVO DE PRAZO</v>
      </c>
      <c r="C812" s="76" t="str">
        <f>IFERROR(VLOOKUP($A812,EVENTO!$A$2:$C$4999,3,FALSE),"")</f>
        <v>PREFEITURA MUNICIPAL DE ARACATI - DESENVOLVIMENTO AGRÁRIO </v>
      </c>
      <c r="D812" s="87" t="s">
        <v>1556</v>
      </c>
      <c r="F812" s="78">
        <v>2.0</v>
      </c>
      <c r="G812" s="79">
        <v>148.11</v>
      </c>
    </row>
    <row r="813">
      <c r="A813" s="6">
        <v>186.0</v>
      </c>
      <c r="B813" s="76" t="str">
        <f>IFERROR(VLOOKUP($A813,EVENTO!$A$2:$C$4999,2,FALSE),"")</f>
        <v>ADITIVO DE PRAZO</v>
      </c>
      <c r="C813" s="76" t="str">
        <f>IFERROR(VLOOKUP($A813,EVENTO!$A$2:$C$4999,3,FALSE),"")</f>
        <v>PREFEITURA MUNICIPAL DE ARACATI - DESENVOLVIMENTO AGRÁRIO </v>
      </c>
      <c r="D813" s="78" t="s">
        <v>1504</v>
      </c>
      <c r="F813" s="78">
        <v>3.0</v>
      </c>
      <c r="G813" s="79">
        <v>41.95</v>
      </c>
    </row>
    <row r="814">
      <c r="A814" s="6">
        <v>186.0</v>
      </c>
      <c r="B814" s="76" t="str">
        <f>IFERROR(VLOOKUP($A814,EVENTO!$A$2:$C$4999,2,FALSE),"")</f>
        <v>ADITIVO DE PRAZO</v>
      </c>
      <c r="C814" s="76" t="str">
        <f>IFERROR(VLOOKUP($A814,EVENTO!$A$2:$C$4999,3,FALSE),"")</f>
        <v>PREFEITURA MUNICIPAL DE ARACATI - DESENVOLVIMENTO AGRÁRIO </v>
      </c>
      <c r="D814" s="78" t="s">
        <v>1557</v>
      </c>
      <c r="F814" s="78">
        <v>1.0</v>
      </c>
      <c r="G814" s="79">
        <v>91.18</v>
      </c>
    </row>
    <row r="815">
      <c r="A815" s="6">
        <v>186.0</v>
      </c>
      <c r="B815" s="76" t="str">
        <f>IFERROR(VLOOKUP($A815,EVENTO!$A$2:$C$4999,2,FALSE),"")</f>
        <v>ADITIVO DE PRAZO</v>
      </c>
      <c r="C815" s="76" t="str">
        <f>IFERROR(VLOOKUP($A815,EVENTO!$A$2:$C$4999,3,FALSE),"")</f>
        <v>PREFEITURA MUNICIPAL DE ARACATI - DESENVOLVIMENTO AGRÁRIO </v>
      </c>
      <c r="D815" s="78" t="s">
        <v>1560</v>
      </c>
      <c r="F815" s="78">
        <v>2.0</v>
      </c>
      <c r="G815" s="79">
        <v>50.3</v>
      </c>
    </row>
    <row r="816">
      <c r="A816" s="6">
        <v>187.0</v>
      </c>
      <c r="B816" s="76" t="str">
        <f>IFERROR(VLOOKUP($A816,EVENTO!$A$2:$C$4999,2,FALSE),"")</f>
        <v>ADITIVO DE PRAZO</v>
      </c>
      <c r="C816" s="76" t="str">
        <f>IFERROR(VLOOKUP($A816,EVENTO!$A$2:$C$4999,3,FALSE),"")</f>
        <v>PREFEITURA MUNICIPAL DE ARACATI - DESENVOLVIMENTO AGRÁRIO </v>
      </c>
      <c r="D816" s="78" t="s">
        <v>1544</v>
      </c>
      <c r="E816" s="6" t="s">
        <v>1545</v>
      </c>
      <c r="F816" s="78">
        <v>1.0</v>
      </c>
      <c r="G816" s="79">
        <v>534.71</v>
      </c>
    </row>
    <row r="817">
      <c r="A817" s="6">
        <v>187.0</v>
      </c>
      <c r="B817" s="76" t="str">
        <f>IFERROR(VLOOKUP($A817,EVENTO!$A$2:$C$4999,2,FALSE),"")</f>
        <v>ADITIVO DE PRAZO</v>
      </c>
      <c r="C817" s="76" t="str">
        <f>IFERROR(VLOOKUP($A817,EVENTO!$A$2:$C$4999,3,FALSE),"")</f>
        <v>PREFEITURA MUNICIPAL DE ARACATI - DESENVOLVIMENTO AGRÁRIO </v>
      </c>
      <c r="D817" s="78" t="s">
        <v>1458</v>
      </c>
      <c r="E817" s="6" t="s">
        <v>1535</v>
      </c>
      <c r="F817" s="78">
        <v>3.0</v>
      </c>
      <c r="G817" s="79">
        <v>344.75</v>
      </c>
    </row>
    <row r="818">
      <c r="A818" s="6">
        <v>187.0</v>
      </c>
      <c r="B818" s="76" t="str">
        <f>IFERROR(VLOOKUP($A818,EVENTO!$A$2:$C$4999,2,FALSE),"")</f>
        <v>ADITIVO DE PRAZO</v>
      </c>
      <c r="C818" s="76" t="str">
        <f>IFERROR(VLOOKUP($A818,EVENTO!$A$2:$C$4999,3,FALSE),"")</f>
        <v>PREFEITURA MUNICIPAL DE ARACATI - DESENVOLVIMENTO AGRÁRIO </v>
      </c>
      <c r="D818" s="78" t="s">
        <v>1546</v>
      </c>
      <c r="E818" s="6" t="s">
        <v>1547</v>
      </c>
      <c r="F818" s="78">
        <v>3.0</v>
      </c>
      <c r="G818" s="79">
        <v>270.39</v>
      </c>
    </row>
    <row r="819">
      <c r="A819" s="6">
        <v>187.0</v>
      </c>
      <c r="B819" s="76" t="str">
        <f>IFERROR(VLOOKUP($A819,EVENTO!$A$2:$C$4999,2,FALSE),"")</f>
        <v>ADITIVO DE PRAZO</v>
      </c>
      <c r="C819" s="76" t="str">
        <f>IFERROR(VLOOKUP($A819,EVENTO!$A$2:$C$4999,3,FALSE),"")</f>
        <v>PREFEITURA MUNICIPAL DE ARACATI - DESENVOLVIMENTO AGRÁRIO </v>
      </c>
      <c r="D819" s="78" t="s">
        <v>1456</v>
      </c>
      <c r="E819" s="6" t="s">
        <v>1548</v>
      </c>
      <c r="F819" s="78">
        <v>3.0</v>
      </c>
      <c r="G819" s="79">
        <v>387.36</v>
      </c>
    </row>
    <row r="820">
      <c r="A820" s="6">
        <v>187.0</v>
      </c>
      <c r="B820" s="76" t="str">
        <f>IFERROR(VLOOKUP($A820,EVENTO!$A$2:$C$4999,2,FALSE),"")</f>
        <v>ADITIVO DE PRAZO</v>
      </c>
      <c r="C820" s="76" t="str">
        <f>IFERROR(VLOOKUP($A820,EVENTO!$A$2:$C$4999,3,FALSE),"")</f>
        <v>PREFEITURA MUNICIPAL DE ARACATI - DESENVOLVIMENTO AGRÁRIO </v>
      </c>
      <c r="D820" s="78" t="s">
        <v>1549</v>
      </c>
      <c r="E820" s="6" t="s">
        <v>1550</v>
      </c>
      <c r="F820" s="78">
        <v>12.0</v>
      </c>
      <c r="G820" s="79">
        <v>221.78</v>
      </c>
    </row>
    <row r="821">
      <c r="A821" s="6">
        <v>187.0</v>
      </c>
      <c r="B821" s="76" t="str">
        <f>IFERROR(VLOOKUP($A821,EVENTO!$A$2:$C$4999,2,FALSE),"")</f>
        <v>ADITIVO DE PRAZO</v>
      </c>
      <c r="C821" s="76" t="str">
        <f>IFERROR(VLOOKUP($A821,EVENTO!$A$2:$C$4999,3,FALSE),"")</f>
        <v>PREFEITURA MUNICIPAL DE ARACATI - DESENVOLVIMENTO AGRÁRIO </v>
      </c>
      <c r="D821" s="78" t="s">
        <v>1551</v>
      </c>
      <c r="E821" s="6" t="s">
        <v>1552</v>
      </c>
      <c r="F821" s="78">
        <v>8.0</v>
      </c>
      <c r="G821" s="79">
        <v>173.93</v>
      </c>
    </row>
    <row r="822">
      <c r="A822" s="6">
        <v>187.0</v>
      </c>
      <c r="B822" s="76" t="str">
        <f>IFERROR(VLOOKUP($A822,EVENTO!$A$2:$C$4999,2,FALSE),"")</f>
        <v>ADITIVO DE PRAZO</v>
      </c>
      <c r="C822" s="76" t="str">
        <f>IFERROR(VLOOKUP($A822,EVENTO!$A$2:$C$4999,3,FALSE),"")</f>
        <v>PREFEITURA MUNICIPAL DE ARACATI - DESENVOLVIMENTO AGRÁRIO </v>
      </c>
      <c r="D822" s="87" t="s">
        <v>1553</v>
      </c>
      <c r="F822" s="78">
        <v>2.0</v>
      </c>
      <c r="G822" s="79">
        <v>286.34</v>
      </c>
    </row>
    <row r="823">
      <c r="A823" s="6">
        <v>187.0</v>
      </c>
      <c r="B823" s="76" t="str">
        <f>IFERROR(VLOOKUP($A823,EVENTO!$A$2:$C$4999,2,FALSE),"")</f>
        <v>ADITIVO DE PRAZO</v>
      </c>
      <c r="C823" s="76" t="str">
        <f>IFERROR(VLOOKUP($A823,EVENTO!$A$2:$C$4999,3,FALSE),"")</f>
        <v>PREFEITURA MUNICIPAL DE ARACATI - DESENVOLVIMENTO AGRÁRIO </v>
      </c>
      <c r="D823" s="87" t="s">
        <v>1487</v>
      </c>
      <c r="F823" s="78">
        <v>2.0</v>
      </c>
      <c r="G823" s="79">
        <v>234.7</v>
      </c>
    </row>
    <row r="824">
      <c r="A824" s="6">
        <v>187.0</v>
      </c>
      <c r="B824" s="76" t="str">
        <f>IFERROR(VLOOKUP($A824,EVENTO!$A$2:$C$4999,2,FALSE),"")</f>
        <v>ADITIVO DE PRAZO</v>
      </c>
      <c r="C824" s="76" t="str">
        <f>IFERROR(VLOOKUP($A824,EVENTO!$A$2:$C$4999,3,FALSE),"")</f>
        <v>PREFEITURA MUNICIPAL DE ARACATI - DESENVOLVIMENTO AGRÁRIO </v>
      </c>
      <c r="D824" s="87" t="s">
        <v>1556</v>
      </c>
      <c r="F824" s="78">
        <v>2.0</v>
      </c>
      <c r="G824" s="79">
        <v>148.11</v>
      </c>
    </row>
    <row r="825">
      <c r="A825" s="6">
        <v>187.0</v>
      </c>
      <c r="B825" s="76" t="str">
        <f>IFERROR(VLOOKUP($A825,EVENTO!$A$2:$C$4999,2,FALSE),"")</f>
        <v>ADITIVO DE PRAZO</v>
      </c>
      <c r="C825" s="76" t="str">
        <f>IFERROR(VLOOKUP($A825,EVENTO!$A$2:$C$4999,3,FALSE),"")</f>
        <v>PREFEITURA MUNICIPAL DE ARACATI - DESENVOLVIMENTO AGRÁRIO </v>
      </c>
      <c r="D825" s="78" t="s">
        <v>1504</v>
      </c>
      <c r="F825" s="78">
        <v>3.0</v>
      </c>
      <c r="G825" s="79">
        <v>41.95</v>
      </c>
    </row>
    <row r="826">
      <c r="A826" s="6">
        <v>187.0</v>
      </c>
      <c r="B826" s="76" t="str">
        <f>IFERROR(VLOOKUP($A826,EVENTO!$A$2:$C$4999,2,FALSE),"")</f>
        <v>ADITIVO DE PRAZO</v>
      </c>
      <c r="C826" s="76" t="str">
        <f>IFERROR(VLOOKUP($A826,EVENTO!$A$2:$C$4999,3,FALSE),"")</f>
        <v>PREFEITURA MUNICIPAL DE ARACATI - DESENVOLVIMENTO AGRÁRIO </v>
      </c>
      <c r="D826" s="78" t="s">
        <v>1557</v>
      </c>
      <c r="F826" s="78">
        <v>1.0</v>
      </c>
      <c r="G826" s="79">
        <v>91.18</v>
      </c>
    </row>
    <row r="827">
      <c r="A827" s="6">
        <v>187.0</v>
      </c>
      <c r="B827" s="76" t="str">
        <f>IFERROR(VLOOKUP($A827,EVENTO!$A$2:$C$4999,2,FALSE),"")</f>
        <v>ADITIVO DE PRAZO</v>
      </c>
      <c r="C827" s="76" t="str">
        <f>IFERROR(VLOOKUP($A827,EVENTO!$A$2:$C$4999,3,FALSE),"")</f>
        <v>PREFEITURA MUNICIPAL DE ARACATI - DESENVOLVIMENTO AGRÁRIO </v>
      </c>
      <c r="D827" s="78" t="s">
        <v>1560</v>
      </c>
      <c r="F827" s="78">
        <v>2.0</v>
      </c>
      <c r="G827" s="79">
        <v>50.3</v>
      </c>
    </row>
    <row r="828">
      <c r="A828" s="6">
        <v>194.0</v>
      </c>
      <c r="B828" s="76" t="str">
        <f>IFERROR(VLOOKUP($A828,EVENTO!$A$2:$C$4999,2,FALSE),"")</f>
        <v>CADASTRO</v>
      </c>
      <c r="C828" s="76" t="str">
        <f>IFERROR(VLOOKUP($A828,EVENTO!$A$2:$C$4999,3,FALSE),"")</f>
        <v>PREFEITURA MUNICIPAL DE ARACATI - DESENV ECON, TRAB E RENDA</v>
      </c>
      <c r="D828" s="78" t="s">
        <v>1544</v>
      </c>
      <c r="E828" s="6" t="s">
        <v>1545</v>
      </c>
      <c r="F828" s="78">
        <v>1.0</v>
      </c>
      <c r="G828" s="79">
        <v>534.71</v>
      </c>
    </row>
    <row r="829">
      <c r="A829" s="6">
        <v>194.0</v>
      </c>
      <c r="B829" s="76" t="str">
        <f>IFERROR(VLOOKUP($A829,EVENTO!$A$2:$C$4999,2,FALSE),"")</f>
        <v>CADASTRO</v>
      </c>
      <c r="C829" s="76" t="str">
        <f>IFERROR(VLOOKUP($A829,EVENTO!$A$2:$C$4999,3,FALSE),"")</f>
        <v>PREFEITURA MUNICIPAL DE ARACATI - DESENV ECON, TRAB E RENDA</v>
      </c>
      <c r="D829" s="78" t="s">
        <v>1458</v>
      </c>
      <c r="E829" s="6" t="s">
        <v>1535</v>
      </c>
      <c r="F829" s="78">
        <v>4.0</v>
      </c>
      <c r="G829" s="79">
        <v>344.75</v>
      </c>
    </row>
    <row r="830">
      <c r="A830" s="6">
        <v>194.0</v>
      </c>
      <c r="B830" s="76" t="str">
        <f>IFERROR(VLOOKUP($A830,EVENTO!$A$2:$C$4999,2,FALSE),"")</f>
        <v>CADASTRO</v>
      </c>
      <c r="C830" s="76" t="str">
        <f>IFERROR(VLOOKUP($A830,EVENTO!$A$2:$C$4999,3,FALSE),"")</f>
        <v>PREFEITURA MUNICIPAL DE ARACATI - DESENV ECON, TRAB E RENDA</v>
      </c>
      <c r="D830" s="78" t="s">
        <v>1546</v>
      </c>
      <c r="E830" s="6" t="s">
        <v>1547</v>
      </c>
      <c r="F830" s="78">
        <v>5.0</v>
      </c>
      <c r="G830" s="79">
        <v>270.39</v>
      </c>
    </row>
    <row r="831">
      <c r="A831" s="6">
        <v>194.0</v>
      </c>
      <c r="B831" s="76" t="str">
        <f>IFERROR(VLOOKUP($A831,EVENTO!$A$2:$C$4999,2,FALSE),"")</f>
        <v>CADASTRO</v>
      </c>
      <c r="C831" s="76" t="str">
        <f>IFERROR(VLOOKUP($A831,EVENTO!$A$2:$C$4999,3,FALSE),"")</f>
        <v>PREFEITURA MUNICIPAL DE ARACATI - DESENV ECON, TRAB E RENDA</v>
      </c>
      <c r="D831" s="78" t="s">
        <v>1456</v>
      </c>
      <c r="E831" s="6" t="s">
        <v>1548</v>
      </c>
      <c r="F831" s="78">
        <v>3.0</v>
      </c>
      <c r="G831" s="79">
        <v>387.36</v>
      </c>
    </row>
    <row r="832">
      <c r="A832" s="6">
        <v>194.0</v>
      </c>
      <c r="B832" s="76" t="str">
        <f>IFERROR(VLOOKUP($A832,EVENTO!$A$2:$C$4999,2,FALSE),"")</f>
        <v>CADASTRO</v>
      </c>
      <c r="C832" s="76" t="str">
        <f>IFERROR(VLOOKUP($A832,EVENTO!$A$2:$C$4999,3,FALSE),"")</f>
        <v>PREFEITURA MUNICIPAL DE ARACATI - DESENV ECON, TRAB E RENDA</v>
      </c>
      <c r="D832" s="78" t="s">
        <v>1549</v>
      </c>
      <c r="E832" s="6" t="s">
        <v>1550</v>
      </c>
      <c r="F832" s="78">
        <v>9.0</v>
      </c>
      <c r="G832" s="79">
        <v>221.78</v>
      </c>
    </row>
    <row r="833">
      <c r="A833" s="6">
        <v>194.0</v>
      </c>
      <c r="B833" s="76" t="str">
        <f>IFERROR(VLOOKUP($A833,EVENTO!$A$2:$C$4999,2,FALSE),"")</f>
        <v>CADASTRO</v>
      </c>
      <c r="C833" s="76" t="str">
        <f>IFERROR(VLOOKUP($A833,EVENTO!$A$2:$C$4999,3,FALSE),"")</f>
        <v>PREFEITURA MUNICIPAL DE ARACATI - DESENV ECON, TRAB E RENDA</v>
      </c>
      <c r="D833" s="78" t="s">
        <v>1551</v>
      </c>
      <c r="E833" s="6" t="s">
        <v>1552</v>
      </c>
      <c r="F833" s="78">
        <v>10.0</v>
      </c>
      <c r="G833" s="79">
        <v>173.93</v>
      </c>
    </row>
    <row r="834">
      <c r="A834" s="6">
        <v>194.0</v>
      </c>
      <c r="B834" s="76" t="str">
        <f>IFERROR(VLOOKUP($A834,EVENTO!$A$2:$C$4999,2,FALSE),"")</f>
        <v>CADASTRO</v>
      </c>
      <c r="C834" s="76" t="str">
        <f>IFERROR(VLOOKUP($A834,EVENTO!$A$2:$C$4999,3,FALSE),"")</f>
        <v>PREFEITURA MUNICIPAL DE ARACATI - DESENV ECON, TRAB E RENDA</v>
      </c>
      <c r="D834" s="87" t="s">
        <v>1553</v>
      </c>
      <c r="F834" s="78">
        <v>5.0</v>
      </c>
      <c r="G834" s="79">
        <v>286.34</v>
      </c>
    </row>
    <row r="835">
      <c r="A835" s="6">
        <v>194.0</v>
      </c>
      <c r="B835" s="76" t="str">
        <f>IFERROR(VLOOKUP($A835,EVENTO!$A$2:$C$4999,2,FALSE),"")</f>
        <v>CADASTRO</v>
      </c>
      <c r="C835" s="76" t="str">
        <f>IFERROR(VLOOKUP($A835,EVENTO!$A$2:$C$4999,3,FALSE),"")</f>
        <v>PREFEITURA MUNICIPAL DE ARACATI - DESENV ECON, TRAB E RENDA</v>
      </c>
      <c r="D835" s="87" t="s">
        <v>1487</v>
      </c>
      <c r="F835" s="78">
        <v>5.0</v>
      </c>
      <c r="G835" s="79">
        <v>234.7</v>
      </c>
    </row>
    <row r="836">
      <c r="A836" s="6">
        <v>194.0</v>
      </c>
      <c r="B836" s="76" t="str">
        <f>IFERROR(VLOOKUP($A836,EVENTO!$A$2:$C$4999,2,FALSE),"")</f>
        <v>CADASTRO</v>
      </c>
      <c r="C836" s="76" t="str">
        <f>IFERROR(VLOOKUP($A836,EVENTO!$A$2:$C$4999,3,FALSE),"")</f>
        <v>PREFEITURA MUNICIPAL DE ARACATI - DESENV ECON, TRAB E RENDA</v>
      </c>
      <c r="D836" s="87" t="s">
        <v>1556</v>
      </c>
      <c r="F836" s="78">
        <v>5.0</v>
      </c>
      <c r="G836" s="79">
        <v>148.11</v>
      </c>
    </row>
    <row r="837">
      <c r="A837" s="6">
        <v>194.0</v>
      </c>
      <c r="B837" s="76" t="str">
        <f>IFERROR(VLOOKUP($A837,EVENTO!$A$2:$C$4999,2,FALSE),"")</f>
        <v>CADASTRO</v>
      </c>
      <c r="C837" s="76" t="str">
        <f>IFERROR(VLOOKUP($A837,EVENTO!$A$2:$C$4999,3,FALSE),"")</f>
        <v>PREFEITURA MUNICIPAL DE ARACATI - DESENV ECON, TRAB E RENDA</v>
      </c>
      <c r="D837" s="78" t="s">
        <v>1557</v>
      </c>
      <c r="F837" s="78">
        <v>3.0</v>
      </c>
      <c r="G837" s="79">
        <v>91.18</v>
      </c>
    </row>
    <row r="838">
      <c r="A838" s="6">
        <v>194.0</v>
      </c>
      <c r="B838" s="76" t="str">
        <f>IFERROR(VLOOKUP($A838,EVENTO!$A$2:$C$4999,2,FALSE),"")</f>
        <v>CADASTRO</v>
      </c>
      <c r="C838" s="76" t="str">
        <f>IFERROR(VLOOKUP($A838,EVENTO!$A$2:$C$4999,3,FALSE),"")</f>
        <v>PREFEITURA MUNICIPAL DE ARACATI - DESENV ECON, TRAB E RENDA</v>
      </c>
      <c r="D838" s="78" t="s">
        <v>1560</v>
      </c>
      <c r="F838" s="78">
        <v>3.0</v>
      </c>
      <c r="G838" s="79">
        <v>50.3</v>
      </c>
    </row>
    <row r="839">
      <c r="A839" s="6">
        <v>182.0</v>
      </c>
      <c r="B839" s="76" t="str">
        <f>IFERROR(VLOOKUP($A839,EVENTO!$A$2:$C$4999,2,FALSE),"")</f>
        <v>CADASTRO</v>
      </c>
      <c r="C839" s="76" t="str">
        <f>IFERROR(VLOOKUP($A839,EVENTO!$A$2:$C$4999,3,FALSE),"")</f>
        <v>PREFEITURA MUNICIPAL DE MARANGUAPE - AGRICULTURA, PESCA E RECURSOS HÍDRICOS</v>
      </c>
      <c r="D839" s="78" t="s">
        <v>1589</v>
      </c>
      <c r="E839" s="6" t="s">
        <v>1589</v>
      </c>
      <c r="F839" s="78">
        <v>2.0</v>
      </c>
      <c r="G839" s="79">
        <v>132.31</v>
      </c>
    </row>
    <row r="840">
      <c r="A840" s="6">
        <v>182.0</v>
      </c>
      <c r="B840" s="76" t="str">
        <f>IFERROR(VLOOKUP($A840,EVENTO!$A$2:$C$4999,2,FALSE),"")</f>
        <v>CADASTRO</v>
      </c>
      <c r="C840" s="76" t="str">
        <f>IFERROR(VLOOKUP($A840,EVENTO!$A$2:$C$4999,3,FALSE),"")</f>
        <v>PREFEITURA MUNICIPAL DE MARANGUAPE - AGRICULTURA, PESCA E RECURSOS HÍDRICOS</v>
      </c>
      <c r="D840" s="78" t="s">
        <v>1591</v>
      </c>
      <c r="E840" s="6" t="s">
        <v>1591</v>
      </c>
      <c r="F840" s="78">
        <v>8.0</v>
      </c>
      <c r="G840" s="79">
        <v>105.81</v>
      </c>
    </row>
    <row r="841">
      <c r="A841" s="6">
        <v>200.0</v>
      </c>
      <c r="B841" s="76" t="str">
        <f>IFERROR(VLOOKUP($A841,EVENTO!$A$2:$C$4999,2,FALSE),"")</f>
        <v>CADASTRO</v>
      </c>
      <c r="C841" s="76" t="str">
        <f>IFERROR(VLOOKUP($A841,EVENTO!$A$2:$C$4999,3,FALSE),"")</f>
        <v>PREFEITURA MUNICIPAL DE CAUCAIA - TURISMO E CULTURA</v>
      </c>
      <c r="D841" s="78" t="s">
        <v>1593</v>
      </c>
      <c r="F841" s="78">
        <v>2.0</v>
      </c>
      <c r="G841" s="89">
        <v>534.71</v>
      </c>
    </row>
    <row r="842">
      <c r="A842" s="6">
        <v>200.0</v>
      </c>
      <c r="B842" s="76" t="str">
        <f>IFERROR(VLOOKUP($A842,EVENTO!$A$2:$C$4999,2,FALSE),"")</f>
        <v>CADASTRO</v>
      </c>
      <c r="C842" s="76" t="str">
        <f>IFERROR(VLOOKUP($A842,EVENTO!$A$2:$C$4999,3,FALSE),"")</f>
        <v>PREFEITURA MUNICIPAL DE CAUCAIA - TURISMO E CULTURA</v>
      </c>
      <c r="D842" s="78" t="s">
        <v>1594</v>
      </c>
      <c r="F842" s="78">
        <v>6.0</v>
      </c>
      <c r="G842" s="90">
        <v>344.75</v>
      </c>
    </row>
    <row r="843">
      <c r="A843" s="6">
        <v>200.0</v>
      </c>
      <c r="B843" s="76" t="str">
        <f>IFERROR(VLOOKUP($A843,EVENTO!$A$2:$C$4999,2,FALSE),"")</f>
        <v>CADASTRO</v>
      </c>
      <c r="C843" s="76" t="str">
        <f>IFERROR(VLOOKUP($A843,EVENTO!$A$2:$C$4999,3,FALSE),"")</f>
        <v>PREFEITURA MUNICIPAL DE CAUCAIA - TURISMO E CULTURA</v>
      </c>
      <c r="D843" s="78" t="s">
        <v>1595</v>
      </c>
      <c r="F843" s="78">
        <v>2.0</v>
      </c>
      <c r="G843" s="90">
        <v>270.39</v>
      </c>
    </row>
    <row r="844">
      <c r="A844" s="6">
        <v>200.0</v>
      </c>
      <c r="B844" s="76" t="str">
        <f>IFERROR(VLOOKUP($A844,EVENTO!$A$2:$C$4999,2,FALSE),"")</f>
        <v>CADASTRO</v>
      </c>
      <c r="C844" s="76" t="str">
        <f>IFERROR(VLOOKUP($A844,EVENTO!$A$2:$C$4999,3,FALSE),"")</f>
        <v>PREFEITURA MUNICIPAL DE CAUCAIA - TURISMO E CULTURA</v>
      </c>
      <c r="D844" s="78" t="s">
        <v>1548</v>
      </c>
      <c r="F844" s="78">
        <v>2.0</v>
      </c>
      <c r="G844" s="90">
        <v>387.36</v>
      </c>
    </row>
    <row r="845">
      <c r="A845" s="6">
        <v>200.0</v>
      </c>
      <c r="B845" s="76" t="str">
        <f>IFERROR(VLOOKUP($A845,EVENTO!$A$2:$C$4999,2,FALSE),"")</f>
        <v>CADASTRO</v>
      </c>
      <c r="C845" s="76" t="str">
        <f>IFERROR(VLOOKUP($A845,EVENTO!$A$2:$C$4999,3,FALSE),"")</f>
        <v>PREFEITURA MUNICIPAL DE CAUCAIA - TURISMO E CULTURA</v>
      </c>
      <c r="D845" s="78" t="s">
        <v>1550</v>
      </c>
      <c r="F845" s="78">
        <v>18.0</v>
      </c>
      <c r="G845" s="90">
        <v>221.78</v>
      </c>
    </row>
    <row r="846">
      <c r="A846" s="6">
        <v>200.0</v>
      </c>
      <c r="B846" s="76" t="str">
        <f>IFERROR(VLOOKUP($A846,EVENTO!$A$2:$C$4999,2,FALSE),"")</f>
        <v>CADASTRO</v>
      </c>
      <c r="C846" s="76" t="str">
        <f>IFERROR(VLOOKUP($A846,EVENTO!$A$2:$C$4999,3,FALSE),"")</f>
        <v>PREFEITURA MUNICIPAL DE CAUCAIA - TURISMO E CULTURA</v>
      </c>
      <c r="D846" s="78" t="s">
        <v>1552</v>
      </c>
      <c r="F846" s="78">
        <v>2.0</v>
      </c>
      <c r="G846" s="90">
        <v>173.93</v>
      </c>
    </row>
    <row r="847">
      <c r="A847" s="6">
        <v>200.0</v>
      </c>
      <c r="B847" s="76" t="str">
        <f>IFERROR(VLOOKUP($A847,EVENTO!$A$2:$C$4999,2,FALSE),"")</f>
        <v>CADASTRO</v>
      </c>
      <c r="C847" s="76" t="str">
        <f>IFERROR(VLOOKUP($A847,EVENTO!$A$2:$C$4999,3,FALSE),"")</f>
        <v>PREFEITURA MUNICIPAL DE CAUCAIA - TURISMO E CULTURA</v>
      </c>
      <c r="D847" s="87" t="s">
        <v>1616</v>
      </c>
      <c r="F847" s="78">
        <v>7.0</v>
      </c>
      <c r="G847" s="90">
        <v>286.34</v>
      </c>
    </row>
    <row r="848">
      <c r="A848" s="6">
        <v>200.0</v>
      </c>
      <c r="B848" s="76" t="str">
        <f>IFERROR(VLOOKUP($A848,EVENTO!$A$2:$C$4999,2,FALSE),"")</f>
        <v>CADASTRO</v>
      </c>
      <c r="C848" s="76" t="str">
        <f>IFERROR(VLOOKUP($A848,EVENTO!$A$2:$C$4999,3,FALSE),"")</f>
        <v>PREFEITURA MUNICIPAL DE CAUCAIA - TURISMO E CULTURA</v>
      </c>
      <c r="D848" s="87" t="s">
        <v>1622</v>
      </c>
      <c r="F848" s="78">
        <v>4.0</v>
      </c>
      <c r="G848" s="90">
        <v>148.11</v>
      </c>
    </row>
    <row r="849">
      <c r="A849" s="6">
        <v>200.0</v>
      </c>
      <c r="B849" s="76" t="str">
        <f>IFERROR(VLOOKUP($A849,EVENTO!$A$2:$C$4999,2,FALSE),"")</f>
        <v>CADASTRO</v>
      </c>
      <c r="C849" s="76" t="str">
        <f>IFERROR(VLOOKUP($A849,EVENTO!$A$2:$C$4999,3,FALSE),"")</f>
        <v>PREFEITURA MUNICIPAL DE CAUCAIA - TURISMO E CULTURA</v>
      </c>
      <c r="D849" s="78" t="s">
        <v>1639</v>
      </c>
      <c r="F849" s="78">
        <v>1.0</v>
      </c>
      <c r="G849" s="90">
        <v>181.17</v>
      </c>
    </row>
    <row r="850">
      <c r="A850" s="6">
        <v>200.0</v>
      </c>
      <c r="B850" s="76" t="str">
        <f>IFERROR(VLOOKUP($A850,EVENTO!$A$2:$C$4999,2,FALSE),"")</f>
        <v>CADASTRO</v>
      </c>
      <c r="C850" s="76" t="str">
        <f>IFERROR(VLOOKUP($A850,EVENTO!$A$2:$C$4999,3,FALSE),"")</f>
        <v>PREFEITURA MUNICIPAL DE CAUCAIA - TURISMO E CULTURA</v>
      </c>
      <c r="D850" s="78" t="s">
        <v>1640</v>
      </c>
      <c r="F850" s="78">
        <v>1.0</v>
      </c>
      <c r="G850" s="90">
        <v>193.47</v>
      </c>
    </row>
    <row r="851">
      <c r="A851" s="6">
        <v>200.0</v>
      </c>
      <c r="B851" s="76" t="str">
        <f>IFERROR(VLOOKUP($A851,EVENTO!$A$2:$C$4999,2,FALSE),"")</f>
        <v>CADASTRO</v>
      </c>
      <c r="C851" s="76" t="str">
        <f>IFERROR(VLOOKUP($A851,EVENTO!$A$2:$C$4999,3,FALSE),"")</f>
        <v>PREFEITURA MUNICIPAL DE CAUCAIA - TURISMO E CULTURA</v>
      </c>
      <c r="D851" s="78" t="s">
        <v>1641</v>
      </c>
      <c r="F851" s="78">
        <v>1.0</v>
      </c>
      <c r="G851" s="90">
        <v>36.65</v>
      </c>
    </row>
    <row r="852">
      <c r="A852" s="6">
        <v>200.0</v>
      </c>
      <c r="B852" s="76" t="str">
        <f>IFERROR(VLOOKUP($A852,EVENTO!$A$2:$C$4999,2,FALSE),"")</f>
        <v>CADASTRO</v>
      </c>
      <c r="C852" s="76" t="str">
        <f>IFERROR(VLOOKUP($A852,EVENTO!$A$2:$C$4999,3,FALSE),"")</f>
        <v>PREFEITURA MUNICIPAL DE CAUCAIA - TURISMO E CULTURA</v>
      </c>
      <c r="D852" s="78" t="s">
        <v>1642</v>
      </c>
      <c r="F852" s="78">
        <v>2.0</v>
      </c>
      <c r="G852" s="90">
        <v>91.18</v>
      </c>
    </row>
    <row r="853">
      <c r="A853" s="6">
        <v>200.0</v>
      </c>
      <c r="B853" s="76" t="str">
        <f>IFERROR(VLOOKUP($A853,EVENTO!$A$2:$C$4999,2,FALSE),"")</f>
        <v>CADASTRO</v>
      </c>
      <c r="C853" s="76" t="str">
        <f>IFERROR(VLOOKUP($A853,EVENTO!$A$2:$C$4999,3,FALSE),"")</f>
        <v>PREFEITURA MUNICIPAL DE CAUCAIA - TURISMO E CULTURA</v>
      </c>
      <c r="D853" s="78" t="s">
        <v>1643</v>
      </c>
      <c r="F853" s="78">
        <v>1.0</v>
      </c>
      <c r="G853" s="90">
        <v>29.23</v>
      </c>
    </row>
    <row r="854">
      <c r="A854" s="6">
        <v>200.0</v>
      </c>
      <c r="B854" s="76" t="str">
        <f>IFERROR(VLOOKUP($A854,EVENTO!$A$2:$C$4999,2,FALSE),"")</f>
        <v>CADASTRO</v>
      </c>
      <c r="C854" s="76" t="str">
        <f>IFERROR(VLOOKUP($A854,EVENTO!$A$2:$C$4999,3,FALSE),"")</f>
        <v>PREFEITURA MUNICIPAL DE CAUCAIA - TURISMO E CULTURA</v>
      </c>
      <c r="D854" s="78" t="s">
        <v>1540</v>
      </c>
      <c r="F854" s="78">
        <v>4.0</v>
      </c>
      <c r="G854" s="90">
        <v>63.8</v>
      </c>
    </row>
    <row r="855">
      <c r="A855" s="6">
        <v>200.0</v>
      </c>
      <c r="B855" s="76" t="str">
        <f>IFERROR(VLOOKUP($A855,EVENTO!$A$2:$C$4999,2,FALSE),"")</f>
        <v>CADASTRO</v>
      </c>
      <c r="C855" s="76" t="str">
        <f>IFERROR(VLOOKUP($A855,EVENTO!$A$2:$C$4999,3,FALSE),"")</f>
        <v>PREFEITURA MUNICIPAL DE CAUCAIA - TURISMO E CULTURA</v>
      </c>
      <c r="D855" s="78" t="s">
        <v>1644</v>
      </c>
      <c r="F855" s="78">
        <v>2.0</v>
      </c>
      <c r="G855" s="90">
        <v>41.95</v>
      </c>
    </row>
    <row r="856">
      <c r="A856" s="6">
        <v>200.0</v>
      </c>
      <c r="B856" s="76" t="str">
        <f>IFERROR(VLOOKUP($A856,EVENTO!$A$2:$C$4999,2,FALSE),"")</f>
        <v>CADASTRO</v>
      </c>
      <c r="C856" s="76" t="str">
        <f>IFERROR(VLOOKUP($A856,EVENTO!$A$2:$C$4999,3,FALSE),"")</f>
        <v>PREFEITURA MUNICIPAL DE CAUCAIA - TURISMO E CULTURA</v>
      </c>
      <c r="D856" s="78" t="s">
        <v>1645</v>
      </c>
      <c r="F856" s="78">
        <v>1.0</v>
      </c>
      <c r="G856" s="90">
        <v>264.11</v>
      </c>
    </row>
    <row r="857">
      <c r="A857" s="6">
        <v>195.0</v>
      </c>
      <c r="B857" s="76" t="str">
        <f>IFERROR(VLOOKUP($A857,EVENTO!$A$2:$C$4999,2,FALSE),"")</f>
        <v>ADITIVO DE PRAZO</v>
      </c>
      <c r="C857" s="76" t="str">
        <f>IFERROR(VLOOKUP($A857,EVENTO!$A$2:$C$4999,3,FALSE),"")</f>
        <v>PREFEITURA MUNICIPAL DE ARACATI - DESENV ECON, TRAB E RENDA</v>
      </c>
      <c r="D857" s="78" t="s">
        <v>1544</v>
      </c>
      <c r="E857" s="6" t="s">
        <v>1545</v>
      </c>
      <c r="F857" s="78">
        <v>1.0</v>
      </c>
      <c r="G857" s="79">
        <v>534.71</v>
      </c>
    </row>
    <row r="858">
      <c r="A858" s="6">
        <v>195.0</v>
      </c>
      <c r="B858" s="76" t="str">
        <f>IFERROR(VLOOKUP($A858,EVENTO!$A$2:$C$4999,2,FALSE),"")</f>
        <v>ADITIVO DE PRAZO</v>
      </c>
      <c r="C858" s="76" t="str">
        <f>IFERROR(VLOOKUP($A858,EVENTO!$A$2:$C$4999,3,FALSE),"")</f>
        <v>PREFEITURA MUNICIPAL DE ARACATI - DESENV ECON, TRAB E RENDA</v>
      </c>
      <c r="D858" s="78" t="s">
        <v>1458</v>
      </c>
      <c r="E858" s="6" t="s">
        <v>1535</v>
      </c>
      <c r="F858" s="78">
        <v>4.0</v>
      </c>
      <c r="G858" s="79">
        <v>344.75</v>
      </c>
    </row>
    <row r="859">
      <c r="A859" s="6">
        <v>195.0</v>
      </c>
      <c r="B859" s="76" t="str">
        <f>IFERROR(VLOOKUP($A859,EVENTO!$A$2:$C$4999,2,FALSE),"")</f>
        <v>ADITIVO DE PRAZO</v>
      </c>
      <c r="C859" s="76" t="str">
        <f>IFERROR(VLOOKUP($A859,EVENTO!$A$2:$C$4999,3,FALSE),"")</f>
        <v>PREFEITURA MUNICIPAL DE ARACATI - DESENV ECON, TRAB E RENDA</v>
      </c>
      <c r="D859" s="78" t="s">
        <v>1546</v>
      </c>
      <c r="E859" s="6" t="s">
        <v>1547</v>
      </c>
      <c r="F859" s="78">
        <v>5.0</v>
      </c>
      <c r="G859" s="79">
        <v>270.39</v>
      </c>
    </row>
    <row r="860">
      <c r="A860" s="6">
        <v>195.0</v>
      </c>
      <c r="B860" s="76" t="str">
        <f>IFERROR(VLOOKUP($A860,EVENTO!$A$2:$C$4999,2,FALSE),"")</f>
        <v>ADITIVO DE PRAZO</v>
      </c>
      <c r="C860" s="76" t="str">
        <f>IFERROR(VLOOKUP($A860,EVENTO!$A$2:$C$4999,3,FALSE),"")</f>
        <v>PREFEITURA MUNICIPAL DE ARACATI - DESENV ECON, TRAB E RENDA</v>
      </c>
      <c r="D860" s="78" t="s">
        <v>1456</v>
      </c>
      <c r="E860" s="6" t="s">
        <v>1548</v>
      </c>
      <c r="F860" s="78">
        <v>3.0</v>
      </c>
      <c r="G860" s="79">
        <v>387.36</v>
      </c>
    </row>
    <row r="861">
      <c r="A861" s="6">
        <v>195.0</v>
      </c>
      <c r="B861" s="76" t="str">
        <f>IFERROR(VLOOKUP($A861,EVENTO!$A$2:$C$4999,2,FALSE),"")</f>
        <v>ADITIVO DE PRAZO</v>
      </c>
      <c r="C861" s="76" t="str">
        <f>IFERROR(VLOOKUP($A861,EVENTO!$A$2:$C$4999,3,FALSE),"")</f>
        <v>PREFEITURA MUNICIPAL DE ARACATI - DESENV ECON, TRAB E RENDA</v>
      </c>
      <c r="D861" s="78" t="s">
        <v>1549</v>
      </c>
      <c r="E861" s="6" t="s">
        <v>1550</v>
      </c>
      <c r="F861" s="78">
        <v>9.0</v>
      </c>
      <c r="G861" s="79">
        <v>221.78</v>
      </c>
    </row>
    <row r="862">
      <c r="A862" s="6">
        <v>195.0</v>
      </c>
      <c r="B862" s="76" t="str">
        <f>IFERROR(VLOOKUP($A862,EVENTO!$A$2:$C$4999,2,FALSE),"")</f>
        <v>ADITIVO DE PRAZO</v>
      </c>
      <c r="C862" s="76" t="str">
        <f>IFERROR(VLOOKUP($A862,EVENTO!$A$2:$C$4999,3,FALSE),"")</f>
        <v>PREFEITURA MUNICIPAL DE ARACATI - DESENV ECON, TRAB E RENDA</v>
      </c>
      <c r="D862" s="78" t="s">
        <v>1551</v>
      </c>
      <c r="E862" s="6" t="s">
        <v>1552</v>
      </c>
      <c r="F862" s="78">
        <v>10.0</v>
      </c>
      <c r="G862" s="79">
        <v>173.93</v>
      </c>
    </row>
    <row r="863">
      <c r="A863" s="6">
        <v>195.0</v>
      </c>
      <c r="B863" s="76" t="str">
        <f>IFERROR(VLOOKUP($A863,EVENTO!$A$2:$C$4999,2,FALSE),"")</f>
        <v>ADITIVO DE PRAZO</v>
      </c>
      <c r="C863" s="76" t="str">
        <f>IFERROR(VLOOKUP($A863,EVENTO!$A$2:$C$4999,3,FALSE),"")</f>
        <v>PREFEITURA MUNICIPAL DE ARACATI - DESENV ECON, TRAB E RENDA</v>
      </c>
      <c r="D863" s="87" t="s">
        <v>1553</v>
      </c>
      <c r="F863" s="78">
        <v>5.0</v>
      </c>
      <c r="G863" s="79">
        <v>286.34</v>
      </c>
    </row>
    <row r="864">
      <c r="A864" s="6">
        <v>195.0</v>
      </c>
      <c r="B864" s="76" t="str">
        <f>IFERROR(VLOOKUP($A864,EVENTO!$A$2:$C$4999,2,FALSE),"")</f>
        <v>ADITIVO DE PRAZO</v>
      </c>
      <c r="C864" s="76" t="str">
        <f>IFERROR(VLOOKUP($A864,EVENTO!$A$2:$C$4999,3,FALSE),"")</f>
        <v>PREFEITURA MUNICIPAL DE ARACATI - DESENV ECON, TRAB E RENDA</v>
      </c>
      <c r="D864" s="87" t="s">
        <v>1487</v>
      </c>
      <c r="F864" s="78">
        <v>5.0</v>
      </c>
      <c r="G864" s="79">
        <v>234.7</v>
      </c>
    </row>
    <row r="865">
      <c r="A865" s="6">
        <v>195.0</v>
      </c>
      <c r="B865" s="76" t="str">
        <f>IFERROR(VLOOKUP($A865,EVENTO!$A$2:$C$4999,2,FALSE),"")</f>
        <v>ADITIVO DE PRAZO</v>
      </c>
      <c r="C865" s="76" t="str">
        <f>IFERROR(VLOOKUP($A865,EVENTO!$A$2:$C$4999,3,FALSE),"")</f>
        <v>PREFEITURA MUNICIPAL DE ARACATI - DESENV ECON, TRAB E RENDA</v>
      </c>
      <c r="D865" s="87" t="s">
        <v>1556</v>
      </c>
      <c r="F865" s="78">
        <v>5.0</v>
      </c>
      <c r="G865" s="79">
        <v>148.11</v>
      </c>
    </row>
    <row r="866">
      <c r="A866" s="6">
        <v>195.0</v>
      </c>
      <c r="B866" s="76" t="str">
        <f>IFERROR(VLOOKUP($A866,EVENTO!$A$2:$C$4999,2,FALSE),"")</f>
        <v>ADITIVO DE PRAZO</v>
      </c>
      <c r="C866" s="76" t="str">
        <f>IFERROR(VLOOKUP($A866,EVENTO!$A$2:$C$4999,3,FALSE),"")</f>
        <v>PREFEITURA MUNICIPAL DE ARACATI - DESENV ECON, TRAB E RENDA</v>
      </c>
      <c r="D866" s="78" t="s">
        <v>1557</v>
      </c>
      <c r="F866" s="78">
        <v>3.0</v>
      </c>
      <c r="G866" s="79">
        <v>91.18</v>
      </c>
    </row>
    <row r="867">
      <c r="A867" s="6">
        <v>195.0</v>
      </c>
      <c r="B867" s="76" t="str">
        <f>IFERROR(VLOOKUP($A867,EVENTO!$A$2:$C$4999,2,FALSE),"")</f>
        <v>ADITIVO DE PRAZO</v>
      </c>
      <c r="C867" s="76" t="str">
        <f>IFERROR(VLOOKUP($A867,EVENTO!$A$2:$C$4999,3,FALSE),"")</f>
        <v>PREFEITURA MUNICIPAL DE ARACATI - DESENV ECON, TRAB E RENDA</v>
      </c>
      <c r="D867" s="78" t="s">
        <v>1560</v>
      </c>
      <c r="F867" s="78">
        <v>3.0</v>
      </c>
      <c r="G867" s="79">
        <v>50.3</v>
      </c>
    </row>
    <row r="868">
      <c r="A868" s="6">
        <v>196.0</v>
      </c>
      <c r="B868" s="76" t="str">
        <f>IFERROR(VLOOKUP($A868,EVENTO!$A$2:$C$4999,2,FALSE),"")</f>
        <v>ADITIVO DE PRAZO</v>
      </c>
      <c r="C868" s="76" t="str">
        <f>IFERROR(VLOOKUP($A868,EVENTO!$A$2:$C$4999,3,FALSE),"")</f>
        <v>PREFEITURA MUNICIPAL DE ARACATI - DESENV ECON, TRAB E RENDA</v>
      </c>
      <c r="D868" s="78" t="s">
        <v>1544</v>
      </c>
      <c r="E868" s="6" t="s">
        <v>1545</v>
      </c>
      <c r="F868" s="78">
        <v>1.0</v>
      </c>
      <c r="G868" s="79">
        <v>534.71</v>
      </c>
    </row>
    <row r="869">
      <c r="A869" s="6">
        <v>196.0</v>
      </c>
      <c r="B869" s="76" t="str">
        <f>IFERROR(VLOOKUP($A869,EVENTO!$A$2:$C$4999,2,FALSE),"")</f>
        <v>ADITIVO DE PRAZO</v>
      </c>
      <c r="C869" s="76" t="str">
        <f>IFERROR(VLOOKUP($A869,EVENTO!$A$2:$C$4999,3,FALSE),"")</f>
        <v>PREFEITURA MUNICIPAL DE ARACATI - DESENV ECON, TRAB E RENDA</v>
      </c>
      <c r="D869" s="78" t="s">
        <v>1458</v>
      </c>
      <c r="E869" s="6" t="s">
        <v>1535</v>
      </c>
      <c r="F869" s="78">
        <v>4.0</v>
      </c>
      <c r="G869" s="79">
        <v>344.75</v>
      </c>
    </row>
    <row r="870">
      <c r="A870" s="6">
        <v>196.0</v>
      </c>
      <c r="B870" s="76" t="str">
        <f>IFERROR(VLOOKUP($A870,EVENTO!$A$2:$C$4999,2,FALSE),"")</f>
        <v>ADITIVO DE PRAZO</v>
      </c>
      <c r="C870" s="76" t="str">
        <f>IFERROR(VLOOKUP($A870,EVENTO!$A$2:$C$4999,3,FALSE),"")</f>
        <v>PREFEITURA MUNICIPAL DE ARACATI - DESENV ECON, TRAB E RENDA</v>
      </c>
      <c r="D870" s="78" t="s">
        <v>1546</v>
      </c>
      <c r="E870" s="6" t="s">
        <v>1547</v>
      </c>
      <c r="F870" s="78">
        <v>5.0</v>
      </c>
      <c r="G870" s="79">
        <v>270.39</v>
      </c>
    </row>
    <row r="871">
      <c r="A871" s="6">
        <v>196.0</v>
      </c>
      <c r="B871" s="76" t="str">
        <f>IFERROR(VLOOKUP($A871,EVENTO!$A$2:$C$4999,2,FALSE),"")</f>
        <v>ADITIVO DE PRAZO</v>
      </c>
      <c r="C871" s="76" t="str">
        <f>IFERROR(VLOOKUP($A871,EVENTO!$A$2:$C$4999,3,FALSE),"")</f>
        <v>PREFEITURA MUNICIPAL DE ARACATI - DESENV ECON, TRAB E RENDA</v>
      </c>
      <c r="D871" s="78" t="s">
        <v>1456</v>
      </c>
      <c r="E871" s="6" t="s">
        <v>1548</v>
      </c>
      <c r="F871" s="78">
        <v>3.0</v>
      </c>
      <c r="G871" s="79">
        <v>387.36</v>
      </c>
    </row>
    <row r="872">
      <c r="A872" s="6">
        <v>196.0</v>
      </c>
      <c r="B872" s="76" t="str">
        <f>IFERROR(VLOOKUP($A872,EVENTO!$A$2:$C$4999,2,FALSE),"")</f>
        <v>ADITIVO DE PRAZO</v>
      </c>
      <c r="C872" s="76" t="str">
        <f>IFERROR(VLOOKUP($A872,EVENTO!$A$2:$C$4999,3,FALSE),"")</f>
        <v>PREFEITURA MUNICIPAL DE ARACATI - DESENV ECON, TRAB E RENDA</v>
      </c>
      <c r="D872" s="78" t="s">
        <v>1549</v>
      </c>
      <c r="E872" s="6" t="s">
        <v>1550</v>
      </c>
      <c r="F872" s="78">
        <v>12.0</v>
      </c>
      <c r="G872" s="79">
        <v>221.78</v>
      </c>
    </row>
    <row r="873">
      <c r="A873" s="6">
        <v>196.0</v>
      </c>
      <c r="B873" s="76" t="str">
        <f>IFERROR(VLOOKUP($A873,EVENTO!$A$2:$C$4999,2,FALSE),"")</f>
        <v>ADITIVO DE PRAZO</v>
      </c>
      <c r="C873" s="76" t="str">
        <f>IFERROR(VLOOKUP($A873,EVENTO!$A$2:$C$4999,3,FALSE),"")</f>
        <v>PREFEITURA MUNICIPAL DE ARACATI - DESENV ECON, TRAB E RENDA</v>
      </c>
      <c r="D873" s="78" t="s">
        <v>1551</v>
      </c>
      <c r="E873" s="6" t="s">
        <v>1552</v>
      </c>
      <c r="F873" s="78">
        <v>10.0</v>
      </c>
      <c r="G873" s="79">
        <v>173.93</v>
      </c>
    </row>
    <row r="874">
      <c r="A874" s="6">
        <v>196.0</v>
      </c>
      <c r="B874" s="76" t="str">
        <f>IFERROR(VLOOKUP($A874,EVENTO!$A$2:$C$4999,2,FALSE),"")</f>
        <v>ADITIVO DE PRAZO</v>
      </c>
      <c r="C874" s="76" t="str">
        <f>IFERROR(VLOOKUP($A874,EVENTO!$A$2:$C$4999,3,FALSE),"")</f>
        <v>PREFEITURA MUNICIPAL DE ARACATI - DESENV ECON, TRAB E RENDA</v>
      </c>
      <c r="D874" s="87" t="s">
        <v>1553</v>
      </c>
      <c r="F874" s="78">
        <v>5.0</v>
      </c>
      <c r="G874" s="79">
        <v>286.34</v>
      </c>
    </row>
    <row r="875">
      <c r="A875" s="6">
        <v>196.0</v>
      </c>
      <c r="B875" s="76" t="str">
        <f>IFERROR(VLOOKUP($A875,EVENTO!$A$2:$C$4999,2,FALSE),"")</f>
        <v>ADITIVO DE PRAZO</v>
      </c>
      <c r="C875" s="76" t="str">
        <f>IFERROR(VLOOKUP($A875,EVENTO!$A$2:$C$4999,3,FALSE),"")</f>
        <v>PREFEITURA MUNICIPAL DE ARACATI - DESENV ECON, TRAB E RENDA</v>
      </c>
      <c r="D875" s="87" t="s">
        <v>1487</v>
      </c>
      <c r="F875" s="78">
        <v>5.0</v>
      </c>
      <c r="G875" s="79">
        <v>234.7</v>
      </c>
    </row>
    <row r="876">
      <c r="A876" s="6">
        <v>196.0</v>
      </c>
      <c r="B876" s="76" t="str">
        <f>IFERROR(VLOOKUP($A876,EVENTO!$A$2:$C$4999,2,FALSE),"")</f>
        <v>ADITIVO DE PRAZO</v>
      </c>
      <c r="C876" s="76" t="str">
        <f>IFERROR(VLOOKUP($A876,EVENTO!$A$2:$C$4999,3,FALSE),"")</f>
        <v>PREFEITURA MUNICIPAL DE ARACATI - DESENV ECON, TRAB E RENDA</v>
      </c>
      <c r="D876" s="87" t="s">
        <v>1556</v>
      </c>
      <c r="F876" s="78">
        <v>5.0</v>
      </c>
      <c r="G876" s="79">
        <v>148.11</v>
      </c>
    </row>
    <row r="877">
      <c r="A877" s="6">
        <v>196.0</v>
      </c>
      <c r="B877" s="76" t="str">
        <f>IFERROR(VLOOKUP($A877,EVENTO!$A$2:$C$4999,2,FALSE),"")</f>
        <v>ADITIVO DE PRAZO</v>
      </c>
      <c r="C877" s="76" t="str">
        <f>IFERROR(VLOOKUP($A877,EVENTO!$A$2:$C$4999,3,FALSE),"")</f>
        <v>PREFEITURA MUNICIPAL DE ARACATI - DESENV ECON, TRAB E RENDA</v>
      </c>
      <c r="D877" s="78" t="s">
        <v>1557</v>
      </c>
      <c r="F877" s="78">
        <v>3.0</v>
      </c>
      <c r="G877" s="79">
        <v>91.18</v>
      </c>
    </row>
    <row r="878">
      <c r="A878" s="6">
        <v>196.0</v>
      </c>
      <c r="B878" s="76" t="str">
        <f>IFERROR(VLOOKUP($A878,EVENTO!$A$2:$C$4999,2,FALSE),"")</f>
        <v>ADITIVO DE PRAZO</v>
      </c>
      <c r="C878" s="76" t="str">
        <f>IFERROR(VLOOKUP($A878,EVENTO!$A$2:$C$4999,3,FALSE),"")</f>
        <v>PREFEITURA MUNICIPAL DE ARACATI - DESENV ECON, TRAB E RENDA</v>
      </c>
      <c r="D878" s="78" t="s">
        <v>1560</v>
      </c>
      <c r="F878" s="78">
        <v>3.0</v>
      </c>
      <c r="G878" s="79">
        <v>50.3</v>
      </c>
    </row>
    <row r="879">
      <c r="A879" s="6">
        <v>197.0</v>
      </c>
      <c r="B879" s="76" t="str">
        <f>IFERROR(VLOOKUP($A879,EVENTO!$A$2:$C$4999,2,FALSE),"")</f>
        <v>ADITIVO DE PRAZO</v>
      </c>
      <c r="C879" s="76" t="str">
        <f>IFERROR(VLOOKUP($A879,EVENTO!$A$2:$C$4999,3,FALSE),"")</f>
        <v>PREFEITURA MUNICIPAL DE ARACATI - DESENV ECON, TRAB E RENDA</v>
      </c>
      <c r="D879" s="78" t="s">
        <v>1544</v>
      </c>
      <c r="E879" s="6" t="s">
        <v>1545</v>
      </c>
      <c r="F879" s="78">
        <v>1.0</v>
      </c>
      <c r="G879" s="79">
        <v>534.71</v>
      </c>
    </row>
    <row r="880">
      <c r="A880" s="6">
        <v>197.0</v>
      </c>
      <c r="B880" s="76" t="str">
        <f>IFERROR(VLOOKUP($A880,EVENTO!$A$2:$C$4999,2,FALSE),"")</f>
        <v>ADITIVO DE PRAZO</v>
      </c>
      <c r="C880" s="76" t="str">
        <f>IFERROR(VLOOKUP($A880,EVENTO!$A$2:$C$4999,3,FALSE),"")</f>
        <v>PREFEITURA MUNICIPAL DE ARACATI - DESENV ECON, TRAB E RENDA</v>
      </c>
      <c r="D880" s="78" t="s">
        <v>1458</v>
      </c>
      <c r="E880" s="6" t="s">
        <v>1535</v>
      </c>
      <c r="F880" s="78">
        <v>4.0</v>
      </c>
      <c r="G880" s="79">
        <v>344.75</v>
      </c>
    </row>
    <row r="881">
      <c r="A881" s="6">
        <v>197.0</v>
      </c>
      <c r="B881" s="76" t="str">
        <f>IFERROR(VLOOKUP($A881,EVENTO!$A$2:$C$4999,2,FALSE),"")</f>
        <v>ADITIVO DE PRAZO</v>
      </c>
      <c r="C881" s="76" t="str">
        <f>IFERROR(VLOOKUP($A881,EVENTO!$A$2:$C$4999,3,FALSE),"")</f>
        <v>PREFEITURA MUNICIPAL DE ARACATI - DESENV ECON, TRAB E RENDA</v>
      </c>
      <c r="D881" s="78" t="s">
        <v>1546</v>
      </c>
      <c r="E881" s="6" t="s">
        <v>1547</v>
      </c>
      <c r="F881" s="78">
        <v>5.0</v>
      </c>
      <c r="G881" s="79">
        <v>270.39</v>
      </c>
    </row>
    <row r="882">
      <c r="A882" s="6">
        <v>197.0</v>
      </c>
      <c r="B882" s="76" t="str">
        <f>IFERROR(VLOOKUP($A882,EVENTO!$A$2:$C$4999,2,FALSE),"")</f>
        <v>ADITIVO DE PRAZO</v>
      </c>
      <c r="C882" s="76" t="str">
        <f>IFERROR(VLOOKUP($A882,EVENTO!$A$2:$C$4999,3,FALSE),"")</f>
        <v>PREFEITURA MUNICIPAL DE ARACATI - DESENV ECON, TRAB E RENDA</v>
      </c>
      <c r="D882" s="78" t="s">
        <v>1456</v>
      </c>
      <c r="E882" s="6" t="s">
        <v>1548</v>
      </c>
      <c r="F882" s="78">
        <v>3.0</v>
      </c>
      <c r="G882" s="79">
        <v>387.36</v>
      </c>
    </row>
    <row r="883">
      <c r="A883" s="6">
        <v>197.0</v>
      </c>
      <c r="B883" s="76" t="str">
        <f>IFERROR(VLOOKUP($A883,EVENTO!$A$2:$C$4999,2,FALSE),"")</f>
        <v>ADITIVO DE PRAZO</v>
      </c>
      <c r="C883" s="76" t="str">
        <f>IFERROR(VLOOKUP($A883,EVENTO!$A$2:$C$4999,3,FALSE),"")</f>
        <v>PREFEITURA MUNICIPAL DE ARACATI - DESENV ECON, TRAB E RENDA</v>
      </c>
      <c r="D883" s="78" t="s">
        <v>1549</v>
      </c>
      <c r="E883" s="6" t="s">
        <v>1550</v>
      </c>
      <c r="F883" s="78">
        <v>9.0</v>
      </c>
      <c r="G883" s="79">
        <v>221.78</v>
      </c>
    </row>
    <row r="884">
      <c r="A884" s="6">
        <v>197.0</v>
      </c>
      <c r="B884" s="76" t="str">
        <f>IFERROR(VLOOKUP($A884,EVENTO!$A$2:$C$4999,2,FALSE),"")</f>
        <v>ADITIVO DE PRAZO</v>
      </c>
      <c r="C884" s="76" t="str">
        <f>IFERROR(VLOOKUP($A884,EVENTO!$A$2:$C$4999,3,FALSE),"")</f>
        <v>PREFEITURA MUNICIPAL DE ARACATI - DESENV ECON, TRAB E RENDA</v>
      </c>
      <c r="D884" s="78" t="s">
        <v>1551</v>
      </c>
      <c r="E884" s="6" t="s">
        <v>1552</v>
      </c>
      <c r="F884" s="78">
        <v>10.0</v>
      </c>
      <c r="G884" s="79">
        <v>173.93</v>
      </c>
    </row>
    <row r="885">
      <c r="A885" s="6">
        <v>197.0</v>
      </c>
      <c r="B885" s="76" t="str">
        <f>IFERROR(VLOOKUP($A885,EVENTO!$A$2:$C$4999,2,FALSE),"")</f>
        <v>ADITIVO DE PRAZO</v>
      </c>
      <c r="C885" s="76" t="str">
        <f>IFERROR(VLOOKUP($A885,EVENTO!$A$2:$C$4999,3,FALSE),"")</f>
        <v>PREFEITURA MUNICIPAL DE ARACATI - DESENV ECON, TRAB E RENDA</v>
      </c>
      <c r="D885" s="87" t="s">
        <v>1553</v>
      </c>
      <c r="F885" s="78">
        <v>5.0</v>
      </c>
      <c r="G885" s="79">
        <v>286.34</v>
      </c>
    </row>
    <row r="886">
      <c r="A886" s="6">
        <v>197.0</v>
      </c>
      <c r="B886" s="76" t="str">
        <f>IFERROR(VLOOKUP($A886,EVENTO!$A$2:$C$4999,2,FALSE),"")</f>
        <v>ADITIVO DE PRAZO</v>
      </c>
      <c r="C886" s="76" t="str">
        <f>IFERROR(VLOOKUP($A886,EVENTO!$A$2:$C$4999,3,FALSE),"")</f>
        <v>PREFEITURA MUNICIPAL DE ARACATI - DESENV ECON, TRAB E RENDA</v>
      </c>
      <c r="D886" s="87" t="s">
        <v>1487</v>
      </c>
      <c r="F886" s="78">
        <v>5.0</v>
      </c>
      <c r="G886" s="79">
        <v>234.7</v>
      </c>
    </row>
    <row r="887">
      <c r="A887" s="6">
        <v>197.0</v>
      </c>
      <c r="B887" s="76" t="str">
        <f>IFERROR(VLOOKUP($A887,EVENTO!$A$2:$C$4999,2,FALSE),"")</f>
        <v>ADITIVO DE PRAZO</v>
      </c>
      <c r="C887" s="76" t="str">
        <f>IFERROR(VLOOKUP($A887,EVENTO!$A$2:$C$4999,3,FALSE),"")</f>
        <v>PREFEITURA MUNICIPAL DE ARACATI - DESENV ECON, TRAB E RENDA</v>
      </c>
      <c r="D887" s="87" t="s">
        <v>1556</v>
      </c>
      <c r="F887" s="78">
        <v>5.0</v>
      </c>
      <c r="G887" s="79">
        <v>148.11</v>
      </c>
    </row>
    <row r="888">
      <c r="A888" s="6">
        <v>197.0</v>
      </c>
      <c r="B888" s="76" t="str">
        <f>IFERROR(VLOOKUP($A888,EVENTO!$A$2:$C$4999,2,FALSE),"")</f>
        <v>ADITIVO DE PRAZO</v>
      </c>
      <c r="C888" s="76" t="str">
        <f>IFERROR(VLOOKUP($A888,EVENTO!$A$2:$C$4999,3,FALSE),"")</f>
        <v>PREFEITURA MUNICIPAL DE ARACATI - DESENV ECON, TRAB E RENDA</v>
      </c>
      <c r="D888" s="78" t="s">
        <v>1557</v>
      </c>
      <c r="F888" s="78">
        <v>3.0</v>
      </c>
      <c r="G888" s="79">
        <v>91.18</v>
      </c>
    </row>
    <row r="889">
      <c r="A889" s="6">
        <v>197.0</v>
      </c>
      <c r="B889" s="76" t="str">
        <f>IFERROR(VLOOKUP($A889,EVENTO!$A$2:$C$4999,2,FALSE),"")</f>
        <v>ADITIVO DE PRAZO</v>
      </c>
      <c r="C889" s="76" t="str">
        <f>IFERROR(VLOOKUP($A889,EVENTO!$A$2:$C$4999,3,FALSE),"")</f>
        <v>PREFEITURA MUNICIPAL DE ARACATI - DESENV ECON, TRAB E RENDA</v>
      </c>
      <c r="D889" s="78" t="s">
        <v>1560</v>
      </c>
      <c r="F889" s="78">
        <v>3.0</v>
      </c>
      <c r="G889" s="79">
        <v>50.3</v>
      </c>
    </row>
    <row r="890">
      <c r="A890" s="6">
        <v>198.0</v>
      </c>
      <c r="B890" s="76" t="str">
        <f>IFERROR(VLOOKUP($A890,EVENTO!$A$2:$C$4999,2,FALSE),"")</f>
        <v>ADITIVO DE PRAZO</v>
      </c>
      <c r="C890" s="76" t="str">
        <f>IFERROR(VLOOKUP($A890,EVENTO!$A$2:$C$4999,3,FALSE),"")</f>
        <v>PREFEITURA MUNICIPAL DE ARACATI - DESENV ECON, TRAB E RENDA</v>
      </c>
      <c r="D890" s="78" t="s">
        <v>1544</v>
      </c>
      <c r="E890" s="6" t="s">
        <v>1545</v>
      </c>
      <c r="F890" s="78">
        <v>1.0</v>
      </c>
      <c r="G890" s="79">
        <v>534.71</v>
      </c>
    </row>
    <row r="891">
      <c r="A891" s="6">
        <v>198.0</v>
      </c>
      <c r="B891" s="76" t="str">
        <f>IFERROR(VLOOKUP($A891,EVENTO!$A$2:$C$4999,2,FALSE),"")</f>
        <v>ADITIVO DE PRAZO</v>
      </c>
      <c r="C891" s="76" t="str">
        <f>IFERROR(VLOOKUP($A891,EVENTO!$A$2:$C$4999,3,FALSE),"")</f>
        <v>PREFEITURA MUNICIPAL DE ARACATI - DESENV ECON, TRAB E RENDA</v>
      </c>
      <c r="D891" s="78" t="s">
        <v>1458</v>
      </c>
      <c r="E891" s="6" t="s">
        <v>1535</v>
      </c>
      <c r="F891" s="78">
        <v>4.0</v>
      </c>
      <c r="G891" s="79">
        <v>344.75</v>
      </c>
    </row>
    <row r="892">
      <c r="A892" s="6">
        <v>198.0</v>
      </c>
      <c r="B892" s="76" t="str">
        <f>IFERROR(VLOOKUP($A892,EVENTO!$A$2:$C$4999,2,FALSE),"")</f>
        <v>ADITIVO DE PRAZO</v>
      </c>
      <c r="C892" s="76" t="str">
        <f>IFERROR(VLOOKUP($A892,EVENTO!$A$2:$C$4999,3,FALSE),"")</f>
        <v>PREFEITURA MUNICIPAL DE ARACATI - DESENV ECON, TRAB E RENDA</v>
      </c>
      <c r="D892" s="78" t="s">
        <v>1546</v>
      </c>
      <c r="E892" s="6" t="s">
        <v>1547</v>
      </c>
      <c r="F892" s="78">
        <v>5.0</v>
      </c>
      <c r="G892" s="79">
        <v>270.39</v>
      </c>
    </row>
    <row r="893">
      <c r="A893" s="6">
        <v>198.0</v>
      </c>
      <c r="B893" s="76" t="str">
        <f>IFERROR(VLOOKUP($A893,EVENTO!$A$2:$C$4999,2,FALSE),"")</f>
        <v>ADITIVO DE PRAZO</v>
      </c>
      <c r="C893" s="76" t="str">
        <f>IFERROR(VLOOKUP($A893,EVENTO!$A$2:$C$4999,3,FALSE),"")</f>
        <v>PREFEITURA MUNICIPAL DE ARACATI - DESENV ECON, TRAB E RENDA</v>
      </c>
      <c r="D893" s="78" t="s">
        <v>1456</v>
      </c>
      <c r="E893" s="6" t="s">
        <v>1548</v>
      </c>
      <c r="F893" s="78">
        <v>3.0</v>
      </c>
      <c r="G893" s="79">
        <v>387.36</v>
      </c>
    </row>
    <row r="894">
      <c r="A894" s="6">
        <v>198.0</v>
      </c>
      <c r="B894" s="76" t="str">
        <f>IFERROR(VLOOKUP($A894,EVENTO!$A$2:$C$4999,2,FALSE),"")</f>
        <v>ADITIVO DE PRAZO</v>
      </c>
      <c r="C894" s="76" t="str">
        <f>IFERROR(VLOOKUP($A894,EVENTO!$A$2:$C$4999,3,FALSE),"")</f>
        <v>PREFEITURA MUNICIPAL DE ARACATI - DESENV ECON, TRAB E RENDA</v>
      </c>
      <c r="D894" s="78" t="s">
        <v>1549</v>
      </c>
      <c r="E894" s="6" t="s">
        <v>1550</v>
      </c>
      <c r="F894" s="78">
        <v>9.0</v>
      </c>
      <c r="G894" s="79">
        <v>221.78</v>
      </c>
    </row>
    <row r="895">
      <c r="A895" s="6">
        <v>198.0</v>
      </c>
      <c r="B895" s="76" t="str">
        <f>IFERROR(VLOOKUP($A895,EVENTO!$A$2:$C$4999,2,FALSE),"")</f>
        <v>ADITIVO DE PRAZO</v>
      </c>
      <c r="C895" s="76" t="str">
        <f>IFERROR(VLOOKUP($A895,EVENTO!$A$2:$C$4999,3,FALSE),"")</f>
        <v>PREFEITURA MUNICIPAL DE ARACATI - DESENV ECON, TRAB E RENDA</v>
      </c>
      <c r="D895" s="78" t="s">
        <v>1551</v>
      </c>
      <c r="E895" s="6" t="s">
        <v>1552</v>
      </c>
      <c r="F895" s="78">
        <v>10.0</v>
      </c>
      <c r="G895" s="79">
        <v>173.93</v>
      </c>
    </row>
    <row r="896">
      <c r="A896" s="6">
        <v>198.0</v>
      </c>
      <c r="B896" s="76" t="str">
        <f>IFERROR(VLOOKUP($A896,EVENTO!$A$2:$C$4999,2,FALSE),"")</f>
        <v>ADITIVO DE PRAZO</v>
      </c>
      <c r="C896" s="76" t="str">
        <f>IFERROR(VLOOKUP($A896,EVENTO!$A$2:$C$4999,3,FALSE),"")</f>
        <v>PREFEITURA MUNICIPAL DE ARACATI - DESENV ECON, TRAB E RENDA</v>
      </c>
      <c r="D896" s="87" t="s">
        <v>1553</v>
      </c>
      <c r="F896" s="78">
        <v>5.0</v>
      </c>
      <c r="G896" s="79">
        <v>286.34</v>
      </c>
    </row>
    <row r="897">
      <c r="A897" s="6">
        <v>198.0</v>
      </c>
      <c r="B897" s="76" t="str">
        <f>IFERROR(VLOOKUP($A897,EVENTO!$A$2:$C$4999,2,FALSE),"")</f>
        <v>ADITIVO DE PRAZO</v>
      </c>
      <c r="C897" s="76" t="str">
        <f>IFERROR(VLOOKUP($A897,EVENTO!$A$2:$C$4999,3,FALSE),"")</f>
        <v>PREFEITURA MUNICIPAL DE ARACATI - DESENV ECON, TRAB E RENDA</v>
      </c>
      <c r="D897" s="87" t="s">
        <v>1487</v>
      </c>
      <c r="F897" s="78">
        <v>5.0</v>
      </c>
      <c r="G897" s="79">
        <v>234.7</v>
      </c>
    </row>
    <row r="898">
      <c r="A898" s="6">
        <v>198.0</v>
      </c>
      <c r="B898" s="76" t="str">
        <f>IFERROR(VLOOKUP($A898,EVENTO!$A$2:$C$4999,2,FALSE),"")</f>
        <v>ADITIVO DE PRAZO</v>
      </c>
      <c r="C898" s="76" t="str">
        <f>IFERROR(VLOOKUP($A898,EVENTO!$A$2:$C$4999,3,FALSE),"")</f>
        <v>PREFEITURA MUNICIPAL DE ARACATI - DESENV ECON, TRAB E RENDA</v>
      </c>
      <c r="D898" s="87" t="s">
        <v>1556</v>
      </c>
      <c r="F898" s="78">
        <v>5.0</v>
      </c>
      <c r="G898" s="79">
        <v>148.11</v>
      </c>
    </row>
    <row r="899">
      <c r="A899" s="6">
        <v>198.0</v>
      </c>
      <c r="B899" s="76" t="str">
        <f>IFERROR(VLOOKUP($A899,EVENTO!$A$2:$C$4999,2,FALSE),"")</f>
        <v>ADITIVO DE PRAZO</v>
      </c>
      <c r="C899" s="76" t="str">
        <f>IFERROR(VLOOKUP($A899,EVENTO!$A$2:$C$4999,3,FALSE),"")</f>
        <v>PREFEITURA MUNICIPAL DE ARACATI - DESENV ECON, TRAB E RENDA</v>
      </c>
      <c r="D899" s="78" t="s">
        <v>1557</v>
      </c>
      <c r="F899" s="78">
        <v>3.0</v>
      </c>
      <c r="G899" s="79">
        <v>91.18</v>
      </c>
    </row>
    <row r="900">
      <c r="A900" s="6">
        <v>198.0</v>
      </c>
      <c r="B900" s="76" t="str">
        <f>IFERROR(VLOOKUP($A900,EVENTO!$A$2:$C$4999,2,FALSE),"")</f>
        <v>ADITIVO DE PRAZO</v>
      </c>
      <c r="C900" s="76" t="str">
        <f>IFERROR(VLOOKUP($A900,EVENTO!$A$2:$C$4999,3,FALSE),"")</f>
        <v>PREFEITURA MUNICIPAL DE ARACATI - DESENV ECON, TRAB E RENDA</v>
      </c>
      <c r="D900" s="78" t="s">
        <v>1560</v>
      </c>
      <c r="F900" s="78">
        <v>3.0</v>
      </c>
      <c r="G900" s="79">
        <v>50.3</v>
      </c>
    </row>
    <row r="901">
      <c r="A901" s="6">
        <v>206.0</v>
      </c>
      <c r="B901" s="76" t="str">
        <f>IFERROR(VLOOKUP($A901,EVENTO!$A$2:$C$4999,2,FALSE),"")</f>
        <v>CADASTRO</v>
      </c>
      <c r="C901" s="76" t="str">
        <f>IFERROR(VLOOKUP($A901,EVENTO!$A$2:$C$4999,3,FALSE),"")</f>
        <v>PREFEITURA MUNICIPAL DE ARACATI - EDUCAÇÃO</v>
      </c>
      <c r="D901" s="78" t="s">
        <v>1544</v>
      </c>
      <c r="E901" s="6" t="s">
        <v>1545</v>
      </c>
      <c r="F901" s="78">
        <v>20.0</v>
      </c>
      <c r="G901" s="79">
        <v>534.71</v>
      </c>
    </row>
    <row r="902">
      <c r="A902" s="6">
        <v>206.0</v>
      </c>
      <c r="B902" s="76" t="str">
        <f>IFERROR(VLOOKUP($A902,EVENTO!$A$2:$C$4999,2,FALSE),"")</f>
        <v>CADASTRO</v>
      </c>
      <c r="C902" s="76" t="str">
        <f>IFERROR(VLOOKUP($A902,EVENTO!$A$2:$C$4999,3,FALSE),"")</f>
        <v>PREFEITURA MUNICIPAL DE ARACATI - EDUCAÇÃO</v>
      </c>
      <c r="D902" s="78" t="s">
        <v>1458</v>
      </c>
      <c r="E902" s="6" t="s">
        <v>1535</v>
      </c>
      <c r="F902" s="78">
        <v>20.0</v>
      </c>
      <c r="G902" s="79">
        <v>344.75</v>
      </c>
    </row>
    <row r="903">
      <c r="A903" s="6">
        <v>206.0</v>
      </c>
      <c r="B903" s="76" t="str">
        <f>IFERROR(VLOOKUP($A903,EVENTO!$A$2:$C$4999,2,FALSE),"")</f>
        <v>CADASTRO</v>
      </c>
      <c r="C903" s="76" t="str">
        <f>IFERROR(VLOOKUP($A903,EVENTO!$A$2:$C$4999,3,FALSE),"")</f>
        <v>PREFEITURA MUNICIPAL DE ARACATI - EDUCAÇÃO</v>
      </c>
      <c r="D903" s="78" t="s">
        <v>1546</v>
      </c>
      <c r="E903" s="6" t="s">
        <v>1547</v>
      </c>
      <c r="F903" s="78">
        <v>15.0</v>
      </c>
      <c r="G903" s="79">
        <v>270.39</v>
      </c>
    </row>
    <row r="904">
      <c r="A904" s="6">
        <v>206.0</v>
      </c>
      <c r="B904" s="76" t="str">
        <f>IFERROR(VLOOKUP($A904,EVENTO!$A$2:$C$4999,2,FALSE),"")</f>
        <v>CADASTRO</v>
      </c>
      <c r="C904" s="76" t="str">
        <f>IFERROR(VLOOKUP($A904,EVENTO!$A$2:$C$4999,3,FALSE),"")</f>
        <v>PREFEITURA MUNICIPAL DE ARACATI - EDUCAÇÃO</v>
      </c>
      <c r="D904" s="78" t="s">
        <v>1456</v>
      </c>
      <c r="E904" s="6" t="s">
        <v>1548</v>
      </c>
      <c r="F904" s="78">
        <v>10.0</v>
      </c>
      <c r="G904" s="79">
        <v>387.36</v>
      </c>
    </row>
    <row r="905">
      <c r="A905" s="6">
        <v>206.0</v>
      </c>
      <c r="B905" s="76" t="str">
        <f>IFERROR(VLOOKUP($A905,EVENTO!$A$2:$C$4999,2,FALSE),"")</f>
        <v>CADASTRO</v>
      </c>
      <c r="C905" s="76" t="str">
        <f>IFERROR(VLOOKUP($A905,EVENTO!$A$2:$C$4999,3,FALSE),"")</f>
        <v>PREFEITURA MUNICIPAL DE ARACATI - EDUCAÇÃO</v>
      </c>
      <c r="D905" s="78" t="s">
        <v>1549</v>
      </c>
      <c r="E905" s="6" t="s">
        <v>1550</v>
      </c>
      <c r="F905" s="78">
        <v>10.0</v>
      </c>
      <c r="G905" s="79">
        <v>221.78</v>
      </c>
    </row>
    <row r="906">
      <c r="A906" s="6">
        <v>206.0</v>
      </c>
      <c r="B906" s="76" t="str">
        <f>IFERROR(VLOOKUP($A906,EVENTO!$A$2:$C$4999,2,FALSE),"")</f>
        <v>CADASTRO</v>
      </c>
      <c r="C906" s="76" t="str">
        <f>IFERROR(VLOOKUP($A906,EVENTO!$A$2:$C$4999,3,FALSE),"")</f>
        <v>PREFEITURA MUNICIPAL DE ARACATI - EDUCAÇÃO</v>
      </c>
      <c r="D906" s="78" t="s">
        <v>1551</v>
      </c>
      <c r="E906" s="6" t="s">
        <v>1552</v>
      </c>
      <c r="F906" s="78">
        <v>10.0</v>
      </c>
      <c r="G906" s="79">
        <v>173.93</v>
      </c>
    </row>
    <row r="907">
      <c r="A907" s="6">
        <v>206.0</v>
      </c>
      <c r="B907" s="76" t="str">
        <f>IFERROR(VLOOKUP($A907,EVENTO!$A$2:$C$4999,2,FALSE),"")</f>
        <v>CADASTRO</v>
      </c>
      <c r="C907" s="76" t="str">
        <f>IFERROR(VLOOKUP($A907,EVENTO!$A$2:$C$4999,3,FALSE),"")</f>
        <v>PREFEITURA MUNICIPAL DE ARACATI - EDUCAÇÃO</v>
      </c>
      <c r="D907" s="87" t="s">
        <v>1553</v>
      </c>
      <c r="F907" s="78">
        <v>17.0</v>
      </c>
      <c r="G907" s="79">
        <v>286.34</v>
      </c>
    </row>
    <row r="908">
      <c r="A908" s="6">
        <v>206.0</v>
      </c>
      <c r="B908" s="76" t="str">
        <f>IFERROR(VLOOKUP($A908,EVENTO!$A$2:$C$4999,2,FALSE),"")</f>
        <v>CADASTRO</v>
      </c>
      <c r="C908" s="76" t="str">
        <f>IFERROR(VLOOKUP($A908,EVENTO!$A$2:$C$4999,3,FALSE),"")</f>
        <v>PREFEITURA MUNICIPAL DE ARACATI - EDUCAÇÃO</v>
      </c>
      <c r="D908" s="87" t="s">
        <v>1487</v>
      </c>
      <c r="F908" s="78">
        <v>12.0</v>
      </c>
      <c r="G908" s="79">
        <v>234.7</v>
      </c>
    </row>
    <row r="909">
      <c r="A909" s="6">
        <v>206.0</v>
      </c>
      <c r="B909" s="76" t="str">
        <f>IFERROR(VLOOKUP($A909,EVENTO!$A$2:$C$4999,2,FALSE),"")</f>
        <v>CADASTRO</v>
      </c>
      <c r="C909" s="76" t="str">
        <f>IFERROR(VLOOKUP($A909,EVENTO!$A$2:$C$4999,3,FALSE),"")</f>
        <v>PREFEITURA MUNICIPAL DE ARACATI - EDUCAÇÃO</v>
      </c>
      <c r="D909" s="87" t="s">
        <v>1556</v>
      </c>
      <c r="F909" s="78">
        <v>25.0</v>
      </c>
      <c r="G909" s="79">
        <v>148.11</v>
      </c>
    </row>
    <row r="910">
      <c r="A910" s="6">
        <v>206.0</v>
      </c>
      <c r="B910" s="76" t="str">
        <f>IFERROR(VLOOKUP($A910,EVENTO!$A$2:$C$4999,2,FALSE),"")</f>
        <v>CADASTRO</v>
      </c>
      <c r="C910" s="76" t="str">
        <f>IFERROR(VLOOKUP($A910,EVENTO!$A$2:$C$4999,3,FALSE),"")</f>
        <v>PREFEITURA MUNICIPAL DE ARACATI - EDUCAÇÃO</v>
      </c>
      <c r="D910" s="78" t="s">
        <v>1639</v>
      </c>
      <c r="F910" s="78">
        <v>1.0</v>
      </c>
      <c r="G910" s="79">
        <v>181.17</v>
      </c>
    </row>
    <row r="911">
      <c r="A911" s="6">
        <v>206.0</v>
      </c>
      <c r="B911" s="76" t="str">
        <f>IFERROR(VLOOKUP($A911,EVENTO!$A$2:$C$4999,2,FALSE),"")</f>
        <v>CADASTRO</v>
      </c>
      <c r="C911" s="76" t="str">
        <f>IFERROR(VLOOKUP($A911,EVENTO!$A$2:$C$4999,3,FALSE),"")</f>
        <v>PREFEITURA MUNICIPAL DE ARACATI - EDUCAÇÃO</v>
      </c>
      <c r="D911" s="78" t="s">
        <v>1580</v>
      </c>
      <c r="F911" s="78">
        <v>5.0</v>
      </c>
      <c r="G911" s="79">
        <v>193.47</v>
      </c>
    </row>
    <row r="912">
      <c r="A912" s="6">
        <v>206.0</v>
      </c>
      <c r="B912" s="76" t="str">
        <f>IFERROR(VLOOKUP($A912,EVENTO!$A$2:$C$4999,2,FALSE),"")</f>
        <v>CADASTRO</v>
      </c>
      <c r="C912" s="76" t="str">
        <f>IFERROR(VLOOKUP($A912,EVENTO!$A$2:$C$4999,3,FALSE),"")</f>
        <v>PREFEITURA MUNICIPAL DE ARACATI - EDUCAÇÃO</v>
      </c>
      <c r="D912" s="78" t="s">
        <v>1575</v>
      </c>
      <c r="F912" s="78">
        <v>1.0</v>
      </c>
      <c r="G912" s="79">
        <v>13.42</v>
      </c>
    </row>
    <row r="913">
      <c r="A913" s="6">
        <v>206.0</v>
      </c>
      <c r="B913" s="76" t="str">
        <f>IFERROR(VLOOKUP($A913,EVENTO!$A$2:$C$4999,2,FALSE),"")</f>
        <v>CADASTRO</v>
      </c>
      <c r="C913" s="76" t="str">
        <f>IFERROR(VLOOKUP($A913,EVENTO!$A$2:$C$4999,3,FALSE),"")</f>
        <v>PREFEITURA MUNICIPAL DE ARACATI - EDUCAÇÃO</v>
      </c>
      <c r="D913" s="78" t="s">
        <v>1557</v>
      </c>
      <c r="F913" s="78">
        <v>5.0</v>
      </c>
      <c r="G913" s="79">
        <v>91.18</v>
      </c>
    </row>
    <row r="914">
      <c r="A914" s="6">
        <v>206.0</v>
      </c>
      <c r="B914" s="76" t="str">
        <f>IFERROR(VLOOKUP($A914,EVENTO!$A$2:$C$4999,2,FALSE),"")</f>
        <v>CADASTRO</v>
      </c>
      <c r="C914" s="76" t="str">
        <f>IFERROR(VLOOKUP($A914,EVENTO!$A$2:$C$4999,3,FALSE),"")</f>
        <v>PREFEITURA MUNICIPAL DE ARACATI - EDUCAÇÃO</v>
      </c>
      <c r="D914" s="78" t="s">
        <v>1538</v>
      </c>
      <c r="F914" s="78">
        <v>1.0</v>
      </c>
      <c r="G914" s="79">
        <v>199.46</v>
      </c>
    </row>
    <row r="915">
      <c r="A915" s="6">
        <v>206.0</v>
      </c>
      <c r="B915" s="76" t="str">
        <f>IFERROR(VLOOKUP($A915,EVENTO!$A$2:$C$4999,2,FALSE),"")</f>
        <v>CADASTRO</v>
      </c>
      <c r="C915" s="76" t="str">
        <f>IFERROR(VLOOKUP($A915,EVENTO!$A$2:$C$4999,3,FALSE),"")</f>
        <v>PREFEITURA MUNICIPAL DE ARACATI - EDUCAÇÃO</v>
      </c>
      <c r="D915" s="78" t="s">
        <v>1540</v>
      </c>
      <c r="F915" s="78">
        <v>8.0</v>
      </c>
      <c r="G915" s="79">
        <v>63.8</v>
      </c>
    </row>
    <row r="916">
      <c r="A916" s="6">
        <v>206.0</v>
      </c>
      <c r="B916" s="76" t="str">
        <f>IFERROR(VLOOKUP($A916,EVENTO!$A$2:$C$4999,2,FALSE),"")</f>
        <v>CADASTRO</v>
      </c>
      <c r="C916" s="76" t="str">
        <f>IFERROR(VLOOKUP($A916,EVENTO!$A$2:$C$4999,3,FALSE),"")</f>
        <v>PREFEITURA MUNICIPAL DE ARACATI - EDUCAÇÃO</v>
      </c>
      <c r="D916" s="78" t="s">
        <v>1644</v>
      </c>
      <c r="F916" s="78">
        <v>10.0</v>
      </c>
      <c r="G916" s="79">
        <v>41.95</v>
      </c>
    </row>
    <row r="917">
      <c r="A917" s="6">
        <v>207.0</v>
      </c>
      <c r="B917" s="76" t="str">
        <f>IFERROR(VLOOKUP($A917,EVENTO!$A$2:$C$4999,2,FALSE),"")</f>
        <v>ADITIVO DE PRAZO</v>
      </c>
      <c r="C917" s="76" t="str">
        <f>IFERROR(VLOOKUP($A917,EVENTO!$A$2:$C$4999,3,FALSE),"")</f>
        <v>PREFEITURA MUNICIPAL DE ARACATI - EDUCAÇÃO</v>
      </c>
      <c r="D917" s="78" t="s">
        <v>1544</v>
      </c>
      <c r="E917" s="6" t="s">
        <v>1545</v>
      </c>
      <c r="F917" s="78">
        <v>20.0</v>
      </c>
      <c r="G917" s="79">
        <v>534.71</v>
      </c>
    </row>
    <row r="918">
      <c r="A918" s="6">
        <v>207.0</v>
      </c>
      <c r="B918" s="76" t="str">
        <f>IFERROR(VLOOKUP($A918,EVENTO!$A$2:$C$4999,2,FALSE),"")</f>
        <v>ADITIVO DE PRAZO</v>
      </c>
      <c r="C918" s="76" t="str">
        <f>IFERROR(VLOOKUP($A918,EVENTO!$A$2:$C$4999,3,FALSE),"")</f>
        <v>PREFEITURA MUNICIPAL DE ARACATI - EDUCAÇÃO</v>
      </c>
      <c r="D918" s="78" t="s">
        <v>1458</v>
      </c>
      <c r="E918" s="6" t="s">
        <v>1535</v>
      </c>
      <c r="F918" s="78">
        <v>20.0</v>
      </c>
      <c r="G918" s="79">
        <v>344.75</v>
      </c>
    </row>
    <row r="919">
      <c r="A919" s="6">
        <v>207.0</v>
      </c>
      <c r="B919" s="76" t="str">
        <f>IFERROR(VLOOKUP($A919,EVENTO!$A$2:$C$4999,2,FALSE),"")</f>
        <v>ADITIVO DE PRAZO</v>
      </c>
      <c r="C919" s="76" t="str">
        <f>IFERROR(VLOOKUP($A919,EVENTO!$A$2:$C$4999,3,FALSE),"")</f>
        <v>PREFEITURA MUNICIPAL DE ARACATI - EDUCAÇÃO</v>
      </c>
      <c r="D919" s="78" t="s">
        <v>1546</v>
      </c>
      <c r="E919" s="6" t="s">
        <v>1547</v>
      </c>
      <c r="F919" s="78">
        <v>15.0</v>
      </c>
      <c r="G919" s="79">
        <v>270.39</v>
      </c>
    </row>
    <row r="920">
      <c r="A920" s="6">
        <v>207.0</v>
      </c>
      <c r="B920" s="76" t="str">
        <f>IFERROR(VLOOKUP($A920,EVENTO!$A$2:$C$4999,2,FALSE),"")</f>
        <v>ADITIVO DE PRAZO</v>
      </c>
      <c r="C920" s="76" t="str">
        <f>IFERROR(VLOOKUP($A920,EVENTO!$A$2:$C$4999,3,FALSE),"")</f>
        <v>PREFEITURA MUNICIPAL DE ARACATI - EDUCAÇÃO</v>
      </c>
      <c r="D920" s="78" t="s">
        <v>1456</v>
      </c>
      <c r="E920" s="6" t="s">
        <v>1548</v>
      </c>
      <c r="F920" s="78">
        <v>10.0</v>
      </c>
      <c r="G920" s="79">
        <v>387.36</v>
      </c>
    </row>
    <row r="921">
      <c r="A921" s="6">
        <v>207.0</v>
      </c>
      <c r="B921" s="76" t="str">
        <f>IFERROR(VLOOKUP($A921,EVENTO!$A$2:$C$4999,2,FALSE),"")</f>
        <v>ADITIVO DE PRAZO</v>
      </c>
      <c r="C921" s="76" t="str">
        <f>IFERROR(VLOOKUP($A921,EVENTO!$A$2:$C$4999,3,FALSE),"")</f>
        <v>PREFEITURA MUNICIPAL DE ARACATI - EDUCAÇÃO</v>
      </c>
      <c r="D921" s="78" t="s">
        <v>1549</v>
      </c>
      <c r="E921" s="6" t="s">
        <v>1550</v>
      </c>
      <c r="F921" s="78">
        <v>10.0</v>
      </c>
      <c r="G921" s="79">
        <v>221.78</v>
      </c>
    </row>
    <row r="922">
      <c r="A922" s="6">
        <v>207.0</v>
      </c>
      <c r="B922" s="76" t="str">
        <f>IFERROR(VLOOKUP($A922,EVENTO!$A$2:$C$4999,2,FALSE),"")</f>
        <v>ADITIVO DE PRAZO</v>
      </c>
      <c r="C922" s="76" t="str">
        <f>IFERROR(VLOOKUP($A922,EVENTO!$A$2:$C$4999,3,FALSE),"")</f>
        <v>PREFEITURA MUNICIPAL DE ARACATI - EDUCAÇÃO</v>
      </c>
      <c r="D922" s="78" t="s">
        <v>1551</v>
      </c>
      <c r="E922" s="6" t="s">
        <v>1552</v>
      </c>
      <c r="F922" s="78">
        <v>10.0</v>
      </c>
      <c r="G922" s="79">
        <v>173.93</v>
      </c>
    </row>
    <row r="923">
      <c r="A923" s="6">
        <v>207.0</v>
      </c>
      <c r="B923" s="76" t="str">
        <f>IFERROR(VLOOKUP($A923,EVENTO!$A$2:$C$4999,2,FALSE),"")</f>
        <v>ADITIVO DE PRAZO</v>
      </c>
      <c r="C923" s="76" t="str">
        <f>IFERROR(VLOOKUP($A923,EVENTO!$A$2:$C$4999,3,FALSE),"")</f>
        <v>PREFEITURA MUNICIPAL DE ARACATI - EDUCAÇÃO</v>
      </c>
      <c r="D923" s="87" t="s">
        <v>1553</v>
      </c>
      <c r="F923" s="78">
        <v>17.0</v>
      </c>
      <c r="G923" s="79">
        <v>286.34</v>
      </c>
    </row>
    <row r="924">
      <c r="A924" s="6">
        <v>207.0</v>
      </c>
      <c r="B924" s="76" t="str">
        <f>IFERROR(VLOOKUP($A924,EVENTO!$A$2:$C$4999,2,FALSE),"")</f>
        <v>ADITIVO DE PRAZO</v>
      </c>
      <c r="C924" s="76" t="str">
        <f>IFERROR(VLOOKUP($A924,EVENTO!$A$2:$C$4999,3,FALSE),"")</f>
        <v>PREFEITURA MUNICIPAL DE ARACATI - EDUCAÇÃO</v>
      </c>
      <c r="D924" s="87" t="s">
        <v>1487</v>
      </c>
      <c r="F924" s="78">
        <v>12.0</v>
      </c>
      <c r="G924" s="79">
        <v>234.7</v>
      </c>
    </row>
    <row r="925">
      <c r="A925" s="6">
        <v>207.0</v>
      </c>
      <c r="B925" s="76" t="str">
        <f>IFERROR(VLOOKUP($A925,EVENTO!$A$2:$C$4999,2,FALSE),"")</f>
        <v>ADITIVO DE PRAZO</v>
      </c>
      <c r="C925" s="76" t="str">
        <f>IFERROR(VLOOKUP($A925,EVENTO!$A$2:$C$4999,3,FALSE),"")</f>
        <v>PREFEITURA MUNICIPAL DE ARACATI - EDUCAÇÃO</v>
      </c>
      <c r="D925" s="87" t="s">
        <v>1556</v>
      </c>
      <c r="F925" s="78">
        <v>25.0</v>
      </c>
      <c r="G925" s="79">
        <v>148.11</v>
      </c>
    </row>
    <row r="926">
      <c r="A926" s="6">
        <v>207.0</v>
      </c>
      <c r="B926" s="76" t="str">
        <f>IFERROR(VLOOKUP($A926,EVENTO!$A$2:$C$4999,2,FALSE),"")</f>
        <v>ADITIVO DE PRAZO</v>
      </c>
      <c r="C926" s="76" t="str">
        <f>IFERROR(VLOOKUP($A926,EVENTO!$A$2:$C$4999,3,FALSE),"")</f>
        <v>PREFEITURA MUNICIPAL DE ARACATI - EDUCAÇÃO</v>
      </c>
      <c r="D926" s="78" t="s">
        <v>1639</v>
      </c>
      <c r="F926" s="78">
        <v>1.0</v>
      </c>
      <c r="G926" s="79">
        <v>181.17</v>
      </c>
    </row>
    <row r="927">
      <c r="A927" s="6">
        <v>207.0</v>
      </c>
      <c r="B927" s="76" t="str">
        <f>IFERROR(VLOOKUP($A927,EVENTO!$A$2:$C$4999,2,FALSE),"")</f>
        <v>ADITIVO DE PRAZO</v>
      </c>
      <c r="C927" s="76" t="str">
        <f>IFERROR(VLOOKUP($A927,EVENTO!$A$2:$C$4999,3,FALSE),"")</f>
        <v>PREFEITURA MUNICIPAL DE ARACATI - EDUCAÇÃO</v>
      </c>
      <c r="D927" s="78" t="s">
        <v>1580</v>
      </c>
      <c r="F927" s="78">
        <v>5.0</v>
      </c>
      <c r="G927" s="79">
        <v>193.47</v>
      </c>
    </row>
    <row r="928">
      <c r="A928" s="6">
        <v>207.0</v>
      </c>
      <c r="B928" s="76" t="str">
        <f>IFERROR(VLOOKUP($A928,EVENTO!$A$2:$C$4999,2,FALSE),"")</f>
        <v>ADITIVO DE PRAZO</v>
      </c>
      <c r="C928" s="76" t="str">
        <f>IFERROR(VLOOKUP($A928,EVENTO!$A$2:$C$4999,3,FALSE),"")</f>
        <v>PREFEITURA MUNICIPAL DE ARACATI - EDUCAÇÃO</v>
      </c>
      <c r="D928" s="78" t="s">
        <v>1575</v>
      </c>
      <c r="F928" s="78">
        <v>1.0</v>
      </c>
      <c r="G928" s="79">
        <v>13.42</v>
      </c>
    </row>
    <row r="929">
      <c r="A929" s="6">
        <v>207.0</v>
      </c>
      <c r="B929" s="76" t="str">
        <f>IFERROR(VLOOKUP($A929,EVENTO!$A$2:$C$4999,2,FALSE),"")</f>
        <v>ADITIVO DE PRAZO</v>
      </c>
      <c r="C929" s="76" t="str">
        <f>IFERROR(VLOOKUP($A929,EVENTO!$A$2:$C$4999,3,FALSE),"")</f>
        <v>PREFEITURA MUNICIPAL DE ARACATI - EDUCAÇÃO</v>
      </c>
      <c r="D929" s="78" t="s">
        <v>1557</v>
      </c>
      <c r="F929" s="78">
        <v>5.0</v>
      </c>
      <c r="G929" s="79">
        <v>91.18</v>
      </c>
    </row>
    <row r="930">
      <c r="A930" s="6">
        <v>207.0</v>
      </c>
      <c r="B930" s="76" t="str">
        <f>IFERROR(VLOOKUP($A930,EVENTO!$A$2:$C$4999,2,FALSE),"")</f>
        <v>ADITIVO DE PRAZO</v>
      </c>
      <c r="C930" s="76" t="str">
        <f>IFERROR(VLOOKUP($A930,EVENTO!$A$2:$C$4999,3,FALSE),"")</f>
        <v>PREFEITURA MUNICIPAL DE ARACATI - EDUCAÇÃO</v>
      </c>
      <c r="D930" s="78" t="s">
        <v>1538</v>
      </c>
      <c r="F930" s="78">
        <v>1.0</v>
      </c>
      <c r="G930" s="79">
        <v>199.46</v>
      </c>
    </row>
    <row r="931">
      <c r="A931" s="6">
        <v>207.0</v>
      </c>
      <c r="B931" s="76" t="str">
        <f>IFERROR(VLOOKUP($A931,EVENTO!$A$2:$C$4999,2,FALSE),"")</f>
        <v>ADITIVO DE PRAZO</v>
      </c>
      <c r="C931" s="76" t="str">
        <f>IFERROR(VLOOKUP($A931,EVENTO!$A$2:$C$4999,3,FALSE),"")</f>
        <v>PREFEITURA MUNICIPAL DE ARACATI - EDUCAÇÃO</v>
      </c>
      <c r="D931" s="78" t="s">
        <v>1540</v>
      </c>
      <c r="F931" s="78">
        <v>8.0</v>
      </c>
      <c r="G931" s="79">
        <v>63.8</v>
      </c>
    </row>
    <row r="932">
      <c r="A932" s="6">
        <v>207.0</v>
      </c>
      <c r="B932" s="76" t="str">
        <f>IFERROR(VLOOKUP($A932,EVENTO!$A$2:$C$4999,2,FALSE),"")</f>
        <v>ADITIVO DE PRAZO</v>
      </c>
      <c r="C932" s="76" t="str">
        <f>IFERROR(VLOOKUP($A932,EVENTO!$A$2:$C$4999,3,FALSE),"")</f>
        <v>PREFEITURA MUNICIPAL DE ARACATI - EDUCAÇÃO</v>
      </c>
      <c r="D932" s="78" t="s">
        <v>1644</v>
      </c>
      <c r="F932" s="78">
        <v>10.0</v>
      </c>
      <c r="G932" s="79">
        <v>41.95</v>
      </c>
    </row>
    <row r="933">
      <c r="A933" s="6">
        <v>208.0</v>
      </c>
      <c r="B933" s="76" t="str">
        <f>IFERROR(VLOOKUP($A933,EVENTO!$A$2:$C$4999,2,FALSE),"")</f>
        <v>ADITIVO DE PRAZO</v>
      </c>
      <c r="C933" s="76" t="str">
        <f>IFERROR(VLOOKUP($A933,EVENTO!$A$2:$C$4999,3,FALSE),"")</f>
        <v>PREFEITURA MUNICIPAL DE ARACATI - EDUCAÇÃO</v>
      </c>
      <c r="D933" s="78" t="s">
        <v>1544</v>
      </c>
      <c r="E933" s="6" t="s">
        <v>1545</v>
      </c>
      <c r="F933" s="78">
        <v>20.0</v>
      </c>
      <c r="G933" s="79">
        <v>534.71</v>
      </c>
    </row>
    <row r="934">
      <c r="A934" s="6">
        <v>208.0</v>
      </c>
      <c r="B934" s="76" t="str">
        <f>IFERROR(VLOOKUP($A934,EVENTO!$A$2:$C$4999,2,FALSE),"")</f>
        <v>ADITIVO DE PRAZO</v>
      </c>
      <c r="C934" s="76" t="str">
        <f>IFERROR(VLOOKUP($A934,EVENTO!$A$2:$C$4999,3,FALSE),"")</f>
        <v>PREFEITURA MUNICIPAL DE ARACATI - EDUCAÇÃO</v>
      </c>
      <c r="D934" s="78" t="s">
        <v>1458</v>
      </c>
      <c r="E934" s="6" t="s">
        <v>1535</v>
      </c>
      <c r="F934" s="78">
        <v>20.0</v>
      </c>
      <c r="G934" s="79">
        <v>344.75</v>
      </c>
    </row>
    <row r="935">
      <c r="A935" s="6">
        <v>208.0</v>
      </c>
      <c r="B935" s="76" t="str">
        <f>IFERROR(VLOOKUP($A935,EVENTO!$A$2:$C$4999,2,FALSE),"")</f>
        <v>ADITIVO DE PRAZO</v>
      </c>
      <c r="C935" s="76" t="str">
        <f>IFERROR(VLOOKUP($A935,EVENTO!$A$2:$C$4999,3,FALSE),"")</f>
        <v>PREFEITURA MUNICIPAL DE ARACATI - EDUCAÇÃO</v>
      </c>
      <c r="D935" s="78" t="s">
        <v>1546</v>
      </c>
      <c r="E935" s="6" t="s">
        <v>1547</v>
      </c>
      <c r="F935" s="78">
        <v>15.0</v>
      </c>
      <c r="G935" s="79">
        <v>270.39</v>
      </c>
    </row>
    <row r="936">
      <c r="A936" s="6">
        <v>208.0</v>
      </c>
      <c r="B936" s="76" t="str">
        <f>IFERROR(VLOOKUP($A936,EVENTO!$A$2:$C$4999,2,FALSE),"")</f>
        <v>ADITIVO DE PRAZO</v>
      </c>
      <c r="C936" s="76" t="str">
        <f>IFERROR(VLOOKUP($A936,EVENTO!$A$2:$C$4999,3,FALSE),"")</f>
        <v>PREFEITURA MUNICIPAL DE ARACATI - EDUCAÇÃO</v>
      </c>
      <c r="D936" s="78" t="s">
        <v>1456</v>
      </c>
      <c r="E936" s="6" t="s">
        <v>1548</v>
      </c>
      <c r="F936" s="78">
        <v>10.0</v>
      </c>
      <c r="G936" s="79">
        <v>387.36</v>
      </c>
    </row>
    <row r="937">
      <c r="A937" s="6">
        <v>208.0</v>
      </c>
      <c r="B937" s="76" t="str">
        <f>IFERROR(VLOOKUP($A937,EVENTO!$A$2:$C$4999,2,FALSE),"")</f>
        <v>ADITIVO DE PRAZO</v>
      </c>
      <c r="C937" s="76" t="str">
        <f>IFERROR(VLOOKUP($A937,EVENTO!$A$2:$C$4999,3,FALSE),"")</f>
        <v>PREFEITURA MUNICIPAL DE ARACATI - EDUCAÇÃO</v>
      </c>
      <c r="D937" s="78" t="s">
        <v>1549</v>
      </c>
      <c r="E937" s="6" t="s">
        <v>1550</v>
      </c>
      <c r="F937" s="78">
        <v>10.0</v>
      </c>
      <c r="G937" s="79">
        <v>221.78</v>
      </c>
    </row>
    <row r="938">
      <c r="A938" s="6">
        <v>208.0</v>
      </c>
      <c r="B938" s="76" t="str">
        <f>IFERROR(VLOOKUP($A938,EVENTO!$A$2:$C$4999,2,FALSE),"")</f>
        <v>ADITIVO DE PRAZO</v>
      </c>
      <c r="C938" s="76" t="str">
        <f>IFERROR(VLOOKUP($A938,EVENTO!$A$2:$C$4999,3,FALSE),"")</f>
        <v>PREFEITURA MUNICIPAL DE ARACATI - EDUCAÇÃO</v>
      </c>
      <c r="D938" s="78" t="s">
        <v>1551</v>
      </c>
      <c r="E938" s="6" t="s">
        <v>1552</v>
      </c>
      <c r="F938" s="78">
        <v>10.0</v>
      </c>
      <c r="G938" s="79">
        <v>173.93</v>
      </c>
    </row>
    <row r="939">
      <c r="A939" s="6">
        <v>208.0</v>
      </c>
      <c r="B939" s="76" t="str">
        <f>IFERROR(VLOOKUP($A939,EVENTO!$A$2:$C$4999,2,FALSE),"")</f>
        <v>ADITIVO DE PRAZO</v>
      </c>
      <c r="C939" s="76" t="str">
        <f>IFERROR(VLOOKUP($A939,EVENTO!$A$2:$C$4999,3,FALSE),"")</f>
        <v>PREFEITURA MUNICIPAL DE ARACATI - EDUCAÇÃO</v>
      </c>
      <c r="D939" s="87" t="s">
        <v>1553</v>
      </c>
      <c r="F939" s="78">
        <v>17.0</v>
      </c>
      <c r="G939" s="79">
        <v>286.34</v>
      </c>
    </row>
    <row r="940">
      <c r="A940" s="6">
        <v>208.0</v>
      </c>
      <c r="B940" s="76" t="str">
        <f>IFERROR(VLOOKUP($A940,EVENTO!$A$2:$C$4999,2,FALSE),"")</f>
        <v>ADITIVO DE PRAZO</v>
      </c>
      <c r="C940" s="76" t="str">
        <f>IFERROR(VLOOKUP($A940,EVENTO!$A$2:$C$4999,3,FALSE),"")</f>
        <v>PREFEITURA MUNICIPAL DE ARACATI - EDUCAÇÃO</v>
      </c>
      <c r="D940" s="87" t="s">
        <v>1487</v>
      </c>
      <c r="F940" s="78">
        <v>12.0</v>
      </c>
      <c r="G940" s="79">
        <v>234.7</v>
      </c>
    </row>
    <row r="941">
      <c r="A941" s="6">
        <v>208.0</v>
      </c>
      <c r="B941" s="76" t="str">
        <f>IFERROR(VLOOKUP($A941,EVENTO!$A$2:$C$4999,2,FALSE),"")</f>
        <v>ADITIVO DE PRAZO</v>
      </c>
      <c r="C941" s="76" t="str">
        <f>IFERROR(VLOOKUP($A941,EVENTO!$A$2:$C$4999,3,FALSE),"")</f>
        <v>PREFEITURA MUNICIPAL DE ARACATI - EDUCAÇÃO</v>
      </c>
      <c r="D941" s="87" t="s">
        <v>1556</v>
      </c>
      <c r="F941" s="78">
        <v>25.0</v>
      </c>
      <c r="G941" s="79">
        <v>148.11</v>
      </c>
    </row>
    <row r="942">
      <c r="A942" s="6">
        <v>208.0</v>
      </c>
      <c r="B942" s="76" t="str">
        <f>IFERROR(VLOOKUP($A942,EVENTO!$A$2:$C$4999,2,FALSE),"")</f>
        <v>ADITIVO DE PRAZO</v>
      </c>
      <c r="C942" s="76" t="str">
        <f>IFERROR(VLOOKUP($A942,EVENTO!$A$2:$C$4999,3,FALSE),"")</f>
        <v>PREFEITURA MUNICIPAL DE ARACATI - EDUCAÇÃO</v>
      </c>
      <c r="D942" s="78" t="s">
        <v>1639</v>
      </c>
      <c r="F942" s="78">
        <v>1.0</v>
      </c>
      <c r="G942" s="79">
        <v>181.17</v>
      </c>
    </row>
    <row r="943">
      <c r="A943" s="6">
        <v>208.0</v>
      </c>
      <c r="B943" s="76" t="str">
        <f>IFERROR(VLOOKUP($A943,EVENTO!$A$2:$C$4999,2,FALSE),"")</f>
        <v>ADITIVO DE PRAZO</v>
      </c>
      <c r="C943" s="76" t="str">
        <f>IFERROR(VLOOKUP($A943,EVENTO!$A$2:$C$4999,3,FALSE),"")</f>
        <v>PREFEITURA MUNICIPAL DE ARACATI - EDUCAÇÃO</v>
      </c>
      <c r="D943" s="78" t="s">
        <v>1580</v>
      </c>
      <c r="F943" s="78">
        <v>5.0</v>
      </c>
      <c r="G943" s="79">
        <v>193.47</v>
      </c>
    </row>
    <row r="944">
      <c r="A944" s="6">
        <v>208.0</v>
      </c>
      <c r="B944" s="76" t="str">
        <f>IFERROR(VLOOKUP($A944,EVENTO!$A$2:$C$4999,2,FALSE),"")</f>
        <v>ADITIVO DE PRAZO</v>
      </c>
      <c r="C944" s="76" t="str">
        <f>IFERROR(VLOOKUP($A944,EVENTO!$A$2:$C$4999,3,FALSE),"")</f>
        <v>PREFEITURA MUNICIPAL DE ARACATI - EDUCAÇÃO</v>
      </c>
      <c r="D944" s="78" t="s">
        <v>1575</v>
      </c>
      <c r="F944" s="78">
        <v>1.0</v>
      </c>
      <c r="G944" s="79">
        <v>13.42</v>
      </c>
    </row>
    <row r="945">
      <c r="A945" s="6">
        <v>208.0</v>
      </c>
      <c r="B945" s="76" t="str">
        <f>IFERROR(VLOOKUP($A945,EVENTO!$A$2:$C$4999,2,FALSE),"")</f>
        <v>ADITIVO DE PRAZO</v>
      </c>
      <c r="C945" s="76" t="str">
        <f>IFERROR(VLOOKUP($A945,EVENTO!$A$2:$C$4999,3,FALSE),"")</f>
        <v>PREFEITURA MUNICIPAL DE ARACATI - EDUCAÇÃO</v>
      </c>
      <c r="D945" s="78" t="s">
        <v>1557</v>
      </c>
      <c r="F945" s="78">
        <v>5.0</v>
      </c>
      <c r="G945" s="79">
        <v>91.18</v>
      </c>
    </row>
    <row r="946">
      <c r="A946" s="6">
        <v>208.0</v>
      </c>
      <c r="B946" s="76" t="str">
        <f>IFERROR(VLOOKUP($A946,EVENTO!$A$2:$C$4999,2,FALSE),"")</f>
        <v>ADITIVO DE PRAZO</v>
      </c>
      <c r="C946" s="76" t="str">
        <f>IFERROR(VLOOKUP($A946,EVENTO!$A$2:$C$4999,3,FALSE),"")</f>
        <v>PREFEITURA MUNICIPAL DE ARACATI - EDUCAÇÃO</v>
      </c>
      <c r="D946" s="78" t="s">
        <v>1538</v>
      </c>
      <c r="F946" s="78">
        <v>1.0</v>
      </c>
      <c r="G946" s="79">
        <v>199.46</v>
      </c>
    </row>
    <row r="947">
      <c r="A947" s="6">
        <v>208.0</v>
      </c>
      <c r="B947" s="76" t="str">
        <f>IFERROR(VLOOKUP($A947,EVENTO!$A$2:$C$4999,2,FALSE),"")</f>
        <v>ADITIVO DE PRAZO</v>
      </c>
      <c r="C947" s="76" t="str">
        <f>IFERROR(VLOOKUP($A947,EVENTO!$A$2:$C$4999,3,FALSE),"")</f>
        <v>PREFEITURA MUNICIPAL DE ARACATI - EDUCAÇÃO</v>
      </c>
      <c r="D947" s="78" t="s">
        <v>1540</v>
      </c>
      <c r="F947" s="78">
        <v>8.0</v>
      </c>
      <c r="G947" s="79">
        <v>63.8</v>
      </c>
    </row>
    <row r="948">
      <c r="A948" s="6">
        <v>208.0</v>
      </c>
      <c r="B948" s="76" t="str">
        <f>IFERROR(VLOOKUP($A948,EVENTO!$A$2:$C$4999,2,FALSE),"")</f>
        <v>ADITIVO DE PRAZO</v>
      </c>
      <c r="C948" s="76" t="str">
        <f>IFERROR(VLOOKUP($A948,EVENTO!$A$2:$C$4999,3,FALSE),"")</f>
        <v>PREFEITURA MUNICIPAL DE ARACATI - EDUCAÇÃO</v>
      </c>
      <c r="D948" s="78" t="s">
        <v>1644</v>
      </c>
      <c r="F948" s="78">
        <v>10.0</v>
      </c>
      <c r="G948" s="79">
        <v>41.95</v>
      </c>
    </row>
    <row r="949">
      <c r="A949" s="6">
        <v>209.0</v>
      </c>
      <c r="B949" s="76" t="str">
        <f>IFERROR(VLOOKUP($A949,EVENTO!$A$2:$C$4999,2,FALSE),"")</f>
        <v>ADITIVO DE PRAZO</v>
      </c>
      <c r="C949" s="76" t="str">
        <f>IFERROR(VLOOKUP($A949,EVENTO!$A$2:$C$4999,3,FALSE),"")</f>
        <v>PREFEITURA MUNICIPAL DE ARACATI - EDUCAÇÃO</v>
      </c>
      <c r="D949" s="78" t="s">
        <v>1544</v>
      </c>
      <c r="E949" s="6" t="s">
        <v>1545</v>
      </c>
      <c r="F949" s="78">
        <v>20.0</v>
      </c>
      <c r="G949" s="79">
        <v>534.71</v>
      </c>
    </row>
    <row r="950">
      <c r="A950" s="6">
        <v>209.0</v>
      </c>
      <c r="B950" s="76" t="str">
        <f>IFERROR(VLOOKUP($A950,EVENTO!$A$2:$C$4999,2,FALSE),"")</f>
        <v>ADITIVO DE PRAZO</v>
      </c>
      <c r="C950" s="76" t="str">
        <f>IFERROR(VLOOKUP($A950,EVENTO!$A$2:$C$4999,3,FALSE),"")</f>
        <v>PREFEITURA MUNICIPAL DE ARACATI - EDUCAÇÃO</v>
      </c>
      <c r="D950" s="78" t="s">
        <v>1458</v>
      </c>
      <c r="E950" s="6" t="s">
        <v>1535</v>
      </c>
      <c r="F950" s="78">
        <v>20.0</v>
      </c>
      <c r="G950" s="79">
        <v>344.75</v>
      </c>
    </row>
    <row r="951">
      <c r="A951" s="6">
        <v>209.0</v>
      </c>
      <c r="B951" s="76" t="str">
        <f>IFERROR(VLOOKUP($A951,EVENTO!$A$2:$C$4999,2,FALSE),"")</f>
        <v>ADITIVO DE PRAZO</v>
      </c>
      <c r="C951" s="76" t="str">
        <f>IFERROR(VLOOKUP($A951,EVENTO!$A$2:$C$4999,3,FALSE),"")</f>
        <v>PREFEITURA MUNICIPAL DE ARACATI - EDUCAÇÃO</v>
      </c>
      <c r="D951" s="78" t="s">
        <v>1546</v>
      </c>
      <c r="E951" s="6" t="s">
        <v>1547</v>
      </c>
      <c r="F951" s="78">
        <v>15.0</v>
      </c>
      <c r="G951" s="79">
        <v>270.39</v>
      </c>
    </row>
    <row r="952">
      <c r="A952" s="6">
        <v>209.0</v>
      </c>
      <c r="B952" s="76" t="str">
        <f>IFERROR(VLOOKUP($A952,EVENTO!$A$2:$C$4999,2,FALSE),"")</f>
        <v>ADITIVO DE PRAZO</v>
      </c>
      <c r="C952" s="76" t="str">
        <f>IFERROR(VLOOKUP($A952,EVENTO!$A$2:$C$4999,3,FALSE),"")</f>
        <v>PREFEITURA MUNICIPAL DE ARACATI - EDUCAÇÃO</v>
      </c>
      <c r="D952" s="78" t="s">
        <v>1456</v>
      </c>
      <c r="E952" s="6" t="s">
        <v>1548</v>
      </c>
      <c r="F952" s="78">
        <v>10.0</v>
      </c>
      <c r="G952" s="79">
        <v>387.36</v>
      </c>
    </row>
    <row r="953">
      <c r="A953" s="6">
        <v>209.0</v>
      </c>
      <c r="B953" s="76" t="str">
        <f>IFERROR(VLOOKUP($A953,EVENTO!$A$2:$C$4999,2,FALSE),"")</f>
        <v>ADITIVO DE PRAZO</v>
      </c>
      <c r="C953" s="76" t="str">
        <f>IFERROR(VLOOKUP($A953,EVENTO!$A$2:$C$4999,3,FALSE),"")</f>
        <v>PREFEITURA MUNICIPAL DE ARACATI - EDUCAÇÃO</v>
      </c>
      <c r="D953" s="78" t="s">
        <v>1549</v>
      </c>
      <c r="E953" s="6" t="s">
        <v>1550</v>
      </c>
      <c r="F953" s="78">
        <v>10.0</v>
      </c>
      <c r="G953" s="79">
        <v>221.78</v>
      </c>
    </row>
    <row r="954">
      <c r="A954" s="6">
        <v>209.0</v>
      </c>
      <c r="B954" s="76" t="str">
        <f>IFERROR(VLOOKUP($A954,EVENTO!$A$2:$C$4999,2,FALSE),"")</f>
        <v>ADITIVO DE PRAZO</v>
      </c>
      <c r="C954" s="76" t="str">
        <f>IFERROR(VLOOKUP($A954,EVENTO!$A$2:$C$4999,3,FALSE),"")</f>
        <v>PREFEITURA MUNICIPAL DE ARACATI - EDUCAÇÃO</v>
      </c>
      <c r="D954" s="78" t="s">
        <v>1551</v>
      </c>
      <c r="E954" s="6" t="s">
        <v>1552</v>
      </c>
      <c r="F954" s="78">
        <v>10.0</v>
      </c>
      <c r="G954" s="79">
        <v>173.93</v>
      </c>
    </row>
    <row r="955">
      <c r="A955" s="6">
        <v>209.0</v>
      </c>
      <c r="B955" s="76" t="str">
        <f>IFERROR(VLOOKUP($A955,EVENTO!$A$2:$C$4999,2,FALSE),"")</f>
        <v>ADITIVO DE PRAZO</v>
      </c>
      <c r="C955" s="76" t="str">
        <f>IFERROR(VLOOKUP($A955,EVENTO!$A$2:$C$4999,3,FALSE),"")</f>
        <v>PREFEITURA MUNICIPAL DE ARACATI - EDUCAÇÃO</v>
      </c>
      <c r="D955" s="87" t="s">
        <v>1553</v>
      </c>
      <c r="F955" s="78">
        <v>17.0</v>
      </c>
      <c r="G955" s="79">
        <v>286.34</v>
      </c>
    </row>
    <row r="956">
      <c r="A956" s="6">
        <v>209.0</v>
      </c>
      <c r="B956" s="76" t="str">
        <f>IFERROR(VLOOKUP($A956,EVENTO!$A$2:$C$4999,2,FALSE),"")</f>
        <v>ADITIVO DE PRAZO</v>
      </c>
      <c r="C956" s="76" t="str">
        <f>IFERROR(VLOOKUP($A956,EVENTO!$A$2:$C$4999,3,FALSE),"")</f>
        <v>PREFEITURA MUNICIPAL DE ARACATI - EDUCAÇÃO</v>
      </c>
      <c r="D956" s="87" t="s">
        <v>1487</v>
      </c>
      <c r="F956" s="78">
        <v>12.0</v>
      </c>
      <c r="G956" s="79">
        <v>234.7</v>
      </c>
    </row>
    <row r="957">
      <c r="A957" s="6">
        <v>209.0</v>
      </c>
      <c r="B957" s="76" t="str">
        <f>IFERROR(VLOOKUP($A957,EVENTO!$A$2:$C$4999,2,FALSE),"")</f>
        <v>ADITIVO DE PRAZO</v>
      </c>
      <c r="C957" s="76" t="str">
        <f>IFERROR(VLOOKUP($A957,EVENTO!$A$2:$C$4999,3,FALSE),"")</f>
        <v>PREFEITURA MUNICIPAL DE ARACATI - EDUCAÇÃO</v>
      </c>
      <c r="D957" s="87" t="s">
        <v>1556</v>
      </c>
      <c r="F957" s="78">
        <v>25.0</v>
      </c>
      <c r="G957" s="79">
        <v>148.11</v>
      </c>
    </row>
    <row r="958">
      <c r="A958" s="6">
        <v>209.0</v>
      </c>
      <c r="B958" s="76" t="str">
        <f>IFERROR(VLOOKUP($A958,EVENTO!$A$2:$C$4999,2,FALSE),"")</f>
        <v>ADITIVO DE PRAZO</v>
      </c>
      <c r="C958" s="76" t="str">
        <f>IFERROR(VLOOKUP($A958,EVENTO!$A$2:$C$4999,3,FALSE),"")</f>
        <v>PREFEITURA MUNICIPAL DE ARACATI - EDUCAÇÃO</v>
      </c>
      <c r="D958" s="78" t="s">
        <v>1639</v>
      </c>
      <c r="F958" s="78">
        <v>1.0</v>
      </c>
      <c r="G958" s="79">
        <v>181.17</v>
      </c>
    </row>
    <row r="959">
      <c r="A959" s="6">
        <v>209.0</v>
      </c>
      <c r="B959" s="76" t="str">
        <f>IFERROR(VLOOKUP($A959,EVENTO!$A$2:$C$4999,2,FALSE),"")</f>
        <v>ADITIVO DE PRAZO</v>
      </c>
      <c r="C959" s="76" t="str">
        <f>IFERROR(VLOOKUP($A959,EVENTO!$A$2:$C$4999,3,FALSE),"")</f>
        <v>PREFEITURA MUNICIPAL DE ARACATI - EDUCAÇÃO</v>
      </c>
      <c r="D959" s="78" t="s">
        <v>1580</v>
      </c>
      <c r="F959" s="78">
        <v>5.0</v>
      </c>
      <c r="G959" s="79">
        <v>193.47</v>
      </c>
    </row>
    <row r="960">
      <c r="A960" s="6">
        <v>209.0</v>
      </c>
      <c r="B960" s="76" t="str">
        <f>IFERROR(VLOOKUP($A960,EVENTO!$A$2:$C$4999,2,FALSE),"")</f>
        <v>ADITIVO DE PRAZO</v>
      </c>
      <c r="C960" s="76" t="str">
        <f>IFERROR(VLOOKUP($A960,EVENTO!$A$2:$C$4999,3,FALSE),"")</f>
        <v>PREFEITURA MUNICIPAL DE ARACATI - EDUCAÇÃO</v>
      </c>
      <c r="D960" s="78" t="s">
        <v>1575</v>
      </c>
      <c r="F960" s="78">
        <v>1.0</v>
      </c>
      <c r="G960" s="79">
        <v>13.42</v>
      </c>
    </row>
    <row r="961">
      <c r="A961" s="6">
        <v>209.0</v>
      </c>
      <c r="B961" s="76" t="str">
        <f>IFERROR(VLOOKUP($A961,EVENTO!$A$2:$C$4999,2,FALSE),"")</f>
        <v>ADITIVO DE PRAZO</v>
      </c>
      <c r="C961" s="76" t="str">
        <f>IFERROR(VLOOKUP($A961,EVENTO!$A$2:$C$4999,3,FALSE),"")</f>
        <v>PREFEITURA MUNICIPAL DE ARACATI - EDUCAÇÃO</v>
      </c>
      <c r="D961" s="78" t="s">
        <v>1557</v>
      </c>
      <c r="F961" s="78">
        <v>5.0</v>
      </c>
      <c r="G961" s="79">
        <v>91.18</v>
      </c>
    </row>
    <row r="962">
      <c r="A962" s="6">
        <v>209.0</v>
      </c>
      <c r="B962" s="76" t="str">
        <f>IFERROR(VLOOKUP($A962,EVENTO!$A$2:$C$4999,2,FALSE),"")</f>
        <v>ADITIVO DE PRAZO</v>
      </c>
      <c r="C962" s="76" t="str">
        <f>IFERROR(VLOOKUP($A962,EVENTO!$A$2:$C$4999,3,FALSE),"")</f>
        <v>PREFEITURA MUNICIPAL DE ARACATI - EDUCAÇÃO</v>
      </c>
      <c r="D962" s="78" t="s">
        <v>1538</v>
      </c>
      <c r="F962" s="78">
        <v>1.0</v>
      </c>
      <c r="G962" s="79">
        <v>199.46</v>
      </c>
    </row>
    <row r="963">
      <c r="A963" s="6">
        <v>209.0</v>
      </c>
      <c r="B963" s="76" t="str">
        <f>IFERROR(VLOOKUP($A963,EVENTO!$A$2:$C$4999,2,FALSE),"")</f>
        <v>ADITIVO DE PRAZO</v>
      </c>
      <c r="C963" s="76" t="str">
        <f>IFERROR(VLOOKUP($A963,EVENTO!$A$2:$C$4999,3,FALSE),"")</f>
        <v>PREFEITURA MUNICIPAL DE ARACATI - EDUCAÇÃO</v>
      </c>
      <c r="D963" s="78" t="s">
        <v>1540</v>
      </c>
      <c r="F963" s="78">
        <v>8.0</v>
      </c>
      <c r="G963" s="79">
        <v>63.8</v>
      </c>
    </row>
    <row r="964">
      <c r="A964" s="6">
        <v>209.0</v>
      </c>
      <c r="B964" s="76" t="str">
        <f>IFERROR(VLOOKUP($A964,EVENTO!$A$2:$C$4999,2,FALSE),"")</f>
        <v>ADITIVO DE PRAZO</v>
      </c>
      <c r="C964" s="76" t="str">
        <f>IFERROR(VLOOKUP($A964,EVENTO!$A$2:$C$4999,3,FALSE),"")</f>
        <v>PREFEITURA MUNICIPAL DE ARACATI - EDUCAÇÃO</v>
      </c>
      <c r="D964" s="78" t="s">
        <v>1644</v>
      </c>
      <c r="F964" s="78">
        <v>10.0</v>
      </c>
      <c r="G964" s="79">
        <v>41.95</v>
      </c>
    </row>
    <row r="965">
      <c r="A965" s="6">
        <v>212.0</v>
      </c>
      <c r="B965" s="76" t="str">
        <f>IFERROR(VLOOKUP($A965,EVENTO!$A$2:$C$4999,2,FALSE),"")</f>
        <v>CADASTRO</v>
      </c>
      <c r="C965" s="76" t="str">
        <f>IFERROR(VLOOKUP($A965,EVENTO!$A$2:$C$4999,3,FALSE),"")</f>
        <v>PREFEITURA MUNICIPAL DE CAUCAIA - ADMINISTRAÇÃO E RECURSOS HUMANOS</v>
      </c>
      <c r="D965" s="78" t="s">
        <v>1593</v>
      </c>
      <c r="F965" s="78">
        <v>2.0</v>
      </c>
      <c r="G965" s="89">
        <v>534.71</v>
      </c>
    </row>
    <row r="966">
      <c r="A966" s="6">
        <v>212.0</v>
      </c>
      <c r="B966" s="76" t="str">
        <f>IFERROR(VLOOKUP($A966,EVENTO!$A$2:$C$4999,2,FALSE),"")</f>
        <v>CADASTRO</v>
      </c>
      <c r="C966" s="76" t="str">
        <f>IFERROR(VLOOKUP($A966,EVENTO!$A$2:$C$4999,3,FALSE),"")</f>
        <v>PREFEITURA MUNICIPAL DE CAUCAIA - ADMINISTRAÇÃO E RECURSOS HUMANOS</v>
      </c>
      <c r="D966" s="78" t="s">
        <v>1594</v>
      </c>
      <c r="F966" s="78">
        <v>6.0</v>
      </c>
      <c r="G966" s="90">
        <v>344.75</v>
      </c>
    </row>
    <row r="967">
      <c r="A967" s="6">
        <v>212.0</v>
      </c>
      <c r="B967" s="76" t="str">
        <f>IFERROR(VLOOKUP($A967,EVENTO!$A$2:$C$4999,2,FALSE),"")</f>
        <v>CADASTRO</v>
      </c>
      <c r="C967" s="76" t="str">
        <f>IFERROR(VLOOKUP($A967,EVENTO!$A$2:$C$4999,3,FALSE),"")</f>
        <v>PREFEITURA MUNICIPAL DE CAUCAIA - ADMINISTRAÇÃO E RECURSOS HUMANOS</v>
      </c>
      <c r="D967" s="78" t="s">
        <v>1595</v>
      </c>
      <c r="F967" s="78">
        <v>8.0</v>
      </c>
      <c r="G967" s="90">
        <v>270.39</v>
      </c>
    </row>
    <row r="968">
      <c r="A968" s="6">
        <v>212.0</v>
      </c>
      <c r="B968" s="76" t="str">
        <f>IFERROR(VLOOKUP($A968,EVENTO!$A$2:$C$4999,2,FALSE),"")</f>
        <v>CADASTRO</v>
      </c>
      <c r="C968" s="76" t="str">
        <f>IFERROR(VLOOKUP($A968,EVENTO!$A$2:$C$4999,3,FALSE),"")</f>
        <v>PREFEITURA MUNICIPAL DE CAUCAIA - ADMINISTRAÇÃO E RECURSOS HUMANOS</v>
      </c>
      <c r="D968" s="78" t="s">
        <v>1548</v>
      </c>
      <c r="F968" s="78">
        <v>4.0</v>
      </c>
      <c r="G968" s="90">
        <v>387.36</v>
      </c>
    </row>
    <row r="969">
      <c r="A969" s="6">
        <v>212.0</v>
      </c>
      <c r="B969" s="76" t="str">
        <f>IFERROR(VLOOKUP($A969,EVENTO!$A$2:$C$4999,2,FALSE),"")</f>
        <v>CADASTRO</v>
      </c>
      <c r="C969" s="76" t="str">
        <f>IFERROR(VLOOKUP($A969,EVENTO!$A$2:$C$4999,3,FALSE),"")</f>
        <v>PREFEITURA MUNICIPAL DE CAUCAIA - ADMINISTRAÇÃO E RECURSOS HUMANOS</v>
      </c>
      <c r="D969" s="78" t="s">
        <v>1550</v>
      </c>
      <c r="F969" s="78">
        <v>15.0</v>
      </c>
      <c r="G969" s="90">
        <v>221.78</v>
      </c>
    </row>
    <row r="970">
      <c r="A970" s="6">
        <v>212.0</v>
      </c>
      <c r="B970" s="76" t="str">
        <f>IFERROR(VLOOKUP($A970,EVENTO!$A$2:$C$4999,2,FALSE),"")</f>
        <v>CADASTRO</v>
      </c>
      <c r="C970" s="76" t="str">
        <f>IFERROR(VLOOKUP($A970,EVENTO!$A$2:$C$4999,3,FALSE),"")</f>
        <v>PREFEITURA MUNICIPAL DE CAUCAIA - ADMINISTRAÇÃO E RECURSOS HUMANOS</v>
      </c>
      <c r="D970" s="78" t="s">
        <v>1552</v>
      </c>
      <c r="F970" s="78">
        <v>20.0</v>
      </c>
      <c r="G970" s="90">
        <v>173.93</v>
      </c>
    </row>
    <row r="971">
      <c r="A971" s="6">
        <v>212.0</v>
      </c>
      <c r="B971" s="76" t="str">
        <f>IFERROR(VLOOKUP($A971,EVENTO!$A$2:$C$4999,2,FALSE),"")</f>
        <v>CADASTRO</v>
      </c>
      <c r="C971" s="76" t="str">
        <f>IFERROR(VLOOKUP($A971,EVENTO!$A$2:$C$4999,3,FALSE),"")</f>
        <v>PREFEITURA MUNICIPAL DE CAUCAIA - ADMINISTRAÇÃO E RECURSOS HUMANOS</v>
      </c>
      <c r="D971" s="88" t="s">
        <v>1629</v>
      </c>
      <c r="F971" s="78">
        <v>1.0</v>
      </c>
      <c r="G971" s="90">
        <v>470.91</v>
      </c>
    </row>
    <row r="972">
      <c r="A972" s="6">
        <v>212.0</v>
      </c>
      <c r="B972" s="76" t="str">
        <f>IFERROR(VLOOKUP($A972,EVENTO!$A$2:$C$4999,2,FALSE),"")</f>
        <v>CADASTRO</v>
      </c>
      <c r="C972" s="76" t="str">
        <f>IFERROR(VLOOKUP($A972,EVENTO!$A$2:$C$4999,3,FALSE),"")</f>
        <v>PREFEITURA MUNICIPAL DE CAUCAIA - ADMINISTRAÇÃO E RECURSOS HUMANOS</v>
      </c>
      <c r="D972" s="87" t="s">
        <v>1616</v>
      </c>
      <c r="F972" s="78">
        <v>9.0</v>
      </c>
      <c r="G972" s="90">
        <v>286.34</v>
      </c>
    </row>
    <row r="973">
      <c r="A973" s="6">
        <v>212.0</v>
      </c>
      <c r="B973" s="76" t="str">
        <f>IFERROR(VLOOKUP($A973,EVENTO!$A$2:$C$4999,2,FALSE),"")</f>
        <v>CADASTRO</v>
      </c>
      <c r="C973" s="76" t="str">
        <f>IFERROR(VLOOKUP($A973,EVENTO!$A$2:$C$4999,3,FALSE),"")</f>
        <v>PREFEITURA MUNICIPAL DE CAUCAIA - ADMINISTRAÇÃO E RECURSOS HUMANOS</v>
      </c>
      <c r="D973" s="78" t="s">
        <v>1646</v>
      </c>
      <c r="F973" s="78">
        <v>8.0</v>
      </c>
      <c r="G973" s="90">
        <v>234.7</v>
      </c>
    </row>
    <row r="974">
      <c r="A974" s="6">
        <v>212.0</v>
      </c>
      <c r="B974" s="76" t="str">
        <f>IFERROR(VLOOKUP($A974,EVENTO!$A$2:$C$4999,2,FALSE),"")</f>
        <v>CADASTRO</v>
      </c>
      <c r="C974" s="76" t="str">
        <f>IFERROR(VLOOKUP($A974,EVENTO!$A$2:$C$4999,3,FALSE),"")</f>
        <v>PREFEITURA MUNICIPAL DE CAUCAIA - ADMINISTRAÇÃO E RECURSOS HUMANOS</v>
      </c>
      <c r="D974" s="87" t="s">
        <v>1622</v>
      </c>
      <c r="F974" s="78">
        <v>12.0</v>
      </c>
      <c r="G974" s="90">
        <v>148.11</v>
      </c>
    </row>
    <row r="975">
      <c r="A975" s="6">
        <v>212.0</v>
      </c>
      <c r="B975" s="76" t="str">
        <f>IFERROR(VLOOKUP($A975,EVENTO!$A$2:$C$4999,2,FALSE),"")</f>
        <v>CADASTRO</v>
      </c>
      <c r="C975" s="76" t="str">
        <f>IFERROR(VLOOKUP($A975,EVENTO!$A$2:$C$4999,3,FALSE),"")</f>
        <v>PREFEITURA MUNICIPAL DE CAUCAIA - ADMINISTRAÇÃO E RECURSOS HUMANOS</v>
      </c>
      <c r="D975" s="78" t="s">
        <v>1647</v>
      </c>
      <c r="F975" s="78">
        <v>1.0</v>
      </c>
      <c r="G975" s="90">
        <v>358.33</v>
      </c>
    </row>
    <row r="976">
      <c r="A976" s="6">
        <v>212.0</v>
      </c>
      <c r="B976" s="76" t="str">
        <f>IFERROR(VLOOKUP($A976,EVENTO!$A$2:$C$4999,2,FALSE),"")</f>
        <v>CADASTRO</v>
      </c>
      <c r="C976" s="76" t="str">
        <f>IFERROR(VLOOKUP($A976,EVENTO!$A$2:$C$4999,3,FALSE),"")</f>
        <v>PREFEITURA MUNICIPAL DE CAUCAIA - ADMINISTRAÇÃO E RECURSOS HUMANOS</v>
      </c>
      <c r="D976" s="78" t="s">
        <v>1648</v>
      </c>
      <c r="F976" s="78">
        <v>2.0</v>
      </c>
      <c r="G976" s="90">
        <v>201.73</v>
      </c>
    </row>
    <row r="977">
      <c r="A977" s="6">
        <v>212.0</v>
      </c>
      <c r="B977" s="76" t="str">
        <f>IFERROR(VLOOKUP($A977,EVENTO!$A$2:$C$4999,2,FALSE),"")</f>
        <v>CADASTRO</v>
      </c>
      <c r="C977" s="76" t="str">
        <f>IFERROR(VLOOKUP($A977,EVENTO!$A$2:$C$4999,3,FALSE),"")</f>
        <v>PREFEITURA MUNICIPAL DE CAUCAIA - ADMINISTRAÇÃO E RECURSOS HUMANOS</v>
      </c>
      <c r="D977" s="78" t="s">
        <v>1639</v>
      </c>
      <c r="F977" s="78">
        <v>1.0</v>
      </c>
      <c r="G977" s="90">
        <v>181.17</v>
      </c>
    </row>
    <row r="978">
      <c r="A978" s="6">
        <v>212.0</v>
      </c>
      <c r="B978" s="76" t="str">
        <f>IFERROR(VLOOKUP($A978,EVENTO!$A$2:$C$4999,2,FALSE),"")</f>
        <v>CADASTRO</v>
      </c>
      <c r="C978" s="76" t="str">
        <f>IFERROR(VLOOKUP($A978,EVENTO!$A$2:$C$4999,3,FALSE),"")</f>
        <v>PREFEITURA MUNICIPAL DE CAUCAIA - ADMINISTRAÇÃO E RECURSOS HUMANOS</v>
      </c>
      <c r="D978" s="78" t="s">
        <v>1580</v>
      </c>
      <c r="F978" s="78">
        <v>2.0</v>
      </c>
      <c r="G978" s="90">
        <v>283.89</v>
      </c>
    </row>
    <row r="979">
      <c r="A979" s="6">
        <v>212.0</v>
      </c>
      <c r="B979" s="76" t="str">
        <f>IFERROR(VLOOKUP($A979,EVENTO!$A$2:$C$4999,2,FALSE),"")</f>
        <v>CADASTRO</v>
      </c>
      <c r="C979" s="76" t="str">
        <f>IFERROR(VLOOKUP($A979,EVENTO!$A$2:$C$4999,3,FALSE),"")</f>
        <v>PREFEITURA MUNICIPAL DE CAUCAIA - ADMINISTRAÇÃO E RECURSOS HUMANOS</v>
      </c>
      <c r="D979" s="78" t="s">
        <v>1560</v>
      </c>
      <c r="F979" s="78">
        <v>2.0</v>
      </c>
      <c r="G979" s="90">
        <v>50.3</v>
      </c>
    </row>
    <row r="980">
      <c r="A980" s="6">
        <v>212.0</v>
      </c>
      <c r="B980" s="76" t="str">
        <f>IFERROR(VLOOKUP($A980,EVENTO!$A$2:$C$4999,2,FALSE),"")</f>
        <v>CADASTRO</v>
      </c>
      <c r="C980" s="76" t="str">
        <f>IFERROR(VLOOKUP($A980,EVENTO!$A$2:$C$4999,3,FALSE),"")</f>
        <v>PREFEITURA MUNICIPAL DE CAUCAIA - ADMINISTRAÇÃO E RECURSOS HUMANOS</v>
      </c>
      <c r="D980" s="78" t="s">
        <v>1575</v>
      </c>
      <c r="F980" s="78">
        <v>1.0</v>
      </c>
      <c r="G980" s="90">
        <v>13.42</v>
      </c>
    </row>
    <row r="981">
      <c r="A981" s="6">
        <v>212.0</v>
      </c>
      <c r="B981" s="76" t="str">
        <f>IFERROR(VLOOKUP($A981,EVENTO!$A$2:$C$4999,2,FALSE),"")</f>
        <v>CADASTRO</v>
      </c>
      <c r="C981" s="76" t="str">
        <f>IFERROR(VLOOKUP($A981,EVENTO!$A$2:$C$4999,3,FALSE),"")</f>
        <v>PREFEITURA MUNICIPAL DE CAUCAIA - ADMINISTRAÇÃO E RECURSOS HUMANOS</v>
      </c>
      <c r="D981" s="78" t="s">
        <v>1641</v>
      </c>
      <c r="F981" s="78">
        <v>2.0</v>
      </c>
      <c r="G981" s="90">
        <v>36.65</v>
      </c>
    </row>
    <row r="982">
      <c r="A982" s="6">
        <v>212.0</v>
      </c>
      <c r="B982" s="76" t="str">
        <f>IFERROR(VLOOKUP($A982,EVENTO!$A$2:$C$4999,2,FALSE),"")</f>
        <v>CADASTRO</v>
      </c>
      <c r="C982" s="76" t="str">
        <f>IFERROR(VLOOKUP($A982,EVENTO!$A$2:$C$4999,3,FALSE),"")</f>
        <v>PREFEITURA MUNICIPAL DE CAUCAIA - ADMINISTRAÇÃO E RECURSOS HUMANOS</v>
      </c>
      <c r="D982" s="78" t="s">
        <v>1642</v>
      </c>
      <c r="F982" s="78">
        <v>4.0</v>
      </c>
      <c r="G982" s="90">
        <v>91.18</v>
      </c>
    </row>
    <row r="983">
      <c r="A983" s="6">
        <v>212.0</v>
      </c>
      <c r="B983" s="76" t="str">
        <f>IFERROR(VLOOKUP($A983,EVENTO!$A$2:$C$4999,2,FALSE),"")</f>
        <v>CADASTRO</v>
      </c>
      <c r="C983" s="76" t="str">
        <f>IFERROR(VLOOKUP($A983,EVENTO!$A$2:$C$4999,3,FALSE),"")</f>
        <v>PREFEITURA MUNICIPAL DE CAUCAIA - ADMINISTRAÇÃO E RECURSOS HUMANOS</v>
      </c>
      <c r="D983" s="78" t="s">
        <v>1649</v>
      </c>
      <c r="F983" s="78">
        <v>1.0</v>
      </c>
      <c r="G983" s="90">
        <v>182.78</v>
      </c>
    </row>
    <row r="984">
      <c r="A984" s="6">
        <v>212.0</v>
      </c>
      <c r="B984" s="76" t="str">
        <f>IFERROR(VLOOKUP($A984,EVENTO!$A$2:$C$4999,2,FALSE),"")</f>
        <v>CADASTRO</v>
      </c>
      <c r="C984" s="76" t="str">
        <f>IFERROR(VLOOKUP($A984,EVENTO!$A$2:$C$4999,3,FALSE),"")</f>
        <v>PREFEITURA MUNICIPAL DE CAUCAIA - ADMINISTRAÇÃO E RECURSOS HUMANOS</v>
      </c>
      <c r="D984" s="78" t="s">
        <v>1643</v>
      </c>
      <c r="F984" s="78">
        <v>2.0</v>
      </c>
      <c r="G984" s="90">
        <v>29.23</v>
      </c>
    </row>
    <row r="985">
      <c r="A985" s="6">
        <v>212.0</v>
      </c>
      <c r="B985" s="76" t="str">
        <f>IFERROR(VLOOKUP($A985,EVENTO!$A$2:$C$4999,2,FALSE),"")</f>
        <v>CADASTRO</v>
      </c>
      <c r="C985" s="76" t="str">
        <f>IFERROR(VLOOKUP($A985,EVENTO!$A$2:$C$4999,3,FALSE),"")</f>
        <v>PREFEITURA MUNICIPAL DE CAUCAIA - ADMINISTRAÇÃO E RECURSOS HUMANOS</v>
      </c>
      <c r="D985" s="78" t="s">
        <v>1540</v>
      </c>
      <c r="F985" s="78">
        <v>2.0</v>
      </c>
      <c r="G985" s="90">
        <v>63.8</v>
      </c>
    </row>
    <row r="986">
      <c r="A986" s="6">
        <v>212.0</v>
      </c>
      <c r="B986" s="76" t="str">
        <f>IFERROR(VLOOKUP($A986,EVENTO!$A$2:$C$4999,2,FALSE),"")</f>
        <v>CADASTRO</v>
      </c>
      <c r="C986" s="76" t="str">
        <f>IFERROR(VLOOKUP($A986,EVENTO!$A$2:$C$4999,3,FALSE),"")</f>
        <v>PREFEITURA MUNICIPAL DE CAUCAIA - ADMINISTRAÇÃO E RECURSOS HUMANOS</v>
      </c>
      <c r="D986" s="78" t="s">
        <v>1644</v>
      </c>
      <c r="F986" s="78">
        <v>4.0</v>
      </c>
      <c r="G986" s="90">
        <v>41.95</v>
      </c>
    </row>
    <row r="987">
      <c r="A987" s="6">
        <v>209.0</v>
      </c>
      <c r="B987" s="76" t="str">
        <f>IFERROR(VLOOKUP($A987,EVENTO!$A$2:$C$4999,2,FALSE),"")</f>
        <v>ADITIVO DE PRAZO</v>
      </c>
      <c r="C987" s="76" t="str">
        <f>IFERROR(VLOOKUP($A987,EVENTO!$A$2:$C$4999,3,FALSE),"")</f>
        <v>PREFEITURA MUNICIPAL DE ARACATI - EDUCAÇÃO</v>
      </c>
      <c r="D987" s="78" t="s">
        <v>1544</v>
      </c>
      <c r="E987" s="6" t="s">
        <v>1545</v>
      </c>
      <c r="F987" s="78">
        <v>20.0</v>
      </c>
      <c r="G987" s="79">
        <v>534.71</v>
      </c>
    </row>
    <row r="988">
      <c r="A988" s="6">
        <v>209.0</v>
      </c>
      <c r="B988" s="76" t="str">
        <f>IFERROR(VLOOKUP($A988,EVENTO!$A$2:$C$4999,2,FALSE),"")</f>
        <v>ADITIVO DE PRAZO</v>
      </c>
      <c r="C988" s="76" t="str">
        <f>IFERROR(VLOOKUP($A988,EVENTO!$A$2:$C$4999,3,FALSE),"")</f>
        <v>PREFEITURA MUNICIPAL DE ARACATI - EDUCAÇÃO</v>
      </c>
      <c r="D988" s="78" t="s">
        <v>1458</v>
      </c>
      <c r="E988" s="6" t="s">
        <v>1535</v>
      </c>
      <c r="F988" s="78">
        <v>20.0</v>
      </c>
      <c r="G988" s="79">
        <v>344.75</v>
      </c>
    </row>
    <row r="989">
      <c r="A989" s="6">
        <v>209.0</v>
      </c>
      <c r="B989" s="76" t="str">
        <f>IFERROR(VLOOKUP($A989,EVENTO!$A$2:$C$4999,2,FALSE),"")</f>
        <v>ADITIVO DE PRAZO</v>
      </c>
      <c r="C989" s="76" t="str">
        <f>IFERROR(VLOOKUP($A989,EVENTO!$A$2:$C$4999,3,FALSE),"")</f>
        <v>PREFEITURA MUNICIPAL DE ARACATI - EDUCAÇÃO</v>
      </c>
      <c r="D989" s="78" t="s">
        <v>1546</v>
      </c>
      <c r="E989" s="6" t="s">
        <v>1547</v>
      </c>
      <c r="F989" s="78">
        <v>15.0</v>
      </c>
      <c r="G989" s="79">
        <v>270.39</v>
      </c>
    </row>
    <row r="990">
      <c r="A990" s="6">
        <v>209.0</v>
      </c>
      <c r="B990" s="76" t="str">
        <f>IFERROR(VLOOKUP($A990,EVENTO!$A$2:$C$4999,2,FALSE),"")</f>
        <v>ADITIVO DE PRAZO</v>
      </c>
      <c r="C990" s="76" t="str">
        <f>IFERROR(VLOOKUP($A990,EVENTO!$A$2:$C$4999,3,FALSE),"")</f>
        <v>PREFEITURA MUNICIPAL DE ARACATI - EDUCAÇÃO</v>
      </c>
      <c r="D990" s="78" t="s">
        <v>1456</v>
      </c>
      <c r="E990" s="6" t="s">
        <v>1548</v>
      </c>
      <c r="F990" s="78">
        <v>10.0</v>
      </c>
      <c r="G990" s="79">
        <v>387.36</v>
      </c>
    </row>
    <row r="991">
      <c r="A991" s="6">
        <v>209.0</v>
      </c>
      <c r="B991" s="76" t="str">
        <f>IFERROR(VLOOKUP($A991,EVENTO!$A$2:$C$4999,2,FALSE),"")</f>
        <v>ADITIVO DE PRAZO</v>
      </c>
      <c r="C991" s="76" t="str">
        <f>IFERROR(VLOOKUP($A991,EVENTO!$A$2:$C$4999,3,FALSE),"")</f>
        <v>PREFEITURA MUNICIPAL DE ARACATI - EDUCAÇÃO</v>
      </c>
      <c r="D991" s="78" t="s">
        <v>1549</v>
      </c>
      <c r="E991" s="6" t="s">
        <v>1550</v>
      </c>
      <c r="F991" s="78">
        <v>10.0</v>
      </c>
      <c r="G991" s="79">
        <v>221.78</v>
      </c>
    </row>
    <row r="992">
      <c r="A992" s="6">
        <v>209.0</v>
      </c>
      <c r="B992" s="76" t="str">
        <f>IFERROR(VLOOKUP($A992,EVENTO!$A$2:$C$4999,2,FALSE),"")</f>
        <v>ADITIVO DE PRAZO</v>
      </c>
      <c r="C992" s="76" t="str">
        <f>IFERROR(VLOOKUP($A992,EVENTO!$A$2:$C$4999,3,FALSE),"")</f>
        <v>PREFEITURA MUNICIPAL DE ARACATI - EDUCAÇÃO</v>
      </c>
      <c r="D992" s="78" t="s">
        <v>1551</v>
      </c>
      <c r="E992" s="6" t="s">
        <v>1552</v>
      </c>
      <c r="F992" s="78">
        <v>10.0</v>
      </c>
      <c r="G992" s="79">
        <v>173.93</v>
      </c>
    </row>
    <row r="993">
      <c r="A993" s="6">
        <v>209.0</v>
      </c>
      <c r="B993" s="76" t="str">
        <f>IFERROR(VLOOKUP($A993,EVENTO!$A$2:$C$4999,2,FALSE),"")</f>
        <v>ADITIVO DE PRAZO</v>
      </c>
      <c r="C993" s="76" t="str">
        <f>IFERROR(VLOOKUP($A993,EVENTO!$A$2:$C$4999,3,FALSE),"")</f>
        <v>PREFEITURA MUNICIPAL DE ARACATI - EDUCAÇÃO</v>
      </c>
      <c r="D993" s="87" t="s">
        <v>1553</v>
      </c>
      <c r="F993" s="78">
        <v>17.0</v>
      </c>
      <c r="G993" s="79">
        <v>286.34</v>
      </c>
    </row>
    <row r="994">
      <c r="A994" s="6">
        <v>209.0</v>
      </c>
      <c r="B994" s="76" t="str">
        <f>IFERROR(VLOOKUP($A994,EVENTO!$A$2:$C$4999,2,FALSE),"")</f>
        <v>ADITIVO DE PRAZO</v>
      </c>
      <c r="C994" s="76" t="str">
        <f>IFERROR(VLOOKUP($A994,EVENTO!$A$2:$C$4999,3,FALSE),"")</f>
        <v>PREFEITURA MUNICIPAL DE ARACATI - EDUCAÇÃO</v>
      </c>
      <c r="D994" s="87" t="s">
        <v>1487</v>
      </c>
      <c r="F994" s="78">
        <v>12.0</v>
      </c>
      <c r="G994" s="79">
        <v>234.7</v>
      </c>
    </row>
    <row r="995">
      <c r="A995" s="6">
        <v>209.0</v>
      </c>
      <c r="B995" s="76" t="str">
        <f>IFERROR(VLOOKUP($A995,EVENTO!$A$2:$C$4999,2,FALSE),"")</f>
        <v>ADITIVO DE PRAZO</v>
      </c>
      <c r="C995" s="76" t="str">
        <f>IFERROR(VLOOKUP($A995,EVENTO!$A$2:$C$4999,3,FALSE),"")</f>
        <v>PREFEITURA MUNICIPAL DE ARACATI - EDUCAÇÃO</v>
      </c>
      <c r="D995" s="87" t="s">
        <v>1556</v>
      </c>
      <c r="F995" s="78">
        <v>25.0</v>
      </c>
      <c r="G995" s="79">
        <v>148.11</v>
      </c>
    </row>
    <row r="996">
      <c r="A996" s="6">
        <v>209.0</v>
      </c>
      <c r="B996" s="76" t="str">
        <f>IFERROR(VLOOKUP($A996,EVENTO!$A$2:$C$4999,2,FALSE),"")</f>
        <v>ADITIVO DE PRAZO</v>
      </c>
      <c r="C996" s="76" t="str">
        <f>IFERROR(VLOOKUP($A996,EVENTO!$A$2:$C$4999,3,FALSE),"")</f>
        <v>PREFEITURA MUNICIPAL DE ARACATI - EDUCAÇÃO</v>
      </c>
      <c r="D996" s="78" t="s">
        <v>1639</v>
      </c>
      <c r="F996" s="78">
        <v>1.0</v>
      </c>
      <c r="G996" s="79">
        <v>181.17</v>
      </c>
    </row>
    <row r="997">
      <c r="A997" s="6">
        <v>209.0</v>
      </c>
      <c r="B997" s="76" t="str">
        <f>IFERROR(VLOOKUP($A997,EVENTO!$A$2:$C$4999,2,FALSE),"")</f>
        <v>ADITIVO DE PRAZO</v>
      </c>
      <c r="C997" s="76" t="str">
        <f>IFERROR(VLOOKUP($A997,EVENTO!$A$2:$C$4999,3,FALSE),"")</f>
        <v>PREFEITURA MUNICIPAL DE ARACATI - EDUCAÇÃO</v>
      </c>
      <c r="D997" s="78" t="s">
        <v>1580</v>
      </c>
      <c r="F997" s="78">
        <v>5.0</v>
      </c>
      <c r="G997" s="79">
        <v>193.47</v>
      </c>
    </row>
    <row r="998">
      <c r="A998" s="6">
        <v>209.0</v>
      </c>
      <c r="B998" s="76" t="str">
        <f>IFERROR(VLOOKUP($A998,EVENTO!$A$2:$C$4999,2,FALSE),"")</f>
        <v>ADITIVO DE PRAZO</v>
      </c>
      <c r="C998" s="76" t="str">
        <f>IFERROR(VLOOKUP($A998,EVENTO!$A$2:$C$4999,3,FALSE),"")</f>
        <v>PREFEITURA MUNICIPAL DE ARACATI - EDUCAÇÃO</v>
      </c>
      <c r="D998" s="78" t="s">
        <v>1575</v>
      </c>
      <c r="F998" s="78">
        <v>1.0</v>
      </c>
      <c r="G998" s="79">
        <v>13.42</v>
      </c>
    </row>
    <row r="999">
      <c r="A999" s="6">
        <v>209.0</v>
      </c>
      <c r="B999" s="76" t="str">
        <f>IFERROR(VLOOKUP($A999,EVENTO!$A$2:$C$4999,2,FALSE),"")</f>
        <v>ADITIVO DE PRAZO</v>
      </c>
      <c r="C999" s="76" t="str">
        <f>IFERROR(VLOOKUP($A999,EVENTO!$A$2:$C$4999,3,FALSE),"")</f>
        <v>PREFEITURA MUNICIPAL DE ARACATI - EDUCAÇÃO</v>
      </c>
      <c r="D999" s="78" t="s">
        <v>1557</v>
      </c>
      <c r="F999" s="78">
        <v>5.0</v>
      </c>
      <c r="G999" s="79">
        <v>91.18</v>
      </c>
    </row>
    <row r="1000">
      <c r="A1000" s="6">
        <v>209.0</v>
      </c>
      <c r="B1000" s="76" t="str">
        <f>IFERROR(VLOOKUP($A1000,EVENTO!$A$2:$C$4999,2,FALSE),"")</f>
        <v>ADITIVO DE PRAZO</v>
      </c>
      <c r="C1000" s="76" t="str">
        <f>IFERROR(VLOOKUP($A1000,EVENTO!$A$2:$C$4999,3,FALSE),"")</f>
        <v>PREFEITURA MUNICIPAL DE ARACATI - EDUCAÇÃO</v>
      </c>
      <c r="D1000" s="78" t="s">
        <v>1538</v>
      </c>
      <c r="F1000" s="78">
        <v>1.0</v>
      </c>
      <c r="G1000" s="79">
        <v>199.46</v>
      </c>
    </row>
    <row r="1001">
      <c r="A1001" s="6">
        <v>209.0</v>
      </c>
      <c r="B1001" s="76" t="str">
        <f>IFERROR(VLOOKUP($A1001,EVENTO!$A$2:$C$4999,2,FALSE),"")</f>
        <v>ADITIVO DE PRAZO</v>
      </c>
      <c r="C1001" s="76" t="str">
        <f>IFERROR(VLOOKUP($A1001,EVENTO!$A$2:$C$4999,3,FALSE),"")</f>
        <v>PREFEITURA MUNICIPAL DE ARACATI - EDUCAÇÃO</v>
      </c>
      <c r="D1001" s="78" t="s">
        <v>1540</v>
      </c>
      <c r="F1001" s="78">
        <v>8.0</v>
      </c>
      <c r="G1001" s="79">
        <v>510.4</v>
      </c>
    </row>
    <row r="1002">
      <c r="A1002" s="6">
        <v>209.0</v>
      </c>
      <c r="B1002" s="76" t="str">
        <f>IFERROR(VLOOKUP($A1002,EVENTO!$A$2:$C$4999,2,FALSE),"")</f>
        <v>ADITIVO DE PRAZO</v>
      </c>
      <c r="C1002" s="76" t="str">
        <f>IFERROR(VLOOKUP($A1002,EVENTO!$A$2:$C$4999,3,FALSE),"")</f>
        <v>PREFEITURA MUNICIPAL DE ARACATI - EDUCAÇÃO</v>
      </c>
      <c r="D1002" s="78" t="s">
        <v>1644</v>
      </c>
      <c r="F1002" s="78">
        <v>10.0</v>
      </c>
      <c r="G1002" s="91">
        <v>419.5</v>
      </c>
    </row>
    <row r="1003">
      <c r="A1003" s="6">
        <v>217.0</v>
      </c>
      <c r="B1003" s="76" t="str">
        <f>IFERROR(VLOOKUP($A1003,EVENTO!$A$2:$C$4999,2,FALSE),"")</f>
        <v>CADASTRO</v>
      </c>
      <c r="C1003" s="76" t="str">
        <f>IFERROR(VLOOKUP($A1003,EVENTO!$A$2:$C$4999,3,FALSE),"")</f>
        <v>PREFEITURA MUNICIPAL DE CAUCAIA - AUTARQUIA MUNICIPAL DE TRÂNSITO</v>
      </c>
      <c r="D1003" s="78" t="s">
        <v>1593</v>
      </c>
      <c r="F1003" s="78">
        <v>1.0</v>
      </c>
      <c r="G1003" s="89">
        <v>534.71</v>
      </c>
    </row>
    <row r="1004">
      <c r="A1004" s="6">
        <v>217.0</v>
      </c>
      <c r="B1004" s="76" t="str">
        <f>IFERROR(VLOOKUP($A1004,EVENTO!$A$2:$C$4999,2,FALSE),"")</f>
        <v>CADASTRO</v>
      </c>
      <c r="C1004" s="76" t="str">
        <f>IFERROR(VLOOKUP($A1004,EVENTO!$A$2:$C$4999,3,FALSE),"")</f>
        <v>PREFEITURA MUNICIPAL DE CAUCAIA - AUTARQUIA MUNICIPAL DE TRÂNSITO</v>
      </c>
      <c r="D1004" s="78" t="s">
        <v>1594</v>
      </c>
      <c r="F1004" s="78">
        <v>5.0</v>
      </c>
      <c r="G1004" s="90">
        <v>344.75</v>
      </c>
    </row>
    <row r="1005">
      <c r="A1005" s="6">
        <v>217.0</v>
      </c>
      <c r="B1005" s="76" t="str">
        <f>IFERROR(VLOOKUP($A1005,EVENTO!$A$2:$C$4999,2,FALSE),"")</f>
        <v>CADASTRO</v>
      </c>
      <c r="C1005" s="76" t="str">
        <f>IFERROR(VLOOKUP($A1005,EVENTO!$A$2:$C$4999,3,FALSE),"")</f>
        <v>PREFEITURA MUNICIPAL DE CAUCAIA - AUTARQUIA MUNICIPAL DE TRÂNSITO</v>
      </c>
      <c r="D1005" s="78" t="s">
        <v>1548</v>
      </c>
      <c r="F1005" s="78">
        <v>1.0</v>
      </c>
      <c r="G1005" s="90">
        <v>387.36</v>
      </c>
    </row>
    <row r="1006">
      <c r="A1006" s="6">
        <v>217.0</v>
      </c>
      <c r="B1006" s="76" t="str">
        <f>IFERROR(VLOOKUP($A1006,EVENTO!$A$2:$C$4999,2,FALSE),"")</f>
        <v>CADASTRO</v>
      </c>
      <c r="C1006" s="76" t="str">
        <f>IFERROR(VLOOKUP($A1006,EVENTO!$A$2:$C$4999,3,FALSE),"")</f>
        <v>PREFEITURA MUNICIPAL DE CAUCAIA - AUTARQUIA MUNICIPAL DE TRÂNSITO</v>
      </c>
      <c r="D1006" s="78" t="s">
        <v>1550</v>
      </c>
      <c r="F1006" s="78">
        <v>10.0</v>
      </c>
      <c r="G1006" s="90">
        <v>221.78</v>
      </c>
    </row>
    <row r="1007">
      <c r="A1007" s="6">
        <v>217.0</v>
      </c>
      <c r="B1007" s="76" t="str">
        <f>IFERROR(VLOOKUP($A1007,EVENTO!$A$2:$C$4999,2,FALSE),"")</f>
        <v>CADASTRO</v>
      </c>
      <c r="C1007" s="76" t="str">
        <f>IFERROR(VLOOKUP($A1007,EVENTO!$A$2:$C$4999,3,FALSE),"")</f>
        <v>PREFEITURA MUNICIPAL DE CAUCAIA - AUTARQUIA MUNICIPAL DE TRÂNSITO</v>
      </c>
      <c r="D1007" s="78" t="s">
        <v>1552</v>
      </c>
      <c r="F1007" s="78">
        <v>2.0</v>
      </c>
      <c r="G1007" s="90">
        <v>173.93</v>
      </c>
    </row>
    <row r="1008">
      <c r="A1008" s="6">
        <v>217.0</v>
      </c>
      <c r="B1008" s="76" t="str">
        <f>IFERROR(VLOOKUP($A1008,EVENTO!$A$2:$C$4999,2,FALSE),"")</f>
        <v>CADASTRO</v>
      </c>
      <c r="C1008" s="76" t="str">
        <f>IFERROR(VLOOKUP($A1008,EVENTO!$A$2:$C$4999,3,FALSE),"")</f>
        <v>PREFEITURA MUNICIPAL DE CAUCAIA - AUTARQUIA MUNICIPAL DE TRÂNSITO</v>
      </c>
      <c r="D1008" s="87" t="s">
        <v>1616</v>
      </c>
      <c r="F1008" s="78">
        <v>4.0</v>
      </c>
      <c r="G1008" s="90">
        <v>286.34</v>
      </c>
    </row>
    <row r="1009">
      <c r="A1009" s="6">
        <v>217.0</v>
      </c>
      <c r="B1009" s="76" t="str">
        <f>IFERROR(VLOOKUP($A1009,EVENTO!$A$2:$C$4999,2,FALSE),"")</f>
        <v>CADASTRO</v>
      </c>
      <c r="C1009" s="76" t="str">
        <f>IFERROR(VLOOKUP($A1009,EVENTO!$A$2:$C$4999,3,FALSE),"")</f>
        <v>PREFEITURA MUNICIPAL DE CAUCAIA - AUTARQUIA MUNICIPAL DE TRÂNSITO</v>
      </c>
      <c r="D1009" s="87" t="s">
        <v>1622</v>
      </c>
      <c r="F1009" s="78">
        <v>4.0</v>
      </c>
      <c r="G1009" s="90">
        <v>148.11</v>
      </c>
    </row>
    <row r="1010">
      <c r="A1010" s="6">
        <v>217.0</v>
      </c>
      <c r="B1010" s="76" t="str">
        <f>IFERROR(VLOOKUP($A1010,EVENTO!$A$2:$C$4999,2,FALSE),"")</f>
        <v>CADASTRO</v>
      </c>
      <c r="C1010" s="76" t="str">
        <f>IFERROR(VLOOKUP($A1010,EVENTO!$A$2:$C$4999,3,FALSE),"")</f>
        <v>PREFEITURA MUNICIPAL DE CAUCAIA - AUTARQUIA MUNICIPAL DE TRÂNSITO</v>
      </c>
      <c r="D1010" s="78" t="s">
        <v>1491</v>
      </c>
      <c r="F1010" s="78">
        <v>1.0</v>
      </c>
      <c r="G1010" s="90">
        <v>283.89</v>
      </c>
    </row>
    <row r="1011">
      <c r="A1011" s="6">
        <v>217.0</v>
      </c>
      <c r="B1011" s="76" t="str">
        <f>IFERROR(VLOOKUP($A1011,EVENTO!$A$2:$C$4999,2,FALSE),"")</f>
        <v>CADASTRO</v>
      </c>
      <c r="C1011" s="76" t="str">
        <f>IFERROR(VLOOKUP($A1011,EVENTO!$A$2:$C$4999,3,FALSE),"")</f>
        <v>PREFEITURA MUNICIPAL DE CAUCAIA - AUTARQUIA MUNICIPAL DE TRÂNSITO</v>
      </c>
      <c r="D1011" s="87" t="s">
        <v>1642</v>
      </c>
      <c r="F1011" s="78">
        <v>1.0</v>
      </c>
      <c r="G1011" s="90">
        <v>91.18</v>
      </c>
    </row>
    <row r="1012">
      <c r="A1012" s="6">
        <v>217.0</v>
      </c>
      <c r="B1012" s="76" t="str">
        <f>IFERROR(VLOOKUP($A1012,EVENTO!$A$2:$C$4999,2,FALSE),"")</f>
        <v>CADASTRO</v>
      </c>
      <c r="C1012" s="76" t="str">
        <f>IFERROR(VLOOKUP($A1012,EVENTO!$A$2:$C$4999,3,FALSE),"")</f>
        <v>PREFEITURA MUNICIPAL DE CAUCAIA - AUTARQUIA MUNICIPAL DE TRÂNSITO</v>
      </c>
      <c r="D1012" s="87" t="s">
        <v>1540</v>
      </c>
      <c r="F1012" s="78">
        <v>1.0</v>
      </c>
      <c r="G1012" s="90">
        <v>63.8</v>
      </c>
    </row>
    <row r="1013">
      <c r="A1013" s="6">
        <v>217.0</v>
      </c>
      <c r="B1013" s="76" t="str">
        <f>IFERROR(VLOOKUP($A1013,EVENTO!$A$2:$C$4999,2,FALSE),"")</f>
        <v>CADASTRO</v>
      </c>
      <c r="C1013" s="76" t="str">
        <f>IFERROR(VLOOKUP($A1013,EVENTO!$A$2:$C$4999,3,FALSE),"")</f>
        <v>PREFEITURA MUNICIPAL DE CAUCAIA - AUTARQUIA MUNICIPAL DE TRÂNSITO</v>
      </c>
      <c r="D1013" s="78" t="s">
        <v>1644</v>
      </c>
      <c r="F1013" s="78">
        <v>3.0</v>
      </c>
      <c r="G1013" s="90">
        <v>41.95</v>
      </c>
    </row>
    <row r="1014">
      <c r="A1014" s="6">
        <v>210.0</v>
      </c>
      <c r="B1014" s="76" t="str">
        <f>IFERROR(VLOOKUP($A1014,EVENTO!$A$2:$C$4999,2,FALSE),"")</f>
        <v>ADITIVO DE PRAZO</v>
      </c>
      <c r="C1014" s="76" t="str">
        <f>IFERROR(VLOOKUP($A1014,EVENTO!$A$2:$C$4999,3,FALSE),"")</f>
        <v>PREFEITURA MUNICIPAL DE ARACATI - EDUCAÇÃO</v>
      </c>
      <c r="D1014" s="78" t="s">
        <v>1544</v>
      </c>
      <c r="E1014" s="6" t="s">
        <v>1545</v>
      </c>
      <c r="F1014" s="78">
        <v>20.0</v>
      </c>
      <c r="G1014" s="79">
        <v>534.71</v>
      </c>
    </row>
    <row r="1015">
      <c r="A1015" s="6">
        <v>210.0</v>
      </c>
      <c r="B1015" s="76" t="str">
        <f>IFERROR(VLOOKUP($A1015,EVENTO!$A$2:$C$4999,2,FALSE),"")</f>
        <v>ADITIVO DE PRAZO</v>
      </c>
      <c r="C1015" s="76" t="str">
        <f>IFERROR(VLOOKUP($A1015,EVENTO!$A$2:$C$4999,3,FALSE),"")</f>
        <v>PREFEITURA MUNICIPAL DE ARACATI - EDUCAÇÃO</v>
      </c>
      <c r="D1015" s="78" t="s">
        <v>1458</v>
      </c>
      <c r="E1015" s="6" t="s">
        <v>1535</v>
      </c>
      <c r="F1015" s="78">
        <v>20.0</v>
      </c>
      <c r="G1015" s="79">
        <v>344.75</v>
      </c>
    </row>
    <row r="1016">
      <c r="A1016" s="6">
        <v>210.0</v>
      </c>
      <c r="B1016" s="76" t="str">
        <f>IFERROR(VLOOKUP($A1016,EVENTO!$A$2:$C$4999,2,FALSE),"")</f>
        <v>ADITIVO DE PRAZO</v>
      </c>
      <c r="C1016" s="76" t="str">
        <f>IFERROR(VLOOKUP($A1016,EVENTO!$A$2:$C$4999,3,FALSE),"")</f>
        <v>PREFEITURA MUNICIPAL DE ARACATI - EDUCAÇÃO</v>
      </c>
      <c r="D1016" s="78" t="s">
        <v>1546</v>
      </c>
      <c r="E1016" s="6" t="s">
        <v>1547</v>
      </c>
      <c r="F1016" s="78">
        <v>15.0</v>
      </c>
      <c r="G1016" s="79">
        <v>270.39</v>
      </c>
    </row>
    <row r="1017">
      <c r="A1017" s="6">
        <v>210.0</v>
      </c>
      <c r="B1017" s="76" t="str">
        <f>IFERROR(VLOOKUP($A1017,EVENTO!$A$2:$C$4999,2,FALSE),"")</f>
        <v>ADITIVO DE PRAZO</v>
      </c>
      <c r="C1017" s="76" t="str">
        <f>IFERROR(VLOOKUP($A1017,EVENTO!$A$2:$C$4999,3,FALSE),"")</f>
        <v>PREFEITURA MUNICIPAL DE ARACATI - EDUCAÇÃO</v>
      </c>
      <c r="D1017" s="78" t="s">
        <v>1456</v>
      </c>
      <c r="E1017" s="6" t="s">
        <v>1548</v>
      </c>
      <c r="F1017" s="78">
        <v>10.0</v>
      </c>
      <c r="G1017" s="79">
        <v>387.36</v>
      </c>
    </row>
    <row r="1018">
      <c r="A1018" s="6">
        <v>210.0</v>
      </c>
      <c r="B1018" s="76" t="str">
        <f>IFERROR(VLOOKUP($A1018,EVENTO!$A$2:$C$4999,2,FALSE),"")</f>
        <v>ADITIVO DE PRAZO</v>
      </c>
      <c r="C1018" s="76" t="str">
        <f>IFERROR(VLOOKUP($A1018,EVENTO!$A$2:$C$4999,3,FALSE),"")</f>
        <v>PREFEITURA MUNICIPAL DE ARACATI - EDUCAÇÃO</v>
      </c>
      <c r="D1018" s="78" t="s">
        <v>1549</v>
      </c>
      <c r="E1018" s="6" t="s">
        <v>1550</v>
      </c>
      <c r="F1018" s="78">
        <v>10.0</v>
      </c>
      <c r="G1018" s="79">
        <v>221.78</v>
      </c>
    </row>
    <row r="1019">
      <c r="A1019" s="6">
        <v>210.0</v>
      </c>
      <c r="B1019" s="76" t="str">
        <f>IFERROR(VLOOKUP($A1019,EVENTO!$A$2:$C$4999,2,FALSE),"")</f>
        <v>ADITIVO DE PRAZO</v>
      </c>
      <c r="C1019" s="76" t="str">
        <f>IFERROR(VLOOKUP($A1019,EVENTO!$A$2:$C$4999,3,FALSE),"")</f>
        <v>PREFEITURA MUNICIPAL DE ARACATI - EDUCAÇÃO</v>
      </c>
      <c r="D1019" s="78" t="s">
        <v>1551</v>
      </c>
      <c r="E1019" s="6" t="s">
        <v>1552</v>
      </c>
      <c r="F1019" s="78">
        <v>10.0</v>
      </c>
      <c r="G1019" s="79">
        <v>173.93</v>
      </c>
    </row>
    <row r="1020">
      <c r="A1020" s="6">
        <v>210.0</v>
      </c>
      <c r="B1020" s="76" t="str">
        <f>IFERROR(VLOOKUP($A1020,EVENTO!$A$2:$C$4999,2,FALSE),"")</f>
        <v>ADITIVO DE PRAZO</v>
      </c>
      <c r="C1020" s="76" t="str">
        <f>IFERROR(VLOOKUP($A1020,EVENTO!$A$2:$C$4999,3,FALSE),"")</f>
        <v>PREFEITURA MUNICIPAL DE ARACATI - EDUCAÇÃO</v>
      </c>
      <c r="D1020" s="87" t="s">
        <v>1553</v>
      </c>
      <c r="F1020" s="78">
        <v>17.0</v>
      </c>
      <c r="G1020" s="79">
        <v>286.34</v>
      </c>
    </row>
    <row r="1021">
      <c r="A1021" s="6">
        <v>210.0</v>
      </c>
      <c r="B1021" s="76" t="str">
        <f>IFERROR(VLOOKUP($A1021,EVENTO!$A$2:$C$4999,2,FALSE),"")</f>
        <v>ADITIVO DE PRAZO</v>
      </c>
      <c r="C1021" s="76" t="str">
        <f>IFERROR(VLOOKUP($A1021,EVENTO!$A$2:$C$4999,3,FALSE),"")</f>
        <v>PREFEITURA MUNICIPAL DE ARACATI - EDUCAÇÃO</v>
      </c>
      <c r="D1021" s="87" t="s">
        <v>1487</v>
      </c>
      <c r="F1021" s="78">
        <v>12.0</v>
      </c>
      <c r="G1021" s="79">
        <v>234.7</v>
      </c>
    </row>
    <row r="1022">
      <c r="A1022" s="6">
        <v>210.0</v>
      </c>
      <c r="B1022" s="76" t="str">
        <f>IFERROR(VLOOKUP($A1022,EVENTO!$A$2:$C$4999,2,FALSE),"")</f>
        <v>ADITIVO DE PRAZO</v>
      </c>
      <c r="C1022" s="76" t="str">
        <f>IFERROR(VLOOKUP($A1022,EVENTO!$A$2:$C$4999,3,FALSE),"")</f>
        <v>PREFEITURA MUNICIPAL DE ARACATI - EDUCAÇÃO</v>
      </c>
      <c r="D1022" s="87" t="s">
        <v>1556</v>
      </c>
      <c r="F1022" s="78">
        <v>25.0</v>
      </c>
      <c r="G1022" s="79">
        <v>148.11</v>
      </c>
    </row>
    <row r="1023">
      <c r="A1023" s="6">
        <v>210.0</v>
      </c>
      <c r="B1023" s="76" t="str">
        <f>IFERROR(VLOOKUP($A1023,EVENTO!$A$2:$C$4999,2,FALSE),"")</f>
        <v>ADITIVO DE PRAZO</v>
      </c>
      <c r="C1023" s="76" t="str">
        <f>IFERROR(VLOOKUP($A1023,EVENTO!$A$2:$C$4999,3,FALSE),"")</f>
        <v>PREFEITURA MUNICIPAL DE ARACATI - EDUCAÇÃO</v>
      </c>
      <c r="D1023" s="78" t="s">
        <v>1639</v>
      </c>
      <c r="F1023" s="78">
        <v>1.0</v>
      </c>
      <c r="G1023" s="79">
        <v>181.17</v>
      </c>
    </row>
    <row r="1024">
      <c r="A1024" s="6">
        <v>210.0</v>
      </c>
      <c r="B1024" s="76" t="str">
        <f>IFERROR(VLOOKUP($A1024,EVENTO!$A$2:$C$4999,2,FALSE),"")</f>
        <v>ADITIVO DE PRAZO</v>
      </c>
      <c r="C1024" s="76" t="str">
        <f>IFERROR(VLOOKUP($A1024,EVENTO!$A$2:$C$4999,3,FALSE),"")</f>
        <v>PREFEITURA MUNICIPAL DE ARACATI - EDUCAÇÃO</v>
      </c>
      <c r="D1024" s="78" t="s">
        <v>1580</v>
      </c>
      <c r="F1024" s="78">
        <v>5.0</v>
      </c>
      <c r="G1024" s="79">
        <v>193.47</v>
      </c>
    </row>
    <row r="1025">
      <c r="A1025" s="6">
        <v>210.0</v>
      </c>
      <c r="B1025" s="76" t="str">
        <f>IFERROR(VLOOKUP($A1025,EVENTO!$A$2:$C$4999,2,FALSE),"")</f>
        <v>ADITIVO DE PRAZO</v>
      </c>
      <c r="C1025" s="76" t="str">
        <f>IFERROR(VLOOKUP($A1025,EVENTO!$A$2:$C$4999,3,FALSE),"")</f>
        <v>PREFEITURA MUNICIPAL DE ARACATI - EDUCAÇÃO</v>
      </c>
      <c r="D1025" s="78" t="s">
        <v>1575</v>
      </c>
      <c r="F1025" s="78">
        <v>1.0</v>
      </c>
      <c r="G1025" s="79">
        <v>13.42</v>
      </c>
    </row>
    <row r="1026">
      <c r="A1026" s="6">
        <v>210.0</v>
      </c>
      <c r="B1026" s="76" t="str">
        <f>IFERROR(VLOOKUP($A1026,EVENTO!$A$2:$C$4999,2,FALSE),"")</f>
        <v>ADITIVO DE PRAZO</v>
      </c>
      <c r="C1026" s="76" t="str">
        <f>IFERROR(VLOOKUP($A1026,EVENTO!$A$2:$C$4999,3,FALSE),"")</f>
        <v>PREFEITURA MUNICIPAL DE ARACATI - EDUCAÇÃO</v>
      </c>
      <c r="D1026" s="78" t="s">
        <v>1557</v>
      </c>
      <c r="F1026" s="78">
        <v>5.0</v>
      </c>
      <c r="G1026" s="79">
        <v>91.18</v>
      </c>
    </row>
    <row r="1027">
      <c r="A1027" s="6">
        <v>210.0</v>
      </c>
      <c r="B1027" s="76" t="str">
        <f>IFERROR(VLOOKUP($A1027,EVENTO!$A$2:$C$4999,2,FALSE),"")</f>
        <v>ADITIVO DE PRAZO</v>
      </c>
      <c r="C1027" s="76" t="str">
        <f>IFERROR(VLOOKUP($A1027,EVENTO!$A$2:$C$4999,3,FALSE),"")</f>
        <v>PREFEITURA MUNICIPAL DE ARACATI - EDUCAÇÃO</v>
      </c>
      <c r="D1027" s="78" t="s">
        <v>1538</v>
      </c>
      <c r="F1027" s="78">
        <v>1.0</v>
      </c>
      <c r="G1027" s="79">
        <v>199.46</v>
      </c>
    </row>
    <row r="1028">
      <c r="A1028" s="6">
        <v>210.0</v>
      </c>
      <c r="B1028" s="76" t="str">
        <f>IFERROR(VLOOKUP($A1028,EVENTO!$A$2:$C$4999,2,FALSE),"")</f>
        <v>ADITIVO DE PRAZO</v>
      </c>
      <c r="C1028" s="76" t="str">
        <f>IFERROR(VLOOKUP($A1028,EVENTO!$A$2:$C$4999,3,FALSE),"")</f>
        <v>PREFEITURA MUNICIPAL DE ARACATI - EDUCAÇÃO</v>
      </c>
      <c r="D1028" s="78" t="s">
        <v>1540</v>
      </c>
      <c r="F1028" s="78">
        <v>8.0</v>
      </c>
      <c r="G1028" s="79">
        <v>510.4</v>
      </c>
    </row>
    <row r="1029">
      <c r="A1029" s="6">
        <v>210.0</v>
      </c>
      <c r="B1029" s="76" t="str">
        <f>IFERROR(VLOOKUP($A1029,EVENTO!$A$2:$C$4999,2,FALSE),"")</f>
        <v>ADITIVO DE PRAZO</v>
      </c>
      <c r="C1029" s="76" t="str">
        <f>IFERROR(VLOOKUP($A1029,EVENTO!$A$2:$C$4999,3,FALSE),"")</f>
        <v>PREFEITURA MUNICIPAL DE ARACATI - EDUCAÇÃO</v>
      </c>
      <c r="D1029" s="78" t="s">
        <v>1644</v>
      </c>
      <c r="F1029" s="78">
        <v>10.0</v>
      </c>
      <c r="G1029" s="91">
        <v>419.5</v>
      </c>
    </row>
    <row r="1030">
      <c r="A1030" s="6">
        <v>218.0</v>
      </c>
      <c r="B1030" s="76" t="str">
        <f>IFERROR(VLOOKUP($A1030,EVENTO!$A$2:$C$4999,2,FALSE),"")</f>
        <v>ADITIVO DE QUANTIDADE</v>
      </c>
      <c r="C1030" s="76" t="str">
        <f>IFERROR(VLOOKUP($A1030,EVENTO!$A$2:$C$4999,3,FALSE),"")</f>
        <v>PREFEITURA MUNICIPAL DE CAUCAIA - AUTARQUIA MUNICIPAL DE TRÂNSITO</v>
      </c>
      <c r="D1030" s="78" t="s">
        <v>1593</v>
      </c>
      <c r="F1030" s="78">
        <v>4.0</v>
      </c>
      <c r="G1030" s="89">
        <v>534.71</v>
      </c>
    </row>
    <row r="1031">
      <c r="A1031" s="6">
        <v>218.0</v>
      </c>
      <c r="B1031" s="76" t="str">
        <f>IFERROR(VLOOKUP($A1031,EVENTO!$A$2:$C$4999,2,FALSE),"")</f>
        <v>ADITIVO DE QUANTIDADE</v>
      </c>
      <c r="C1031" s="76" t="str">
        <f>IFERROR(VLOOKUP($A1031,EVENTO!$A$2:$C$4999,3,FALSE),"")</f>
        <v>PREFEITURA MUNICIPAL DE CAUCAIA - AUTARQUIA MUNICIPAL DE TRÂNSITO</v>
      </c>
      <c r="D1031" s="78" t="s">
        <v>1594</v>
      </c>
      <c r="F1031" s="78">
        <v>5.0</v>
      </c>
      <c r="G1031" s="90">
        <v>344.75</v>
      </c>
    </row>
    <row r="1032">
      <c r="A1032" s="6">
        <v>218.0</v>
      </c>
      <c r="B1032" s="76" t="str">
        <f>IFERROR(VLOOKUP($A1032,EVENTO!$A$2:$C$4999,2,FALSE),"")</f>
        <v>ADITIVO DE QUANTIDADE</v>
      </c>
      <c r="C1032" s="76" t="str">
        <f>IFERROR(VLOOKUP($A1032,EVENTO!$A$2:$C$4999,3,FALSE),"")</f>
        <v>PREFEITURA MUNICIPAL DE CAUCAIA - AUTARQUIA MUNICIPAL DE TRÂNSITO</v>
      </c>
      <c r="D1032" s="78" t="s">
        <v>1548</v>
      </c>
      <c r="F1032" s="78">
        <v>1.0</v>
      </c>
      <c r="G1032" s="90">
        <v>387.36</v>
      </c>
    </row>
    <row r="1033">
      <c r="A1033" s="6">
        <v>218.0</v>
      </c>
      <c r="B1033" s="76" t="str">
        <f>IFERROR(VLOOKUP($A1033,EVENTO!$A$2:$C$4999,2,FALSE),"")</f>
        <v>ADITIVO DE QUANTIDADE</v>
      </c>
      <c r="C1033" s="76" t="str">
        <f>IFERROR(VLOOKUP($A1033,EVENTO!$A$2:$C$4999,3,FALSE),"")</f>
        <v>PREFEITURA MUNICIPAL DE CAUCAIA - AUTARQUIA MUNICIPAL DE TRÂNSITO</v>
      </c>
      <c r="D1033" s="78" t="s">
        <v>1550</v>
      </c>
      <c r="F1033" s="78">
        <v>10.0</v>
      </c>
      <c r="G1033" s="90">
        <v>221.78</v>
      </c>
    </row>
    <row r="1034">
      <c r="A1034" s="6">
        <v>218.0</v>
      </c>
      <c r="B1034" s="76" t="str">
        <f>IFERROR(VLOOKUP($A1034,EVENTO!$A$2:$C$4999,2,FALSE),"")</f>
        <v>ADITIVO DE QUANTIDADE</v>
      </c>
      <c r="C1034" s="76" t="str">
        <f>IFERROR(VLOOKUP($A1034,EVENTO!$A$2:$C$4999,3,FALSE),"")</f>
        <v>PREFEITURA MUNICIPAL DE CAUCAIA - AUTARQUIA MUNICIPAL DE TRÂNSITO</v>
      </c>
      <c r="D1034" s="78" t="s">
        <v>1552</v>
      </c>
      <c r="F1034" s="78">
        <v>2.0</v>
      </c>
      <c r="G1034" s="90">
        <v>173.93</v>
      </c>
    </row>
    <row r="1035">
      <c r="A1035" s="6">
        <v>218.0</v>
      </c>
      <c r="B1035" s="76" t="str">
        <f>IFERROR(VLOOKUP($A1035,EVENTO!$A$2:$C$4999,2,FALSE),"")</f>
        <v>ADITIVO DE QUANTIDADE</v>
      </c>
      <c r="C1035" s="76" t="str">
        <f>IFERROR(VLOOKUP($A1035,EVENTO!$A$2:$C$4999,3,FALSE),"")</f>
        <v>PREFEITURA MUNICIPAL DE CAUCAIA - AUTARQUIA MUNICIPAL DE TRÂNSITO</v>
      </c>
      <c r="D1035" s="87" t="s">
        <v>1616</v>
      </c>
      <c r="F1035" s="78">
        <v>4.0</v>
      </c>
      <c r="G1035" s="90">
        <v>286.34</v>
      </c>
    </row>
    <row r="1036">
      <c r="A1036" s="6">
        <v>218.0</v>
      </c>
      <c r="B1036" s="76" t="str">
        <f>IFERROR(VLOOKUP($A1036,EVENTO!$A$2:$C$4999,2,FALSE),"")</f>
        <v>ADITIVO DE QUANTIDADE</v>
      </c>
      <c r="C1036" s="76" t="str">
        <f>IFERROR(VLOOKUP($A1036,EVENTO!$A$2:$C$4999,3,FALSE),"")</f>
        <v>PREFEITURA MUNICIPAL DE CAUCAIA - AUTARQUIA MUNICIPAL DE TRÂNSITO</v>
      </c>
      <c r="D1036" s="87" t="s">
        <v>1622</v>
      </c>
      <c r="F1036" s="78">
        <v>4.0</v>
      </c>
      <c r="G1036" s="90">
        <v>148.11</v>
      </c>
    </row>
    <row r="1037">
      <c r="A1037" s="6">
        <v>218.0</v>
      </c>
      <c r="B1037" s="76" t="str">
        <f>IFERROR(VLOOKUP($A1037,EVENTO!$A$2:$C$4999,2,FALSE),"")</f>
        <v>ADITIVO DE QUANTIDADE</v>
      </c>
      <c r="C1037" s="76" t="str">
        <f>IFERROR(VLOOKUP($A1037,EVENTO!$A$2:$C$4999,3,FALSE),"")</f>
        <v>PREFEITURA MUNICIPAL DE CAUCAIA - AUTARQUIA MUNICIPAL DE TRÂNSITO</v>
      </c>
      <c r="D1037" s="78" t="s">
        <v>1491</v>
      </c>
      <c r="F1037" s="78">
        <v>1.0</v>
      </c>
      <c r="G1037" s="90">
        <v>283.89</v>
      </c>
    </row>
    <row r="1038">
      <c r="A1038" s="6">
        <v>218.0</v>
      </c>
      <c r="B1038" s="76" t="str">
        <f>IFERROR(VLOOKUP($A1038,EVENTO!$A$2:$C$4999,2,FALSE),"")</f>
        <v>ADITIVO DE QUANTIDADE</v>
      </c>
      <c r="C1038" s="76" t="str">
        <f>IFERROR(VLOOKUP($A1038,EVENTO!$A$2:$C$4999,3,FALSE),"")</f>
        <v>PREFEITURA MUNICIPAL DE CAUCAIA - AUTARQUIA MUNICIPAL DE TRÂNSITO</v>
      </c>
      <c r="D1038" s="87" t="s">
        <v>1642</v>
      </c>
      <c r="F1038" s="78">
        <v>1.0</v>
      </c>
      <c r="G1038" s="90">
        <v>91.18</v>
      </c>
    </row>
    <row r="1039">
      <c r="A1039" s="6">
        <v>218.0</v>
      </c>
      <c r="B1039" s="76" t="str">
        <f>IFERROR(VLOOKUP($A1039,EVENTO!$A$2:$C$4999,2,FALSE),"")</f>
        <v>ADITIVO DE QUANTIDADE</v>
      </c>
      <c r="C1039" s="76" t="str">
        <f>IFERROR(VLOOKUP($A1039,EVENTO!$A$2:$C$4999,3,FALSE),"")</f>
        <v>PREFEITURA MUNICIPAL DE CAUCAIA - AUTARQUIA MUNICIPAL DE TRÂNSITO</v>
      </c>
      <c r="D1039" s="87" t="s">
        <v>1540</v>
      </c>
      <c r="F1039" s="78">
        <v>1.0</v>
      </c>
      <c r="G1039" s="90">
        <v>63.8</v>
      </c>
    </row>
    <row r="1040">
      <c r="A1040" s="6">
        <v>218.0</v>
      </c>
      <c r="B1040" s="76" t="str">
        <f>IFERROR(VLOOKUP($A1040,EVENTO!$A$2:$C$4999,2,FALSE),"")</f>
        <v>ADITIVO DE QUANTIDADE</v>
      </c>
      <c r="C1040" s="76" t="str">
        <f>IFERROR(VLOOKUP($A1040,EVENTO!$A$2:$C$4999,3,FALSE),"")</f>
        <v>PREFEITURA MUNICIPAL DE CAUCAIA - AUTARQUIA MUNICIPAL DE TRÂNSITO</v>
      </c>
      <c r="D1040" s="78" t="s">
        <v>1644</v>
      </c>
      <c r="F1040" s="78">
        <v>3.0</v>
      </c>
      <c r="G1040" s="90">
        <v>41.95</v>
      </c>
    </row>
    <row r="1041">
      <c r="A1041" s="6">
        <v>219.0</v>
      </c>
      <c r="B1041" s="76" t="str">
        <f>IFERROR(VLOOKUP($A1041,EVENTO!$A$2:$C$4999,2,FALSE),"")</f>
        <v>CADASTRO</v>
      </c>
      <c r="C1041" s="76" t="str">
        <f>IFERROR(VLOOKUP($A1041,EVENTO!$A$2:$C$4999,3,FALSE),"")</f>
        <v>PREFEITURA MUNICIPAL DE ARACATI - ESPORTE E LAZER</v>
      </c>
      <c r="D1041" s="78" t="s">
        <v>1544</v>
      </c>
      <c r="E1041" s="6" t="s">
        <v>1545</v>
      </c>
      <c r="F1041" s="78">
        <v>1.0</v>
      </c>
      <c r="G1041" s="79">
        <v>534.71</v>
      </c>
    </row>
    <row r="1042">
      <c r="A1042" s="6">
        <v>219.0</v>
      </c>
      <c r="B1042" s="76" t="str">
        <f>IFERROR(VLOOKUP($A1042,EVENTO!$A$2:$C$4999,2,FALSE),"")</f>
        <v>CADASTRO</v>
      </c>
      <c r="C1042" s="76" t="str">
        <f>IFERROR(VLOOKUP($A1042,EVENTO!$A$2:$C$4999,3,FALSE),"")</f>
        <v>PREFEITURA MUNICIPAL DE ARACATI - ESPORTE E LAZER</v>
      </c>
      <c r="D1042" s="78" t="s">
        <v>1458</v>
      </c>
      <c r="E1042" s="6" t="s">
        <v>1535</v>
      </c>
      <c r="F1042" s="78">
        <v>1.0</v>
      </c>
      <c r="G1042" s="79">
        <v>344.75</v>
      </c>
    </row>
    <row r="1043">
      <c r="A1043" s="6">
        <v>219.0</v>
      </c>
      <c r="B1043" s="76" t="str">
        <f>IFERROR(VLOOKUP($A1043,EVENTO!$A$2:$C$4999,2,FALSE),"")</f>
        <v>CADASTRO</v>
      </c>
      <c r="C1043" s="76" t="str">
        <f>IFERROR(VLOOKUP($A1043,EVENTO!$A$2:$C$4999,3,FALSE),"")</f>
        <v>PREFEITURA MUNICIPAL DE ARACATI - ESPORTE E LAZER</v>
      </c>
      <c r="D1043" s="78" t="s">
        <v>1546</v>
      </c>
      <c r="E1043" s="6" t="s">
        <v>1547</v>
      </c>
      <c r="F1043" s="78">
        <v>1.0</v>
      </c>
      <c r="G1043" s="79">
        <v>270.39</v>
      </c>
    </row>
    <row r="1044">
      <c r="A1044" s="6">
        <v>219.0</v>
      </c>
      <c r="B1044" s="76" t="str">
        <f>IFERROR(VLOOKUP($A1044,EVENTO!$A$2:$C$4999,2,FALSE),"")</f>
        <v>CADASTRO</v>
      </c>
      <c r="C1044" s="76" t="str">
        <f>IFERROR(VLOOKUP($A1044,EVENTO!$A$2:$C$4999,3,FALSE),"")</f>
        <v>PREFEITURA MUNICIPAL DE ARACATI - ESPORTE E LAZER</v>
      </c>
      <c r="D1044" s="78" t="s">
        <v>1456</v>
      </c>
      <c r="E1044" s="6" t="s">
        <v>1548</v>
      </c>
      <c r="F1044" s="78">
        <v>3.0</v>
      </c>
      <c r="G1044" s="79">
        <v>387.36</v>
      </c>
    </row>
    <row r="1045">
      <c r="A1045" s="6">
        <v>219.0</v>
      </c>
      <c r="B1045" s="76" t="str">
        <f>IFERROR(VLOOKUP($A1045,EVENTO!$A$2:$C$4999,2,FALSE),"")</f>
        <v>CADASTRO</v>
      </c>
      <c r="C1045" s="76" t="str">
        <f>IFERROR(VLOOKUP($A1045,EVENTO!$A$2:$C$4999,3,FALSE),"")</f>
        <v>PREFEITURA MUNICIPAL DE ARACATI - ESPORTE E LAZER</v>
      </c>
      <c r="D1045" s="78" t="s">
        <v>1549</v>
      </c>
      <c r="E1045" s="6" t="s">
        <v>1550</v>
      </c>
      <c r="F1045" s="78">
        <v>3.0</v>
      </c>
      <c r="G1045" s="79">
        <v>221.78</v>
      </c>
    </row>
    <row r="1046">
      <c r="A1046" s="6">
        <v>219.0</v>
      </c>
      <c r="B1046" s="76" t="str">
        <f>IFERROR(VLOOKUP($A1046,EVENTO!$A$2:$C$4999,2,FALSE),"")</f>
        <v>CADASTRO</v>
      </c>
      <c r="C1046" s="76" t="str">
        <f>IFERROR(VLOOKUP($A1046,EVENTO!$A$2:$C$4999,3,FALSE),"")</f>
        <v>PREFEITURA MUNICIPAL DE ARACATI - ESPORTE E LAZER</v>
      </c>
      <c r="D1046" s="78" t="s">
        <v>1551</v>
      </c>
      <c r="E1046" s="6" t="s">
        <v>1552</v>
      </c>
      <c r="F1046" s="78">
        <v>2.0</v>
      </c>
      <c r="G1046" s="79">
        <v>173.93</v>
      </c>
    </row>
    <row r="1047">
      <c r="A1047" s="6">
        <v>219.0</v>
      </c>
      <c r="B1047" s="76" t="str">
        <f>IFERROR(VLOOKUP($A1047,EVENTO!$A$2:$C$4999,2,FALSE),"")</f>
        <v>CADASTRO</v>
      </c>
      <c r="C1047" s="76" t="str">
        <f>IFERROR(VLOOKUP($A1047,EVENTO!$A$2:$C$4999,3,FALSE),"")</f>
        <v>PREFEITURA MUNICIPAL DE ARACATI - ESPORTE E LAZER</v>
      </c>
      <c r="D1047" s="87" t="s">
        <v>1553</v>
      </c>
      <c r="F1047" s="78">
        <v>1.0</v>
      </c>
      <c r="G1047" s="79">
        <v>286.34</v>
      </c>
    </row>
    <row r="1048">
      <c r="A1048" s="6">
        <v>219.0</v>
      </c>
      <c r="B1048" s="76" t="str">
        <f>IFERROR(VLOOKUP($A1048,EVENTO!$A$2:$C$4999,2,FALSE),"")</f>
        <v>CADASTRO</v>
      </c>
      <c r="C1048" s="76" t="str">
        <f>IFERROR(VLOOKUP($A1048,EVENTO!$A$2:$C$4999,3,FALSE),"")</f>
        <v>PREFEITURA MUNICIPAL DE ARACATI - ESPORTE E LAZER</v>
      </c>
      <c r="D1048" s="87" t="s">
        <v>1487</v>
      </c>
      <c r="F1048" s="78">
        <v>1.0</v>
      </c>
      <c r="G1048" s="79">
        <v>234.7</v>
      </c>
    </row>
    <row r="1049">
      <c r="A1049" s="6">
        <v>219.0</v>
      </c>
      <c r="B1049" s="76" t="str">
        <f>IFERROR(VLOOKUP($A1049,EVENTO!$A$2:$C$4999,2,FALSE),"")</f>
        <v>CADASTRO</v>
      </c>
      <c r="C1049" s="76" t="str">
        <f>IFERROR(VLOOKUP($A1049,EVENTO!$A$2:$C$4999,3,FALSE),"")</f>
        <v>PREFEITURA MUNICIPAL DE ARACATI - ESPORTE E LAZER</v>
      </c>
      <c r="D1049" s="87" t="s">
        <v>1556</v>
      </c>
      <c r="F1049" s="78">
        <v>1.0</v>
      </c>
      <c r="G1049" s="79">
        <v>148.11</v>
      </c>
    </row>
    <row r="1050">
      <c r="A1050" s="6">
        <v>219.0</v>
      </c>
      <c r="B1050" s="76" t="str">
        <f>IFERROR(VLOOKUP($A1050,EVENTO!$A$2:$C$4999,2,FALSE),"")</f>
        <v>CADASTRO</v>
      </c>
      <c r="C1050" s="76" t="str">
        <f>IFERROR(VLOOKUP($A1050,EVENTO!$A$2:$C$4999,3,FALSE),"")</f>
        <v>PREFEITURA MUNICIPAL DE ARACATI - ESPORTE E LAZER</v>
      </c>
      <c r="D1050" s="78" t="s">
        <v>1650</v>
      </c>
      <c r="F1050" s="78">
        <v>1.0</v>
      </c>
      <c r="G1050" s="79">
        <v>201.73</v>
      </c>
    </row>
    <row r="1051">
      <c r="A1051" s="6">
        <v>219.0</v>
      </c>
      <c r="B1051" s="76" t="str">
        <f>IFERROR(VLOOKUP($A1051,EVENTO!$A$2:$C$4999,2,FALSE),"")</f>
        <v>CADASTRO</v>
      </c>
      <c r="C1051" s="76" t="str">
        <f>IFERROR(VLOOKUP($A1051,EVENTO!$A$2:$C$4999,3,FALSE),"")</f>
        <v>PREFEITURA MUNICIPAL DE ARACATI - ESPORTE E LAZER</v>
      </c>
      <c r="D1051" s="78" t="s">
        <v>1560</v>
      </c>
      <c r="F1051" s="78">
        <v>2.0</v>
      </c>
      <c r="G1051" s="79">
        <v>50.3</v>
      </c>
    </row>
    <row r="1052">
      <c r="A1052" s="6">
        <v>219.0</v>
      </c>
      <c r="B1052" s="76" t="str">
        <f>IFERROR(VLOOKUP($A1052,EVENTO!$A$2:$C$4999,2,FALSE),"")</f>
        <v>CADASTRO</v>
      </c>
      <c r="C1052" s="76" t="str">
        <f>IFERROR(VLOOKUP($A1052,EVENTO!$A$2:$C$4999,3,FALSE),"")</f>
        <v>PREFEITURA MUNICIPAL DE ARACATI - ESPORTE E LAZER</v>
      </c>
      <c r="D1052" s="78" t="s">
        <v>1575</v>
      </c>
      <c r="F1052" s="78">
        <v>1.0</v>
      </c>
      <c r="G1052" s="79">
        <v>13.42</v>
      </c>
    </row>
    <row r="1053">
      <c r="A1053" s="6">
        <v>219.0</v>
      </c>
      <c r="B1053" s="76" t="str">
        <f>IFERROR(VLOOKUP($A1053,EVENTO!$A$2:$C$4999,2,FALSE),"")</f>
        <v>CADASTRO</v>
      </c>
      <c r="C1053" s="76" t="str">
        <f>IFERROR(VLOOKUP($A1053,EVENTO!$A$2:$C$4999,3,FALSE),"")</f>
        <v>PREFEITURA MUNICIPAL DE ARACATI - ESPORTE E LAZER</v>
      </c>
      <c r="D1053" s="78" t="s">
        <v>1557</v>
      </c>
      <c r="F1053" s="78">
        <v>2.0</v>
      </c>
      <c r="G1053" s="79">
        <v>91.18</v>
      </c>
    </row>
    <row r="1054">
      <c r="A1054" s="6">
        <v>228.0</v>
      </c>
      <c r="B1054" s="76" t="str">
        <f>IFERROR(VLOOKUP($A1054,EVENTO!$A$2:$C$4999,2,FALSE),"")</f>
        <v>CADASTRO</v>
      </c>
      <c r="C1054" s="76" t="str">
        <f>IFERROR(VLOOKUP($A1054,EVENTO!$A$2:$C$4999,3,FALSE),"")</f>
        <v>PREFEITURA MUNICIPAL DE CANINDE - SECRETARIA DE ASSISTÊNCIA SOCIAL</v>
      </c>
      <c r="D1054" s="78" t="s">
        <v>1562</v>
      </c>
      <c r="E1054" s="6" t="s">
        <v>1563</v>
      </c>
      <c r="F1054" s="78">
        <v>24.0</v>
      </c>
      <c r="G1054" s="79">
        <v>502.37</v>
      </c>
    </row>
    <row r="1055">
      <c r="A1055" s="6">
        <v>228.0</v>
      </c>
      <c r="B1055" s="76" t="str">
        <f>IFERROR(VLOOKUP($A1055,EVENTO!$A$2:$C$4999,2,FALSE),"")</f>
        <v>CADASTRO</v>
      </c>
      <c r="C1055" s="76" t="str">
        <f>IFERROR(VLOOKUP($A1055,EVENTO!$A$2:$C$4999,3,FALSE),"")</f>
        <v>PREFEITURA MUNICIPAL DE CANINDE - SECRETARIA DE ASSISTÊNCIA SOCIAL</v>
      </c>
      <c r="D1055" s="78" t="s">
        <v>1564</v>
      </c>
      <c r="E1055" s="6" t="s">
        <v>1565</v>
      </c>
      <c r="F1055" s="78">
        <v>84.0</v>
      </c>
      <c r="G1055" s="79">
        <v>200.0</v>
      </c>
      <c r="I1055" s="78" t="s">
        <v>1564</v>
      </c>
      <c r="J1055" s="6" t="s">
        <v>1565</v>
      </c>
      <c r="K1055" s="6">
        <v>1.0</v>
      </c>
      <c r="L1055" s="79">
        <v>200.0</v>
      </c>
    </row>
    <row r="1056">
      <c r="A1056" s="6">
        <v>220.0</v>
      </c>
      <c r="B1056" s="76" t="str">
        <f>IFERROR(VLOOKUP($A1056,EVENTO!$A$2:$C$4999,2,FALSE),"")</f>
        <v>ADITIVO DE PRAZO</v>
      </c>
      <c r="C1056" s="76" t="str">
        <f>IFERROR(VLOOKUP($A1056,EVENTO!$A$2:$C$4999,3,FALSE),"")</f>
        <v>PREFEITURA MUNICIPAL DE ARACATI - ESPORTE E LAZER</v>
      </c>
      <c r="D1056" s="78" t="s">
        <v>1544</v>
      </c>
      <c r="E1056" s="6" t="s">
        <v>1545</v>
      </c>
      <c r="F1056" s="78">
        <v>1.0</v>
      </c>
      <c r="G1056" s="79">
        <v>534.71</v>
      </c>
    </row>
    <row r="1057">
      <c r="A1057" s="6">
        <v>220.0</v>
      </c>
      <c r="B1057" s="76" t="str">
        <f>IFERROR(VLOOKUP($A1057,EVENTO!$A$2:$C$4999,2,FALSE),"")</f>
        <v>ADITIVO DE PRAZO</v>
      </c>
      <c r="C1057" s="76" t="str">
        <f>IFERROR(VLOOKUP($A1057,EVENTO!$A$2:$C$4999,3,FALSE),"")</f>
        <v>PREFEITURA MUNICIPAL DE ARACATI - ESPORTE E LAZER</v>
      </c>
      <c r="D1057" s="78" t="s">
        <v>1458</v>
      </c>
      <c r="E1057" s="6" t="s">
        <v>1535</v>
      </c>
      <c r="F1057" s="78">
        <v>1.0</v>
      </c>
      <c r="G1057" s="79">
        <v>344.75</v>
      </c>
    </row>
    <row r="1058">
      <c r="A1058" s="6">
        <v>220.0</v>
      </c>
      <c r="B1058" s="76" t="str">
        <f>IFERROR(VLOOKUP($A1058,EVENTO!$A$2:$C$4999,2,FALSE),"")</f>
        <v>ADITIVO DE PRAZO</v>
      </c>
      <c r="C1058" s="76" t="str">
        <f>IFERROR(VLOOKUP($A1058,EVENTO!$A$2:$C$4999,3,FALSE),"")</f>
        <v>PREFEITURA MUNICIPAL DE ARACATI - ESPORTE E LAZER</v>
      </c>
      <c r="D1058" s="78" t="s">
        <v>1546</v>
      </c>
      <c r="E1058" s="6" t="s">
        <v>1547</v>
      </c>
      <c r="F1058" s="78">
        <v>1.0</v>
      </c>
      <c r="G1058" s="79">
        <v>270.39</v>
      </c>
    </row>
    <row r="1059">
      <c r="A1059" s="6">
        <v>220.0</v>
      </c>
      <c r="B1059" s="76" t="str">
        <f>IFERROR(VLOOKUP($A1059,EVENTO!$A$2:$C$4999,2,FALSE),"")</f>
        <v>ADITIVO DE PRAZO</v>
      </c>
      <c r="C1059" s="76" t="str">
        <f>IFERROR(VLOOKUP($A1059,EVENTO!$A$2:$C$4999,3,FALSE),"")</f>
        <v>PREFEITURA MUNICIPAL DE ARACATI - ESPORTE E LAZER</v>
      </c>
      <c r="D1059" s="78" t="s">
        <v>1456</v>
      </c>
      <c r="E1059" s="6" t="s">
        <v>1548</v>
      </c>
      <c r="F1059" s="78">
        <v>3.0</v>
      </c>
      <c r="G1059" s="79">
        <v>387.36</v>
      </c>
    </row>
    <row r="1060">
      <c r="A1060" s="6">
        <v>220.0</v>
      </c>
      <c r="B1060" s="76" t="str">
        <f>IFERROR(VLOOKUP($A1060,EVENTO!$A$2:$C$4999,2,FALSE),"")</f>
        <v>ADITIVO DE PRAZO</v>
      </c>
      <c r="C1060" s="76" t="str">
        <f>IFERROR(VLOOKUP($A1060,EVENTO!$A$2:$C$4999,3,FALSE),"")</f>
        <v>PREFEITURA MUNICIPAL DE ARACATI - ESPORTE E LAZER</v>
      </c>
      <c r="D1060" s="78" t="s">
        <v>1549</v>
      </c>
      <c r="E1060" s="6" t="s">
        <v>1550</v>
      </c>
      <c r="F1060" s="78">
        <v>3.0</v>
      </c>
      <c r="G1060" s="79">
        <v>221.78</v>
      </c>
    </row>
    <row r="1061">
      <c r="A1061" s="6">
        <v>220.0</v>
      </c>
      <c r="B1061" s="76" t="str">
        <f>IFERROR(VLOOKUP($A1061,EVENTO!$A$2:$C$4999,2,FALSE),"")</f>
        <v>ADITIVO DE PRAZO</v>
      </c>
      <c r="C1061" s="76" t="str">
        <f>IFERROR(VLOOKUP($A1061,EVENTO!$A$2:$C$4999,3,FALSE),"")</f>
        <v>PREFEITURA MUNICIPAL DE ARACATI - ESPORTE E LAZER</v>
      </c>
      <c r="D1061" s="78" t="s">
        <v>1551</v>
      </c>
      <c r="E1061" s="6" t="s">
        <v>1552</v>
      </c>
      <c r="F1061" s="78">
        <v>2.0</v>
      </c>
      <c r="G1061" s="79">
        <v>173.93</v>
      </c>
    </row>
    <row r="1062">
      <c r="A1062" s="6">
        <v>220.0</v>
      </c>
      <c r="B1062" s="76" t="str">
        <f>IFERROR(VLOOKUP($A1062,EVENTO!$A$2:$C$4999,2,FALSE),"")</f>
        <v>ADITIVO DE PRAZO</v>
      </c>
      <c r="C1062" s="76" t="str">
        <f>IFERROR(VLOOKUP($A1062,EVENTO!$A$2:$C$4999,3,FALSE),"")</f>
        <v>PREFEITURA MUNICIPAL DE ARACATI - ESPORTE E LAZER</v>
      </c>
      <c r="D1062" s="87" t="s">
        <v>1553</v>
      </c>
      <c r="F1062" s="78">
        <v>1.0</v>
      </c>
      <c r="G1062" s="79">
        <v>286.34</v>
      </c>
    </row>
    <row r="1063">
      <c r="A1063" s="6">
        <v>220.0</v>
      </c>
      <c r="B1063" s="76" t="str">
        <f>IFERROR(VLOOKUP($A1063,EVENTO!$A$2:$C$4999,2,FALSE),"")</f>
        <v>ADITIVO DE PRAZO</v>
      </c>
      <c r="C1063" s="76" t="str">
        <f>IFERROR(VLOOKUP($A1063,EVENTO!$A$2:$C$4999,3,FALSE),"")</f>
        <v>PREFEITURA MUNICIPAL DE ARACATI - ESPORTE E LAZER</v>
      </c>
      <c r="D1063" s="87" t="s">
        <v>1487</v>
      </c>
      <c r="F1063" s="78">
        <v>1.0</v>
      </c>
      <c r="G1063" s="79">
        <v>234.7</v>
      </c>
    </row>
    <row r="1064">
      <c r="A1064" s="6">
        <v>220.0</v>
      </c>
      <c r="B1064" s="76" t="str">
        <f>IFERROR(VLOOKUP($A1064,EVENTO!$A$2:$C$4999,2,FALSE),"")</f>
        <v>ADITIVO DE PRAZO</v>
      </c>
      <c r="C1064" s="76" t="str">
        <f>IFERROR(VLOOKUP($A1064,EVENTO!$A$2:$C$4999,3,FALSE),"")</f>
        <v>PREFEITURA MUNICIPAL DE ARACATI - ESPORTE E LAZER</v>
      </c>
      <c r="D1064" s="87" t="s">
        <v>1556</v>
      </c>
      <c r="F1064" s="78">
        <v>1.0</v>
      </c>
      <c r="G1064" s="79">
        <v>148.11</v>
      </c>
    </row>
    <row r="1065">
      <c r="A1065" s="6">
        <v>220.0</v>
      </c>
      <c r="B1065" s="76" t="str">
        <f>IFERROR(VLOOKUP($A1065,EVENTO!$A$2:$C$4999,2,FALSE),"")</f>
        <v>ADITIVO DE PRAZO</v>
      </c>
      <c r="C1065" s="76" t="str">
        <f>IFERROR(VLOOKUP($A1065,EVENTO!$A$2:$C$4999,3,FALSE),"")</f>
        <v>PREFEITURA MUNICIPAL DE ARACATI - ESPORTE E LAZER</v>
      </c>
      <c r="D1065" s="78" t="s">
        <v>1650</v>
      </c>
      <c r="F1065" s="78">
        <v>1.0</v>
      </c>
      <c r="G1065" s="79">
        <v>201.73</v>
      </c>
    </row>
    <row r="1066">
      <c r="A1066" s="6">
        <v>220.0</v>
      </c>
      <c r="B1066" s="76" t="str">
        <f>IFERROR(VLOOKUP($A1066,EVENTO!$A$2:$C$4999,2,FALSE),"")</f>
        <v>ADITIVO DE PRAZO</v>
      </c>
      <c r="C1066" s="76" t="str">
        <f>IFERROR(VLOOKUP($A1066,EVENTO!$A$2:$C$4999,3,FALSE),"")</f>
        <v>PREFEITURA MUNICIPAL DE ARACATI - ESPORTE E LAZER</v>
      </c>
      <c r="D1066" s="78" t="s">
        <v>1560</v>
      </c>
      <c r="F1066" s="78">
        <v>2.0</v>
      </c>
      <c r="G1066" s="79">
        <v>50.3</v>
      </c>
    </row>
    <row r="1067">
      <c r="A1067" s="6">
        <v>220.0</v>
      </c>
      <c r="B1067" s="76" t="str">
        <f>IFERROR(VLOOKUP($A1067,EVENTO!$A$2:$C$4999,2,FALSE),"")</f>
        <v>ADITIVO DE PRAZO</v>
      </c>
      <c r="C1067" s="76" t="str">
        <f>IFERROR(VLOOKUP($A1067,EVENTO!$A$2:$C$4999,3,FALSE),"")</f>
        <v>PREFEITURA MUNICIPAL DE ARACATI - ESPORTE E LAZER</v>
      </c>
      <c r="D1067" s="78" t="s">
        <v>1575</v>
      </c>
      <c r="F1067" s="78">
        <v>1.0</v>
      </c>
      <c r="G1067" s="79">
        <v>13.42</v>
      </c>
    </row>
    <row r="1068">
      <c r="A1068" s="6">
        <v>220.0</v>
      </c>
      <c r="B1068" s="76" t="str">
        <f>IFERROR(VLOOKUP($A1068,EVENTO!$A$2:$C$4999,2,FALSE),"")</f>
        <v>ADITIVO DE PRAZO</v>
      </c>
      <c r="C1068" s="76" t="str">
        <f>IFERROR(VLOOKUP($A1068,EVENTO!$A$2:$C$4999,3,FALSE),"")</f>
        <v>PREFEITURA MUNICIPAL DE ARACATI - ESPORTE E LAZER</v>
      </c>
      <c r="D1068" s="78" t="s">
        <v>1557</v>
      </c>
      <c r="F1068" s="78">
        <v>2.0</v>
      </c>
      <c r="G1068" s="79">
        <v>91.18</v>
      </c>
    </row>
    <row r="1069">
      <c r="A1069" s="6">
        <v>221.0</v>
      </c>
      <c r="B1069" s="76" t="str">
        <f>IFERROR(VLOOKUP($A1069,EVENTO!$A$2:$C$4999,2,FALSE),"")</f>
        <v>ADITIVO DE PRAZO</v>
      </c>
      <c r="C1069" s="76" t="str">
        <f>IFERROR(VLOOKUP($A1069,EVENTO!$A$2:$C$4999,3,FALSE),"")</f>
        <v>PREFEITURA MUNICIPAL DE ARACATI - ESPORTE E LAZER</v>
      </c>
      <c r="D1069" s="78" t="s">
        <v>1544</v>
      </c>
      <c r="E1069" s="6" t="s">
        <v>1545</v>
      </c>
      <c r="F1069" s="78">
        <v>1.0</v>
      </c>
      <c r="G1069" s="79">
        <v>534.71</v>
      </c>
    </row>
    <row r="1070">
      <c r="A1070" s="6">
        <v>221.0</v>
      </c>
      <c r="B1070" s="76" t="str">
        <f>IFERROR(VLOOKUP($A1070,EVENTO!$A$2:$C$4999,2,FALSE),"")</f>
        <v>ADITIVO DE PRAZO</v>
      </c>
      <c r="C1070" s="76" t="str">
        <f>IFERROR(VLOOKUP($A1070,EVENTO!$A$2:$C$4999,3,FALSE),"")</f>
        <v>PREFEITURA MUNICIPAL DE ARACATI - ESPORTE E LAZER</v>
      </c>
      <c r="D1070" s="78" t="s">
        <v>1458</v>
      </c>
      <c r="E1070" s="6" t="s">
        <v>1535</v>
      </c>
      <c r="F1070" s="78">
        <v>1.0</v>
      </c>
      <c r="G1070" s="79">
        <v>344.75</v>
      </c>
    </row>
    <row r="1071">
      <c r="A1071" s="6">
        <v>221.0</v>
      </c>
      <c r="B1071" s="76" t="str">
        <f>IFERROR(VLOOKUP($A1071,EVENTO!$A$2:$C$4999,2,FALSE),"")</f>
        <v>ADITIVO DE PRAZO</v>
      </c>
      <c r="C1071" s="76" t="str">
        <f>IFERROR(VLOOKUP($A1071,EVENTO!$A$2:$C$4999,3,FALSE),"")</f>
        <v>PREFEITURA MUNICIPAL DE ARACATI - ESPORTE E LAZER</v>
      </c>
      <c r="D1071" s="78" t="s">
        <v>1546</v>
      </c>
      <c r="E1071" s="6" t="s">
        <v>1547</v>
      </c>
      <c r="F1071" s="78">
        <v>1.0</v>
      </c>
      <c r="G1071" s="79">
        <v>270.39</v>
      </c>
    </row>
    <row r="1072">
      <c r="A1072" s="6">
        <v>221.0</v>
      </c>
      <c r="B1072" s="76" t="str">
        <f>IFERROR(VLOOKUP($A1072,EVENTO!$A$2:$C$4999,2,FALSE),"")</f>
        <v>ADITIVO DE PRAZO</v>
      </c>
      <c r="C1072" s="76" t="str">
        <f>IFERROR(VLOOKUP($A1072,EVENTO!$A$2:$C$4999,3,FALSE),"")</f>
        <v>PREFEITURA MUNICIPAL DE ARACATI - ESPORTE E LAZER</v>
      </c>
      <c r="D1072" s="78" t="s">
        <v>1456</v>
      </c>
      <c r="E1072" s="6" t="s">
        <v>1548</v>
      </c>
      <c r="F1072" s="78">
        <v>3.0</v>
      </c>
      <c r="G1072" s="79">
        <v>387.36</v>
      </c>
    </row>
    <row r="1073">
      <c r="A1073" s="6">
        <v>221.0</v>
      </c>
      <c r="B1073" s="76" t="str">
        <f>IFERROR(VLOOKUP($A1073,EVENTO!$A$2:$C$4999,2,FALSE),"")</f>
        <v>ADITIVO DE PRAZO</v>
      </c>
      <c r="C1073" s="76" t="str">
        <f>IFERROR(VLOOKUP($A1073,EVENTO!$A$2:$C$4999,3,FALSE),"")</f>
        <v>PREFEITURA MUNICIPAL DE ARACATI - ESPORTE E LAZER</v>
      </c>
      <c r="D1073" s="78" t="s">
        <v>1549</v>
      </c>
      <c r="E1073" s="6" t="s">
        <v>1550</v>
      </c>
      <c r="F1073" s="78">
        <v>3.0</v>
      </c>
      <c r="G1073" s="79">
        <v>221.78</v>
      </c>
    </row>
    <row r="1074">
      <c r="A1074" s="6">
        <v>221.0</v>
      </c>
      <c r="B1074" s="76" t="str">
        <f>IFERROR(VLOOKUP($A1074,EVENTO!$A$2:$C$4999,2,FALSE),"")</f>
        <v>ADITIVO DE PRAZO</v>
      </c>
      <c r="C1074" s="76" t="str">
        <f>IFERROR(VLOOKUP($A1074,EVENTO!$A$2:$C$4999,3,FALSE),"")</f>
        <v>PREFEITURA MUNICIPAL DE ARACATI - ESPORTE E LAZER</v>
      </c>
      <c r="D1074" s="78" t="s">
        <v>1551</v>
      </c>
      <c r="E1074" s="6" t="s">
        <v>1552</v>
      </c>
      <c r="F1074" s="78">
        <v>2.0</v>
      </c>
      <c r="G1074" s="79">
        <v>173.93</v>
      </c>
    </row>
    <row r="1075">
      <c r="A1075" s="6">
        <v>221.0</v>
      </c>
      <c r="B1075" s="76" t="str">
        <f>IFERROR(VLOOKUP($A1075,EVENTO!$A$2:$C$4999,2,FALSE),"")</f>
        <v>ADITIVO DE PRAZO</v>
      </c>
      <c r="C1075" s="76" t="str">
        <f>IFERROR(VLOOKUP($A1075,EVENTO!$A$2:$C$4999,3,FALSE),"")</f>
        <v>PREFEITURA MUNICIPAL DE ARACATI - ESPORTE E LAZER</v>
      </c>
      <c r="D1075" s="87" t="s">
        <v>1553</v>
      </c>
      <c r="F1075" s="78">
        <v>1.0</v>
      </c>
      <c r="G1075" s="79">
        <v>286.34</v>
      </c>
    </row>
    <row r="1076">
      <c r="A1076" s="6">
        <v>221.0</v>
      </c>
      <c r="B1076" s="76" t="str">
        <f>IFERROR(VLOOKUP($A1076,EVENTO!$A$2:$C$4999,2,FALSE),"")</f>
        <v>ADITIVO DE PRAZO</v>
      </c>
      <c r="C1076" s="76" t="str">
        <f>IFERROR(VLOOKUP($A1076,EVENTO!$A$2:$C$4999,3,FALSE),"")</f>
        <v>PREFEITURA MUNICIPAL DE ARACATI - ESPORTE E LAZER</v>
      </c>
      <c r="D1076" s="87" t="s">
        <v>1487</v>
      </c>
      <c r="F1076" s="78">
        <v>1.0</v>
      </c>
      <c r="G1076" s="79">
        <v>234.7</v>
      </c>
    </row>
    <row r="1077">
      <c r="A1077" s="6">
        <v>221.0</v>
      </c>
      <c r="B1077" s="76" t="str">
        <f>IFERROR(VLOOKUP($A1077,EVENTO!$A$2:$C$4999,2,FALSE),"")</f>
        <v>ADITIVO DE PRAZO</v>
      </c>
      <c r="C1077" s="76" t="str">
        <f>IFERROR(VLOOKUP($A1077,EVENTO!$A$2:$C$4999,3,FALSE),"")</f>
        <v>PREFEITURA MUNICIPAL DE ARACATI - ESPORTE E LAZER</v>
      </c>
      <c r="D1077" s="87" t="s">
        <v>1556</v>
      </c>
      <c r="F1077" s="78">
        <v>1.0</v>
      </c>
      <c r="G1077" s="79">
        <v>148.11</v>
      </c>
    </row>
    <row r="1078">
      <c r="A1078" s="6">
        <v>221.0</v>
      </c>
      <c r="B1078" s="76" t="str">
        <f>IFERROR(VLOOKUP($A1078,EVENTO!$A$2:$C$4999,2,FALSE),"")</f>
        <v>ADITIVO DE PRAZO</v>
      </c>
      <c r="C1078" s="76" t="str">
        <f>IFERROR(VLOOKUP($A1078,EVENTO!$A$2:$C$4999,3,FALSE),"")</f>
        <v>PREFEITURA MUNICIPAL DE ARACATI - ESPORTE E LAZER</v>
      </c>
      <c r="D1078" s="78" t="s">
        <v>1650</v>
      </c>
      <c r="F1078" s="78">
        <v>1.0</v>
      </c>
      <c r="G1078" s="79">
        <v>201.73</v>
      </c>
    </row>
    <row r="1079">
      <c r="A1079" s="6">
        <v>221.0</v>
      </c>
      <c r="B1079" s="76" t="str">
        <f>IFERROR(VLOOKUP($A1079,EVENTO!$A$2:$C$4999,2,FALSE),"")</f>
        <v>ADITIVO DE PRAZO</v>
      </c>
      <c r="C1079" s="76" t="str">
        <f>IFERROR(VLOOKUP($A1079,EVENTO!$A$2:$C$4999,3,FALSE),"")</f>
        <v>PREFEITURA MUNICIPAL DE ARACATI - ESPORTE E LAZER</v>
      </c>
      <c r="D1079" s="78" t="s">
        <v>1560</v>
      </c>
      <c r="F1079" s="78">
        <v>2.0</v>
      </c>
      <c r="G1079" s="79">
        <v>50.3</v>
      </c>
    </row>
    <row r="1080">
      <c r="A1080" s="6">
        <v>221.0</v>
      </c>
      <c r="B1080" s="76" t="str">
        <f>IFERROR(VLOOKUP($A1080,EVENTO!$A$2:$C$4999,2,FALSE),"")</f>
        <v>ADITIVO DE PRAZO</v>
      </c>
      <c r="C1080" s="76" t="str">
        <f>IFERROR(VLOOKUP($A1080,EVENTO!$A$2:$C$4999,3,FALSE),"")</f>
        <v>PREFEITURA MUNICIPAL DE ARACATI - ESPORTE E LAZER</v>
      </c>
      <c r="D1080" s="78" t="s">
        <v>1575</v>
      </c>
      <c r="F1080" s="78">
        <v>1.0</v>
      </c>
      <c r="G1080" s="79">
        <v>13.42</v>
      </c>
    </row>
    <row r="1081">
      <c r="A1081" s="6">
        <v>221.0</v>
      </c>
      <c r="B1081" s="76" t="str">
        <f>IFERROR(VLOOKUP($A1081,EVENTO!$A$2:$C$4999,2,FALSE),"")</f>
        <v>ADITIVO DE PRAZO</v>
      </c>
      <c r="C1081" s="76" t="str">
        <f>IFERROR(VLOOKUP($A1081,EVENTO!$A$2:$C$4999,3,FALSE),"")</f>
        <v>PREFEITURA MUNICIPAL DE ARACATI - ESPORTE E LAZER</v>
      </c>
      <c r="D1081" s="78" t="s">
        <v>1557</v>
      </c>
      <c r="F1081" s="78">
        <v>2.0</v>
      </c>
      <c r="G1081" s="79">
        <v>91.18</v>
      </c>
    </row>
    <row r="1082">
      <c r="A1082" s="6">
        <v>230.0</v>
      </c>
      <c r="B1082" s="76" t="str">
        <f>IFERROR(VLOOKUP($A1082,EVENTO!$A$2:$C$4999,2,FALSE),"")</f>
        <v>ADITIVO DE PRAZO</v>
      </c>
      <c r="C1082" s="76" t="str">
        <f>IFERROR(VLOOKUP($A1082,EVENTO!$A$2:$C$4999,3,FALSE),"")</f>
        <v>PREFEITURA MUNICIPAL DE CANINDE - SECRETARIA DE ASSISTÊNCIA SOCIAL</v>
      </c>
      <c r="D1082" s="78" t="s">
        <v>1562</v>
      </c>
      <c r="E1082" s="6" t="s">
        <v>1563</v>
      </c>
      <c r="F1082" s="78">
        <v>24.0</v>
      </c>
      <c r="G1082" s="79">
        <v>502.37</v>
      </c>
    </row>
    <row r="1083">
      <c r="A1083" s="6">
        <v>230.0</v>
      </c>
      <c r="B1083" s="76" t="str">
        <f>IFERROR(VLOOKUP($A1083,EVENTO!$A$2:$C$4999,2,FALSE),"")</f>
        <v>ADITIVO DE PRAZO</v>
      </c>
      <c r="C1083" s="76" t="str">
        <f>IFERROR(VLOOKUP($A1083,EVENTO!$A$2:$C$4999,3,FALSE),"")</f>
        <v>PREFEITURA MUNICIPAL DE CANINDE - SECRETARIA DE ASSISTÊNCIA SOCIAL</v>
      </c>
      <c r="D1083" s="78" t="s">
        <v>1562</v>
      </c>
      <c r="E1083" s="6" t="s">
        <v>1651</v>
      </c>
      <c r="F1083" s="78">
        <v>84.0</v>
      </c>
      <c r="G1083" s="79">
        <v>350.0</v>
      </c>
    </row>
    <row r="1084">
      <c r="A1084" s="6">
        <v>222.0</v>
      </c>
      <c r="B1084" s="76" t="str">
        <f>IFERROR(VLOOKUP($A1084,EVENTO!$A$2:$C$4999,2,FALSE),"")</f>
        <v>ADITIVO DE PRAZO</v>
      </c>
      <c r="C1084" s="76" t="str">
        <f>IFERROR(VLOOKUP($A1084,EVENTO!$A$2:$C$4999,3,FALSE),"")</f>
        <v>PREFEITURA MUNICIPAL DE ARACATI - ESPORTE E LAZER</v>
      </c>
      <c r="D1084" s="78" t="s">
        <v>1544</v>
      </c>
      <c r="E1084" s="6" t="s">
        <v>1545</v>
      </c>
      <c r="F1084" s="78">
        <v>1.0</v>
      </c>
      <c r="G1084" s="79">
        <v>534.71</v>
      </c>
    </row>
    <row r="1085">
      <c r="A1085" s="6">
        <v>222.0</v>
      </c>
      <c r="B1085" s="76" t="str">
        <f>IFERROR(VLOOKUP($A1085,EVENTO!$A$2:$C$4999,2,FALSE),"")</f>
        <v>ADITIVO DE PRAZO</v>
      </c>
      <c r="C1085" s="76" t="str">
        <f>IFERROR(VLOOKUP($A1085,EVENTO!$A$2:$C$4999,3,FALSE),"")</f>
        <v>PREFEITURA MUNICIPAL DE ARACATI - ESPORTE E LAZER</v>
      </c>
      <c r="D1085" s="78" t="s">
        <v>1458</v>
      </c>
      <c r="E1085" s="6" t="s">
        <v>1535</v>
      </c>
      <c r="F1085" s="78">
        <v>1.0</v>
      </c>
      <c r="G1085" s="79">
        <v>344.75</v>
      </c>
    </row>
    <row r="1086">
      <c r="A1086" s="6">
        <v>222.0</v>
      </c>
      <c r="B1086" s="76" t="str">
        <f>IFERROR(VLOOKUP($A1086,EVENTO!$A$2:$C$4999,2,FALSE),"")</f>
        <v>ADITIVO DE PRAZO</v>
      </c>
      <c r="C1086" s="76" t="str">
        <f>IFERROR(VLOOKUP($A1086,EVENTO!$A$2:$C$4999,3,FALSE),"")</f>
        <v>PREFEITURA MUNICIPAL DE ARACATI - ESPORTE E LAZER</v>
      </c>
      <c r="D1086" s="78" t="s">
        <v>1546</v>
      </c>
      <c r="E1086" s="6" t="s">
        <v>1547</v>
      </c>
      <c r="F1086" s="78">
        <v>1.0</v>
      </c>
      <c r="G1086" s="79">
        <v>270.39</v>
      </c>
    </row>
    <row r="1087">
      <c r="A1087" s="6">
        <v>222.0</v>
      </c>
      <c r="B1087" s="76" t="str">
        <f>IFERROR(VLOOKUP($A1087,EVENTO!$A$2:$C$4999,2,FALSE),"")</f>
        <v>ADITIVO DE PRAZO</v>
      </c>
      <c r="C1087" s="76" t="str">
        <f>IFERROR(VLOOKUP($A1087,EVENTO!$A$2:$C$4999,3,FALSE),"")</f>
        <v>PREFEITURA MUNICIPAL DE ARACATI - ESPORTE E LAZER</v>
      </c>
      <c r="D1087" s="78" t="s">
        <v>1456</v>
      </c>
      <c r="E1087" s="6" t="s">
        <v>1548</v>
      </c>
      <c r="F1087" s="78">
        <v>3.0</v>
      </c>
      <c r="G1087" s="79">
        <v>387.36</v>
      </c>
    </row>
    <row r="1088">
      <c r="A1088" s="6">
        <v>222.0</v>
      </c>
      <c r="B1088" s="76" t="str">
        <f>IFERROR(VLOOKUP($A1088,EVENTO!$A$2:$C$4999,2,FALSE),"")</f>
        <v>ADITIVO DE PRAZO</v>
      </c>
      <c r="C1088" s="76" t="str">
        <f>IFERROR(VLOOKUP($A1088,EVENTO!$A$2:$C$4999,3,FALSE),"")</f>
        <v>PREFEITURA MUNICIPAL DE ARACATI - ESPORTE E LAZER</v>
      </c>
      <c r="D1088" s="78" t="s">
        <v>1549</v>
      </c>
      <c r="E1088" s="6" t="s">
        <v>1550</v>
      </c>
      <c r="F1088" s="78">
        <v>3.0</v>
      </c>
      <c r="G1088" s="79">
        <v>221.78</v>
      </c>
    </row>
    <row r="1089">
      <c r="A1089" s="6">
        <v>222.0</v>
      </c>
      <c r="B1089" s="76" t="str">
        <f>IFERROR(VLOOKUP($A1089,EVENTO!$A$2:$C$4999,2,FALSE),"")</f>
        <v>ADITIVO DE PRAZO</v>
      </c>
      <c r="C1089" s="76" t="str">
        <f>IFERROR(VLOOKUP($A1089,EVENTO!$A$2:$C$4999,3,FALSE),"")</f>
        <v>PREFEITURA MUNICIPAL DE ARACATI - ESPORTE E LAZER</v>
      </c>
      <c r="D1089" s="78" t="s">
        <v>1551</v>
      </c>
      <c r="E1089" s="6" t="s">
        <v>1552</v>
      </c>
      <c r="F1089" s="78">
        <v>2.0</v>
      </c>
      <c r="G1089" s="79">
        <v>173.93</v>
      </c>
    </row>
    <row r="1090">
      <c r="A1090" s="6">
        <v>222.0</v>
      </c>
      <c r="B1090" s="76" t="str">
        <f>IFERROR(VLOOKUP($A1090,EVENTO!$A$2:$C$4999,2,FALSE),"")</f>
        <v>ADITIVO DE PRAZO</v>
      </c>
      <c r="C1090" s="76" t="str">
        <f>IFERROR(VLOOKUP($A1090,EVENTO!$A$2:$C$4999,3,FALSE),"")</f>
        <v>PREFEITURA MUNICIPAL DE ARACATI - ESPORTE E LAZER</v>
      </c>
      <c r="D1090" s="87" t="s">
        <v>1553</v>
      </c>
      <c r="F1090" s="78">
        <v>1.0</v>
      </c>
      <c r="G1090" s="79">
        <v>286.34</v>
      </c>
    </row>
    <row r="1091">
      <c r="A1091" s="6">
        <v>222.0</v>
      </c>
      <c r="B1091" s="76" t="str">
        <f>IFERROR(VLOOKUP($A1091,EVENTO!$A$2:$C$4999,2,FALSE),"")</f>
        <v>ADITIVO DE PRAZO</v>
      </c>
      <c r="C1091" s="76" t="str">
        <f>IFERROR(VLOOKUP($A1091,EVENTO!$A$2:$C$4999,3,FALSE),"")</f>
        <v>PREFEITURA MUNICIPAL DE ARACATI - ESPORTE E LAZER</v>
      </c>
      <c r="D1091" s="87" t="s">
        <v>1487</v>
      </c>
      <c r="F1091" s="78">
        <v>1.0</v>
      </c>
      <c r="G1091" s="79">
        <v>234.7</v>
      </c>
    </row>
    <row r="1092">
      <c r="A1092" s="6">
        <v>222.0</v>
      </c>
      <c r="B1092" s="76" t="str">
        <f>IFERROR(VLOOKUP($A1092,EVENTO!$A$2:$C$4999,2,FALSE),"")</f>
        <v>ADITIVO DE PRAZO</v>
      </c>
      <c r="C1092" s="76" t="str">
        <f>IFERROR(VLOOKUP($A1092,EVENTO!$A$2:$C$4999,3,FALSE),"")</f>
        <v>PREFEITURA MUNICIPAL DE ARACATI - ESPORTE E LAZER</v>
      </c>
      <c r="D1092" s="87" t="s">
        <v>1556</v>
      </c>
      <c r="F1092" s="78">
        <v>1.0</v>
      </c>
      <c r="G1092" s="79">
        <v>148.11</v>
      </c>
    </row>
    <row r="1093">
      <c r="A1093" s="6">
        <v>222.0</v>
      </c>
      <c r="B1093" s="76" t="str">
        <f>IFERROR(VLOOKUP($A1093,EVENTO!$A$2:$C$4999,2,FALSE),"")</f>
        <v>ADITIVO DE PRAZO</v>
      </c>
      <c r="C1093" s="76" t="str">
        <f>IFERROR(VLOOKUP($A1093,EVENTO!$A$2:$C$4999,3,FALSE),"")</f>
        <v>PREFEITURA MUNICIPAL DE ARACATI - ESPORTE E LAZER</v>
      </c>
      <c r="D1093" s="78" t="s">
        <v>1650</v>
      </c>
      <c r="F1093" s="78">
        <v>1.0</v>
      </c>
      <c r="G1093" s="79">
        <v>201.73</v>
      </c>
    </row>
    <row r="1094">
      <c r="A1094" s="6">
        <v>222.0</v>
      </c>
      <c r="B1094" s="76" t="str">
        <f>IFERROR(VLOOKUP($A1094,EVENTO!$A$2:$C$4999,2,FALSE),"")</f>
        <v>ADITIVO DE PRAZO</v>
      </c>
      <c r="C1094" s="76" t="str">
        <f>IFERROR(VLOOKUP($A1094,EVENTO!$A$2:$C$4999,3,FALSE),"")</f>
        <v>PREFEITURA MUNICIPAL DE ARACATI - ESPORTE E LAZER</v>
      </c>
      <c r="D1094" s="78" t="s">
        <v>1560</v>
      </c>
      <c r="F1094" s="78">
        <v>2.0</v>
      </c>
      <c r="G1094" s="79">
        <v>50.3</v>
      </c>
    </row>
    <row r="1095">
      <c r="A1095" s="6">
        <v>222.0</v>
      </c>
      <c r="B1095" s="76" t="str">
        <f>IFERROR(VLOOKUP($A1095,EVENTO!$A$2:$C$4999,2,FALSE),"")</f>
        <v>ADITIVO DE PRAZO</v>
      </c>
      <c r="C1095" s="76" t="str">
        <f>IFERROR(VLOOKUP($A1095,EVENTO!$A$2:$C$4999,3,FALSE),"")</f>
        <v>PREFEITURA MUNICIPAL DE ARACATI - ESPORTE E LAZER</v>
      </c>
      <c r="D1095" s="78" t="s">
        <v>1575</v>
      </c>
      <c r="F1095" s="78">
        <v>1.0</v>
      </c>
      <c r="G1095" s="79">
        <v>13.42</v>
      </c>
    </row>
    <row r="1096">
      <c r="A1096" s="6">
        <v>222.0</v>
      </c>
      <c r="B1096" s="76" t="str">
        <f>IFERROR(VLOOKUP($A1096,EVENTO!$A$2:$C$4999,2,FALSE),"")</f>
        <v>ADITIVO DE PRAZO</v>
      </c>
      <c r="C1096" s="76" t="str">
        <f>IFERROR(VLOOKUP($A1096,EVENTO!$A$2:$C$4999,3,FALSE),"")</f>
        <v>PREFEITURA MUNICIPAL DE ARACATI - ESPORTE E LAZER</v>
      </c>
      <c r="D1096" s="78" t="s">
        <v>1557</v>
      </c>
      <c r="F1096" s="78">
        <v>2.0</v>
      </c>
      <c r="G1096" s="79">
        <v>91.18</v>
      </c>
    </row>
    <row r="1097">
      <c r="A1097" s="6">
        <v>223.0</v>
      </c>
      <c r="B1097" s="76" t="str">
        <f>IFERROR(VLOOKUP($A1097,EVENTO!$A$2:$C$4999,2,FALSE),"")</f>
        <v>ADITIVO DE PRAZO</v>
      </c>
      <c r="C1097" s="76" t="str">
        <f>IFERROR(VLOOKUP($A1097,EVENTO!$A$2:$C$4999,3,FALSE),"")</f>
        <v>PREFEITURA MUNICIPAL DE ARACATI - ESPORTE E LAZER</v>
      </c>
      <c r="D1097" s="78" t="s">
        <v>1544</v>
      </c>
      <c r="E1097" s="6" t="s">
        <v>1545</v>
      </c>
      <c r="F1097" s="78">
        <v>1.0</v>
      </c>
      <c r="G1097" s="79">
        <v>534.71</v>
      </c>
    </row>
    <row r="1098">
      <c r="A1098" s="6">
        <v>223.0</v>
      </c>
      <c r="B1098" s="76" t="str">
        <f>IFERROR(VLOOKUP($A1098,EVENTO!$A$2:$C$4999,2,FALSE),"")</f>
        <v>ADITIVO DE PRAZO</v>
      </c>
      <c r="C1098" s="76" t="str">
        <f>IFERROR(VLOOKUP($A1098,EVENTO!$A$2:$C$4999,3,FALSE),"")</f>
        <v>PREFEITURA MUNICIPAL DE ARACATI - ESPORTE E LAZER</v>
      </c>
      <c r="D1098" s="78" t="s">
        <v>1458</v>
      </c>
      <c r="E1098" s="6" t="s">
        <v>1535</v>
      </c>
      <c r="F1098" s="78">
        <v>1.0</v>
      </c>
      <c r="G1098" s="79">
        <v>344.75</v>
      </c>
    </row>
    <row r="1099">
      <c r="A1099" s="6">
        <v>223.0</v>
      </c>
      <c r="B1099" s="76" t="str">
        <f>IFERROR(VLOOKUP($A1099,EVENTO!$A$2:$C$4999,2,FALSE),"")</f>
        <v>ADITIVO DE PRAZO</v>
      </c>
      <c r="C1099" s="76" t="str">
        <f>IFERROR(VLOOKUP($A1099,EVENTO!$A$2:$C$4999,3,FALSE),"")</f>
        <v>PREFEITURA MUNICIPAL DE ARACATI - ESPORTE E LAZER</v>
      </c>
      <c r="D1099" s="78" t="s">
        <v>1546</v>
      </c>
      <c r="E1099" s="6" t="s">
        <v>1547</v>
      </c>
      <c r="F1099" s="78">
        <v>1.0</v>
      </c>
      <c r="G1099" s="79">
        <v>270.39</v>
      </c>
    </row>
    <row r="1100">
      <c r="A1100" s="6">
        <v>223.0</v>
      </c>
      <c r="B1100" s="76" t="str">
        <f>IFERROR(VLOOKUP($A1100,EVENTO!$A$2:$C$4999,2,FALSE),"")</f>
        <v>ADITIVO DE PRAZO</v>
      </c>
      <c r="C1100" s="76" t="str">
        <f>IFERROR(VLOOKUP($A1100,EVENTO!$A$2:$C$4999,3,FALSE),"")</f>
        <v>PREFEITURA MUNICIPAL DE ARACATI - ESPORTE E LAZER</v>
      </c>
      <c r="D1100" s="78" t="s">
        <v>1456</v>
      </c>
      <c r="E1100" s="6" t="s">
        <v>1548</v>
      </c>
      <c r="F1100" s="78">
        <v>3.0</v>
      </c>
      <c r="G1100" s="79">
        <v>387.36</v>
      </c>
    </row>
    <row r="1101">
      <c r="A1101" s="6">
        <v>223.0</v>
      </c>
      <c r="B1101" s="76" t="str">
        <f>IFERROR(VLOOKUP($A1101,EVENTO!$A$2:$C$4999,2,FALSE),"")</f>
        <v>ADITIVO DE PRAZO</v>
      </c>
      <c r="C1101" s="76" t="str">
        <f>IFERROR(VLOOKUP($A1101,EVENTO!$A$2:$C$4999,3,FALSE),"")</f>
        <v>PREFEITURA MUNICIPAL DE ARACATI - ESPORTE E LAZER</v>
      </c>
      <c r="D1101" s="78" t="s">
        <v>1549</v>
      </c>
      <c r="E1101" s="6" t="s">
        <v>1550</v>
      </c>
      <c r="F1101" s="78">
        <v>3.0</v>
      </c>
      <c r="G1101" s="79">
        <v>221.78</v>
      </c>
    </row>
    <row r="1102">
      <c r="A1102" s="6">
        <v>223.0</v>
      </c>
      <c r="B1102" s="76" t="str">
        <f>IFERROR(VLOOKUP($A1102,EVENTO!$A$2:$C$4999,2,FALSE),"")</f>
        <v>ADITIVO DE PRAZO</v>
      </c>
      <c r="C1102" s="76" t="str">
        <f>IFERROR(VLOOKUP($A1102,EVENTO!$A$2:$C$4999,3,FALSE),"")</f>
        <v>PREFEITURA MUNICIPAL DE ARACATI - ESPORTE E LAZER</v>
      </c>
      <c r="D1102" s="78" t="s">
        <v>1551</v>
      </c>
      <c r="E1102" s="6" t="s">
        <v>1552</v>
      </c>
      <c r="F1102" s="78">
        <v>2.0</v>
      </c>
      <c r="G1102" s="79">
        <v>173.93</v>
      </c>
    </row>
    <row r="1103">
      <c r="A1103" s="6">
        <v>223.0</v>
      </c>
      <c r="B1103" s="76" t="str">
        <f>IFERROR(VLOOKUP($A1103,EVENTO!$A$2:$C$4999,2,FALSE),"")</f>
        <v>ADITIVO DE PRAZO</v>
      </c>
      <c r="C1103" s="76" t="str">
        <f>IFERROR(VLOOKUP($A1103,EVENTO!$A$2:$C$4999,3,FALSE),"")</f>
        <v>PREFEITURA MUNICIPAL DE ARACATI - ESPORTE E LAZER</v>
      </c>
      <c r="D1103" s="87" t="s">
        <v>1553</v>
      </c>
      <c r="F1103" s="78">
        <v>1.0</v>
      </c>
      <c r="G1103" s="79">
        <v>286.34</v>
      </c>
    </row>
    <row r="1104">
      <c r="A1104" s="6">
        <v>223.0</v>
      </c>
      <c r="B1104" s="76" t="str">
        <f>IFERROR(VLOOKUP($A1104,EVENTO!$A$2:$C$4999,2,FALSE),"")</f>
        <v>ADITIVO DE PRAZO</v>
      </c>
      <c r="C1104" s="76" t="str">
        <f>IFERROR(VLOOKUP($A1104,EVENTO!$A$2:$C$4999,3,FALSE),"")</f>
        <v>PREFEITURA MUNICIPAL DE ARACATI - ESPORTE E LAZER</v>
      </c>
      <c r="D1104" s="87" t="s">
        <v>1487</v>
      </c>
      <c r="F1104" s="78">
        <v>1.0</v>
      </c>
      <c r="G1104" s="79">
        <v>234.7</v>
      </c>
    </row>
    <row r="1105">
      <c r="A1105" s="6">
        <v>223.0</v>
      </c>
      <c r="B1105" s="76" t="str">
        <f>IFERROR(VLOOKUP($A1105,EVENTO!$A$2:$C$4999,2,FALSE),"")</f>
        <v>ADITIVO DE PRAZO</v>
      </c>
      <c r="C1105" s="76" t="str">
        <f>IFERROR(VLOOKUP($A1105,EVENTO!$A$2:$C$4999,3,FALSE),"")</f>
        <v>PREFEITURA MUNICIPAL DE ARACATI - ESPORTE E LAZER</v>
      </c>
      <c r="D1105" s="87" t="s">
        <v>1556</v>
      </c>
      <c r="F1105" s="78">
        <v>1.0</v>
      </c>
      <c r="G1105" s="79">
        <v>148.11</v>
      </c>
    </row>
    <row r="1106">
      <c r="A1106" s="6">
        <v>223.0</v>
      </c>
      <c r="B1106" s="76" t="str">
        <f>IFERROR(VLOOKUP($A1106,EVENTO!$A$2:$C$4999,2,FALSE),"")</f>
        <v>ADITIVO DE PRAZO</v>
      </c>
      <c r="C1106" s="76" t="str">
        <f>IFERROR(VLOOKUP($A1106,EVENTO!$A$2:$C$4999,3,FALSE),"")</f>
        <v>PREFEITURA MUNICIPAL DE ARACATI - ESPORTE E LAZER</v>
      </c>
      <c r="D1106" s="78" t="s">
        <v>1650</v>
      </c>
      <c r="F1106" s="78">
        <v>1.0</v>
      </c>
      <c r="G1106" s="79">
        <v>201.73</v>
      </c>
    </row>
    <row r="1107">
      <c r="A1107" s="6">
        <v>223.0</v>
      </c>
      <c r="B1107" s="76" t="str">
        <f>IFERROR(VLOOKUP($A1107,EVENTO!$A$2:$C$4999,2,FALSE),"")</f>
        <v>ADITIVO DE PRAZO</v>
      </c>
      <c r="C1107" s="76" t="str">
        <f>IFERROR(VLOOKUP($A1107,EVENTO!$A$2:$C$4999,3,FALSE),"")</f>
        <v>PREFEITURA MUNICIPAL DE ARACATI - ESPORTE E LAZER</v>
      </c>
      <c r="D1107" s="78" t="s">
        <v>1560</v>
      </c>
      <c r="F1107" s="78">
        <v>2.0</v>
      </c>
      <c r="G1107" s="79">
        <v>50.3</v>
      </c>
    </row>
    <row r="1108">
      <c r="A1108" s="6">
        <v>223.0</v>
      </c>
      <c r="B1108" s="76" t="str">
        <f>IFERROR(VLOOKUP($A1108,EVENTO!$A$2:$C$4999,2,FALSE),"")</f>
        <v>ADITIVO DE PRAZO</v>
      </c>
      <c r="C1108" s="76" t="str">
        <f>IFERROR(VLOOKUP($A1108,EVENTO!$A$2:$C$4999,3,FALSE),"")</f>
        <v>PREFEITURA MUNICIPAL DE ARACATI - ESPORTE E LAZER</v>
      </c>
      <c r="D1108" s="78" t="s">
        <v>1575</v>
      </c>
      <c r="F1108" s="78">
        <v>1.0</v>
      </c>
      <c r="G1108" s="79">
        <v>13.42</v>
      </c>
    </row>
    <row r="1109">
      <c r="A1109" s="6">
        <v>223.0</v>
      </c>
      <c r="B1109" s="76" t="str">
        <f>IFERROR(VLOOKUP($A1109,EVENTO!$A$2:$C$4999,2,FALSE),"")</f>
        <v>ADITIVO DE PRAZO</v>
      </c>
      <c r="C1109" s="76" t="str">
        <f>IFERROR(VLOOKUP($A1109,EVENTO!$A$2:$C$4999,3,FALSE),"")</f>
        <v>PREFEITURA MUNICIPAL DE ARACATI - ESPORTE E LAZER</v>
      </c>
      <c r="D1109" s="78" t="s">
        <v>1557</v>
      </c>
      <c r="F1109" s="78">
        <v>2.0</v>
      </c>
      <c r="G1109" s="79">
        <v>91.18</v>
      </c>
    </row>
    <row r="1110">
      <c r="A1110" s="6">
        <v>231.0</v>
      </c>
      <c r="B1110" s="76" t="str">
        <f>IFERROR(VLOOKUP($A1110,EVENTO!$A$2:$C$4999,2,FALSE),"")</f>
        <v>ADITIVO DE PRAZO</v>
      </c>
      <c r="C1110" s="76" t="str">
        <f>IFERROR(VLOOKUP($A1110,EVENTO!$A$2:$C$4999,3,FALSE),"")</f>
        <v>PREFEITURA MUNICIPAL DE CANINDE - SECRETARIA DE ASSISTÊNCIA SOCIAL</v>
      </c>
      <c r="D1110" s="78" t="s">
        <v>1562</v>
      </c>
      <c r="E1110" s="6" t="s">
        <v>1563</v>
      </c>
      <c r="F1110" s="78">
        <v>24.0</v>
      </c>
      <c r="G1110" s="79">
        <v>502.37</v>
      </c>
    </row>
    <row r="1111">
      <c r="A1111" s="6">
        <v>231.0</v>
      </c>
      <c r="B1111" s="76" t="str">
        <f>IFERROR(VLOOKUP($A1111,EVENTO!$A$2:$C$4999,2,FALSE),"")</f>
        <v>ADITIVO DE PRAZO</v>
      </c>
      <c r="C1111" s="76" t="str">
        <f>IFERROR(VLOOKUP($A1111,EVENTO!$A$2:$C$4999,3,FALSE),"")</f>
        <v>PREFEITURA MUNICIPAL DE CANINDE - SECRETARIA DE ASSISTÊNCIA SOCIAL</v>
      </c>
      <c r="D1111" s="78" t="s">
        <v>1562</v>
      </c>
      <c r="E1111" s="6" t="s">
        <v>1651</v>
      </c>
      <c r="F1111" s="78">
        <v>84.0</v>
      </c>
      <c r="G1111" s="79">
        <v>350.0</v>
      </c>
    </row>
    <row r="1112">
      <c r="A1112" s="6">
        <v>224.0</v>
      </c>
      <c r="B1112" s="76" t="str">
        <f>IFERROR(VLOOKUP($A1112,EVENTO!$A$2:$C$4999,2,FALSE),"")</f>
        <v>ADITIVO DE PRAZO</v>
      </c>
      <c r="C1112" s="76" t="str">
        <f>IFERROR(VLOOKUP($A1112,EVENTO!$A$2:$C$4999,3,FALSE),"")</f>
        <v>PREFEITURA MUNICIPAL DE ARACATI - ESPORTE E LAZER</v>
      </c>
      <c r="D1112" s="78" t="s">
        <v>1544</v>
      </c>
      <c r="E1112" s="6" t="s">
        <v>1545</v>
      </c>
      <c r="F1112" s="78">
        <v>1.0</v>
      </c>
      <c r="G1112" s="79">
        <v>534.71</v>
      </c>
    </row>
    <row r="1113">
      <c r="A1113" s="6">
        <v>224.0</v>
      </c>
      <c r="B1113" s="76" t="str">
        <f>IFERROR(VLOOKUP($A1113,EVENTO!$A$2:$C$4999,2,FALSE),"")</f>
        <v>ADITIVO DE PRAZO</v>
      </c>
      <c r="C1113" s="76" t="str">
        <f>IFERROR(VLOOKUP($A1113,EVENTO!$A$2:$C$4999,3,FALSE),"")</f>
        <v>PREFEITURA MUNICIPAL DE ARACATI - ESPORTE E LAZER</v>
      </c>
      <c r="D1113" s="78" t="s">
        <v>1458</v>
      </c>
      <c r="E1113" s="6" t="s">
        <v>1535</v>
      </c>
      <c r="F1113" s="78">
        <v>1.0</v>
      </c>
      <c r="G1113" s="79">
        <v>344.75</v>
      </c>
    </row>
    <row r="1114">
      <c r="A1114" s="6">
        <v>224.0</v>
      </c>
      <c r="B1114" s="76" t="str">
        <f>IFERROR(VLOOKUP($A1114,EVENTO!$A$2:$C$4999,2,FALSE),"")</f>
        <v>ADITIVO DE PRAZO</v>
      </c>
      <c r="C1114" s="76" t="str">
        <f>IFERROR(VLOOKUP($A1114,EVENTO!$A$2:$C$4999,3,FALSE),"")</f>
        <v>PREFEITURA MUNICIPAL DE ARACATI - ESPORTE E LAZER</v>
      </c>
      <c r="D1114" s="78" t="s">
        <v>1546</v>
      </c>
      <c r="E1114" s="6" t="s">
        <v>1547</v>
      </c>
      <c r="F1114" s="78">
        <v>1.0</v>
      </c>
      <c r="G1114" s="79">
        <v>270.39</v>
      </c>
    </row>
    <row r="1115">
      <c r="A1115" s="6">
        <v>224.0</v>
      </c>
      <c r="B1115" s="76" t="str">
        <f>IFERROR(VLOOKUP($A1115,EVENTO!$A$2:$C$4999,2,FALSE),"")</f>
        <v>ADITIVO DE PRAZO</v>
      </c>
      <c r="C1115" s="76" t="str">
        <f>IFERROR(VLOOKUP($A1115,EVENTO!$A$2:$C$4999,3,FALSE),"")</f>
        <v>PREFEITURA MUNICIPAL DE ARACATI - ESPORTE E LAZER</v>
      </c>
      <c r="D1115" s="78" t="s">
        <v>1456</v>
      </c>
      <c r="E1115" s="6" t="s">
        <v>1548</v>
      </c>
      <c r="F1115" s="78">
        <v>3.0</v>
      </c>
      <c r="G1115" s="79">
        <v>387.36</v>
      </c>
    </row>
    <row r="1116">
      <c r="A1116" s="6">
        <v>224.0</v>
      </c>
      <c r="B1116" s="76" t="str">
        <f>IFERROR(VLOOKUP($A1116,EVENTO!$A$2:$C$4999,2,FALSE),"")</f>
        <v>ADITIVO DE PRAZO</v>
      </c>
      <c r="C1116" s="76" t="str">
        <f>IFERROR(VLOOKUP($A1116,EVENTO!$A$2:$C$4999,3,FALSE),"")</f>
        <v>PREFEITURA MUNICIPAL DE ARACATI - ESPORTE E LAZER</v>
      </c>
      <c r="D1116" s="78" t="s">
        <v>1549</v>
      </c>
      <c r="E1116" s="6" t="s">
        <v>1550</v>
      </c>
      <c r="F1116" s="78">
        <v>3.0</v>
      </c>
      <c r="G1116" s="79">
        <v>221.78</v>
      </c>
    </row>
    <row r="1117">
      <c r="A1117" s="6">
        <v>224.0</v>
      </c>
      <c r="B1117" s="76" t="str">
        <f>IFERROR(VLOOKUP($A1117,EVENTO!$A$2:$C$4999,2,FALSE),"")</f>
        <v>ADITIVO DE PRAZO</v>
      </c>
      <c r="C1117" s="76" t="str">
        <f>IFERROR(VLOOKUP($A1117,EVENTO!$A$2:$C$4999,3,FALSE),"")</f>
        <v>PREFEITURA MUNICIPAL DE ARACATI - ESPORTE E LAZER</v>
      </c>
      <c r="D1117" s="78" t="s">
        <v>1551</v>
      </c>
      <c r="E1117" s="6" t="s">
        <v>1552</v>
      </c>
      <c r="F1117" s="78">
        <v>2.0</v>
      </c>
      <c r="G1117" s="79">
        <v>173.93</v>
      </c>
    </row>
    <row r="1118">
      <c r="A1118" s="6">
        <v>224.0</v>
      </c>
      <c r="B1118" s="76" t="str">
        <f>IFERROR(VLOOKUP($A1118,EVENTO!$A$2:$C$4999,2,FALSE),"")</f>
        <v>ADITIVO DE PRAZO</v>
      </c>
      <c r="C1118" s="76" t="str">
        <f>IFERROR(VLOOKUP($A1118,EVENTO!$A$2:$C$4999,3,FALSE),"")</f>
        <v>PREFEITURA MUNICIPAL DE ARACATI - ESPORTE E LAZER</v>
      </c>
      <c r="D1118" s="87" t="s">
        <v>1553</v>
      </c>
      <c r="F1118" s="78">
        <v>1.0</v>
      </c>
      <c r="G1118" s="79">
        <v>286.34</v>
      </c>
    </row>
    <row r="1119">
      <c r="A1119" s="6">
        <v>224.0</v>
      </c>
      <c r="B1119" s="76" t="str">
        <f>IFERROR(VLOOKUP($A1119,EVENTO!$A$2:$C$4999,2,FALSE),"")</f>
        <v>ADITIVO DE PRAZO</v>
      </c>
      <c r="C1119" s="76" t="str">
        <f>IFERROR(VLOOKUP($A1119,EVENTO!$A$2:$C$4999,3,FALSE),"")</f>
        <v>PREFEITURA MUNICIPAL DE ARACATI - ESPORTE E LAZER</v>
      </c>
      <c r="D1119" s="87" t="s">
        <v>1487</v>
      </c>
      <c r="F1119" s="78">
        <v>1.0</v>
      </c>
      <c r="G1119" s="79">
        <v>234.7</v>
      </c>
    </row>
    <row r="1120">
      <c r="A1120" s="6">
        <v>224.0</v>
      </c>
      <c r="B1120" s="76" t="str">
        <f>IFERROR(VLOOKUP($A1120,EVENTO!$A$2:$C$4999,2,FALSE),"")</f>
        <v>ADITIVO DE PRAZO</v>
      </c>
      <c r="C1120" s="76" t="str">
        <f>IFERROR(VLOOKUP($A1120,EVENTO!$A$2:$C$4999,3,FALSE),"")</f>
        <v>PREFEITURA MUNICIPAL DE ARACATI - ESPORTE E LAZER</v>
      </c>
      <c r="D1120" s="87" t="s">
        <v>1556</v>
      </c>
      <c r="F1120" s="78">
        <v>1.0</v>
      </c>
      <c r="G1120" s="79">
        <v>148.11</v>
      </c>
    </row>
    <row r="1121">
      <c r="A1121" s="6">
        <v>224.0</v>
      </c>
      <c r="B1121" s="76" t="str">
        <f>IFERROR(VLOOKUP($A1121,EVENTO!$A$2:$C$4999,2,FALSE),"")</f>
        <v>ADITIVO DE PRAZO</v>
      </c>
      <c r="C1121" s="76" t="str">
        <f>IFERROR(VLOOKUP($A1121,EVENTO!$A$2:$C$4999,3,FALSE),"")</f>
        <v>PREFEITURA MUNICIPAL DE ARACATI - ESPORTE E LAZER</v>
      </c>
      <c r="D1121" s="78" t="s">
        <v>1650</v>
      </c>
      <c r="F1121" s="78">
        <v>1.0</v>
      </c>
      <c r="G1121" s="79">
        <v>201.73</v>
      </c>
    </row>
    <row r="1122">
      <c r="A1122" s="6">
        <v>224.0</v>
      </c>
      <c r="B1122" s="76" t="str">
        <f>IFERROR(VLOOKUP($A1122,EVENTO!$A$2:$C$4999,2,FALSE),"")</f>
        <v>ADITIVO DE PRAZO</v>
      </c>
      <c r="C1122" s="76" t="str">
        <f>IFERROR(VLOOKUP($A1122,EVENTO!$A$2:$C$4999,3,FALSE),"")</f>
        <v>PREFEITURA MUNICIPAL DE ARACATI - ESPORTE E LAZER</v>
      </c>
      <c r="D1122" s="78" t="s">
        <v>1560</v>
      </c>
      <c r="F1122" s="78">
        <v>2.0</v>
      </c>
      <c r="G1122" s="79">
        <v>50.3</v>
      </c>
    </row>
    <row r="1123">
      <c r="A1123" s="6">
        <v>224.0</v>
      </c>
      <c r="B1123" s="76" t="str">
        <f>IFERROR(VLOOKUP($A1123,EVENTO!$A$2:$C$4999,2,FALSE),"")</f>
        <v>ADITIVO DE PRAZO</v>
      </c>
      <c r="C1123" s="76" t="str">
        <f>IFERROR(VLOOKUP($A1123,EVENTO!$A$2:$C$4999,3,FALSE),"")</f>
        <v>PREFEITURA MUNICIPAL DE ARACATI - ESPORTE E LAZER</v>
      </c>
      <c r="D1123" s="78" t="s">
        <v>1575</v>
      </c>
      <c r="F1123" s="78">
        <v>1.0</v>
      </c>
      <c r="G1123" s="79">
        <v>13.42</v>
      </c>
    </row>
    <row r="1124">
      <c r="A1124" s="6">
        <v>224.0</v>
      </c>
      <c r="B1124" s="76" t="str">
        <f>IFERROR(VLOOKUP($A1124,EVENTO!$A$2:$C$4999,2,FALSE),"")</f>
        <v>ADITIVO DE PRAZO</v>
      </c>
      <c r="C1124" s="76" t="str">
        <f>IFERROR(VLOOKUP($A1124,EVENTO!$A$2:$C$4999,3,FALSE),"")</f>
        <v>PREFEITURA MUNICIPAL DE ARACATI - ESPORTE E LAZER</v>
      </c>
      <c r="D1124" s="78" t="s">
        <v>1557</v>
      </c>
      <c r="F1124" s="78">
        <v>2.0</v>
      </c>
      <c r="G1124" s="79">
        <v>91.18</v>
      </c>
    </row>
    <row r="1125">
      <c r="A1125" s="6">
        <v>232.0</v>
      </c>
      <c r="B1125" s="76" t="str">
        <f>IFERROR(VLOOKUP($A1125,EVENTO!$A$2:$C$4999,2,FALSE),"")</f>
        <v>CADASTRO</v>
      </c>
      <c r="C1125" s="76" t="str">
        <f>IFERROR(VLOOKUP($A1125,EVENTO!$A$2:$C$4999,3,FALSE),"")</f>
        <v>PREFEITURA MUNICIPAL DE ARACATI - FINANÇAS</v>
      </c>
      <c r="D1125" s="78" t="s">
        <v>1544</v>
      </c>
      <c r="E1125" s="6" t="s">
        <v>1545</v>
      </c>
      <c r="F1125" s="78">
        <v>2.0</v>
      </c>
      <c r="G1125" s="79">
        <v>534.71</v>
      </c>
    </row>
    <row r="1126">
      <c r="A1126" s="6">
        <v>232.0</v>
      </c>
      <c r="B1126" s="76" t="str">
        <f>IFERROR(VLOOKUP($A1126,EVENTO!$A$2:$C$4999,2,FALSE),"")</f>
        <v>CADASTRO</v>
      </c>
      <c r="C1126" s="76" t="str">
        <f>IFERROR(VLOOKUP($A1126,EVENTO!$A$2:$C$4999,3,FALSE),"")</f>
        <v>PREFEITURA MUNICIPAL DE ARACATI - FINANÇAS</v>
      </c>
      <c r="D1126" s="78" t="s">
        <v>1458</v>
      </c>
      <c r="E1126" s="6" t="s">
        <v>1535</v>
      </c>
      <c r="F1126" s="78">
        <v>2.0</v>
      </c>
      <c r="G1126" s="79">
        <v>344.75</v>
      </c>
    </row>
    <row r="1127">
      <c r="A1127" s="6">
        <v>232.0</v>
      </c>
      <c r="B1127" s="76" t="str">
        <f>IFERROR(VLOOKUP($A1127,EVENTO!$A$2:$C$4999,2,FALSE),"")</f>
        <v>CADASTRO</v>
      </c>
      <c r="C1127" s="76" t="str">
        <f>IFERROR(VLOOKUP($A1127,EVENTO!$A$2:$C$4999,3,FALSE),"")</f>
        <v>PREFEITURA MUNICIPAL DE ARACATI - FINANÇAS</v>
      </c>
      <c r="D1127" s="78" t="s">
        <v>1546</v>
      </c>
      <c r="E1127" s="6" t="s">
        <v>1547</v>
      </c>
      <c r="F1127" s="78">
        <v>5.0</v>
      </c>
      <c r="G1127" s="79">
        <v>270.39</v>
      </c>
    </row>
    <row r="1128">
      <c r="A1128" s="6">
        <v>232.0</v>
      </c>
      <c r="B1128" s="76" t="str">
        <f>IFERROR(VLOOKUP($A1128,EVENTO!$A$2:$C$4999,2,FALSE),"")</f>
        <v>CADASTRO</v>
      </c>
      <c r="C1128" s="76" t="str">
        <f>IFERROR(VLOOKUP($A1128,EVENTO!$A$2:$C$4999,3,FALSE),"")</f>
        <v>PREFEITURA MUNICIPAL DE ARACATI - FINANÇAS</v>
      </c>
      <c r="D1128" s="78" t="s">
        <v>1456</v>
      </c>
      <c r="E1128" s="6" t="s">
        <v>1548</v>
      </c>
      <c r="F1128" s="78">
        <v>5.0</v>
      </c>
      <c r="G1128" s="79">
        <v>387.36</v>
      </c>
    </row>
    <row r="1129">
      <c r="A1129" s="6">
        <v>232.0</v>
      </c>
      <c r="B1129" s="76" t="str">
        <f>IFERROR(VLOOKUP($A1129,EVENTO!$A$2:$C$4999,2,FALSE),"")</f>
        <v>CADASTRO</v>
      </c>
      <c r="C1129" s="76" t="str">
        <f>IFERROR(VLOOKUP($A1129,EVENTO!$A$2:$C$4999,3,FALSE),"")</f>
        <v>PREFEITURA MUNICIPAL DE ARACATI - FINANÇAS</v>
      </c>
      <c r="D1129" s="78" t="s">
        <v>1549</v>
      </c>
      <c r="E1129" s="6" t="s">
        <v>1550</v>
      </c>
      <c r="F1129" s="78">
        <v>15.0</v>
      </c>
      <c r="G1129" s="79">
        <v>221.78</v>
      </c>
    </row>
    <row r="1130">
      <c r="A1130" s="6">
        <v>232.0</v>
      </c>
      <c r="B1130" s="76" t="str">
        <f>IFERROR(VLOOKUP($A1130,EVENTO!$A$2:$C$4999,2,FALSE),"")</f>
        <v>CADASTRO</v>
      </c>
      <c r="C1130" s="76" t="str">
        <f>IFERROR(VLOOKUP($A1130,EVENTO!$A$2:$C$4999,3,FALSE),"")</f>
        <v>PREFEITURA MUNICIPAL DE ARACATI - FINANÇAS</v>
      </c>
      <c r="D1130" s="78" t="s">
        <v>1551</v>
      </c>
      <c r="E1130" s="6" t="s">
        <v>1552</v>
      </c>
      <c r="F1130" s="78">
        <v>25.0</v>
      </c>
      <c r="G1130" s="79">
        <v>173.93</v>
      </c>
    </row>
    <row r="1131">
      <c r="A1131" s="6">
        <v>232.0</v>
      </c>
      <c r="B1131" s="76" t="str">
        <f>IFERROR(VLOOKUP($A1131,EVENTO!$A$2:$C$4999,2,FALSE),"")</f>
        <v>CADASTRO</v>
      </c>
      <c r="C1131" s="76" t="str">
        <f>IFERROR(VLOOKUP($A1131,EVENTO!$A$2:$C$4999,3,FALSE),"")</f>
        <v>PREFEITURA MUNICIPAL DE ARACATI - FINANÇAS</v>
      </c>
      <c r="D1131" s="87" t="s">
        <v>1553</v>
      </c>
      <c r="F1131" s="78">
        <v>5.0</v>
      </c>
      <c r="G1131" s="79">
        <v>286.34</v>
      </c>
    </row>
    <row r="1132">
      <c r="A1132" s="6">
        <v>232.0</v>
      </c>
      <c r="B1132" s="76" t="str">
        <f>IFERROR(VLOOKUP($A1132,EVENTO!$A$2:$C$4999,2,FALSE),"")</f>
        <v>CADASTRO</v>
      </c>
      <c r="C1132" s="76" t="str">
        <f>IFERROR(VLOOKUP($A1132,EVENTO!$A$2:$C$4999,3,FALSE),"")</f>
        <v>PREFEITURA MUNICIPAL DE ARACATI - FINANÇAS</v>
      </c>
      <c r="D1132" s="87" t="s">
        <v>1487</v>
      </c>
      <c r="F1132" s="78">
        <v>15.0</v>
      </c>
      <c r="G1132" s="79">
        <v>234.7</v>
      </c>
    </row>
    <row r="1133">
      <c r="A1133" s="6">
        <v>232.0</v>
      </c>
      <c r="B1133" s="76" t="str">
        <f>IFERROR(VLOOKUP($A1133,EVENTO!$A$2:$C$4999,2,FALSE),"")</f>
        <v>CADASTRO</v>
      </c>
      <c r="C1133" s="76" t="str">
        <f>IFERROR(VLOOKUP($A1133,EVENTO!$A$2:$C$4999,3,FALSE),"")</f>
        <v>PREFEITURA MUNICIPAL DE ARACATI - FINANÇAS</v>
      </c>
      <c r="D1133" s="87" t="s">
        <v>1556</v>
      </c>
      <c r="F1133" s="78">
        <v>3.0</v>
      </c>
      <c r="G1133" s="79">
        <v>148.11</v>
      </c>
    </row>
    <row r="1134">
      <c r="A1134" s="6">
        <v>232.0</v>
      </c>
      <c r="B1134" s="76" t="str">
        <f>IFERROR(VLOOKUP($A1134,EVENTO!$A$2:$C$4999,2,FALSE),"")</f>
        <v>CADASTRO</v>
      </c>
      <c r="C1134" s="76" t="str">
        <f>IFERROR(VLOOKUP($A1134,EVENTO!$A$2:$C$4999,3,FALSE),"")</f>
        <v>PREFEITURA MUNICIPAL DE ARACATI - FINANÇAS</v>
      </c>
      <c r="D1134" s="78" t="s">
        <v>1650</v>
      </c>
      <c r="F1134" s="78">
        <v>1.0</v>
      </c>
      <c r="G1134" s="79">
        <v>201.73</v>
      </c>
    </row>
    <row r="1135">
      <c r="A1135" s="6">
        <v>232.0</v>
      </c>
      <c r="B1135" s="76" t="str">
        <f>IFERROR(VLOOKUP($A1135,EVENTO!$A$2:$C$4999,2,FALSE),"")</f>
        <v>CADASTRO</v>
      </c>
      <c r="C1135" s="76" t="str">
        <f>IFERROR(VLOOKUP($A1135,EVENTO!$A$2:$C$4999,3,FALSE),"")</f>
        <v>PREFEITURA MUNICIPAL DE ARACATI - FINANÇAS</v>
      </c>
      <c r="D1135" s="78" t="s">
        <v>1580</v>
      </c>
      <c r="F1135" s="78">
        <v>1.0</v>
      </c>
      <c r="G1135" s="79">
        <v>193.47</v>
      </c>
    </row>
    <row r="1136">
      <c r="A1136" s="6">
        <v>232.0</v>
      </c>
      <c r="B1136" s="76" t="str">
        <f>IFERROR(VLOOKUP($A1136,EVENTO!$A$2:$C$4999,2,FALSE),"")</f>
        <v>CADASTRO</v>
      </c>
      <c r="C1136" s="76" t="str">
        <f>IFERROR(VLOOKUP($A1136,EVENTO!$A$2:$C$4999,3,FALSE),"")</f>
        <v>PREFEITURA MUNICIPAL DE ARACATI - FINANÇAS</v>
      </c>
      <c r="D1136" s="78" t="s">
        <v>1560</v>
      </c>
      <c r="F1136" s="78">
        <v>2.0</v>
      </c>
      <c r="G1136" s="79">
        <v>50.3</v>
      </c>
    </row>
    <row r="1137">
      <c r="A1137" s="6">
        <v>232.0</v>
      </c>
      <c r="B1137" s="76" t="str">
        <f>IFERROR(VLOOKUP($A1137,EVENTO!$A$2:$C$4999,2,FALSE),"")</f>
        <v>CADASTRO</v>
      </c>
      <c r="C1137" s="76" t="str">
        <f>IFERROR(VLOOKUP($A1137,EVENTO!$A$2:$C$4999,3,FALSE),"")</f>
        <v>PREFEITURA MUNICIPAL DE ARACATI - FINANÇAS</v>
      </c>
      <c r="D1137" s="78" t="s">
        <v>1575</v>
      </c>
      <c r="F1137" s="78">
        <v>3.0</v>
      </c>
      <c r="G1137" s="79">
        <v>13.42</v>
      </c>
    </row>
    <row r="1138">
      <c r="A1138" s="6">
        <v>232.0</v>
      </c>
      <c r="B1138" s="76" t="str">
        <f>IFERROR(VLOOKUP($A1138,EVENTO!$A$2:$C$4999,2,FALSE),"")</f>
        <v>CADASTRO</v>
      </c>
      <c r="C1138" s="76" t="str">
        <f>IFERROR(VLOOKUP($A1138,EVENTO!$A$2:$C$4999,3,FALSE),"")</f>
        <v>PREFEITURA MUNICIPAL DE ARACATI - FINANÇAS</v>
      </c>
      <c r="D1138" s="78" t="s">
        <v>1557</v>
      </c>
      <c r="F1138" s="78">
        <v>6.0</v>
      </c>
      <c r="G1138" s="79">
        <v>91.18</v>
      </c>
    </row>
    <row r="1139">
      <c r="A1139" s="6">
        <v>232.0</v>
      </c>
      <c r="B1139" s="76" t="str">
        <f>IFERROR(VLOOKUP($A1139,EVENTO!$A$2:$C$4999,2,FALSE),"")</f>
        <v>CADASTRO</v>
      </c>
      <c r="C1139" s="76" t="str">
        <f>IFERROR(VLOOKUP($A1139,EVENTO!$A$2:$C$4999,3,FALSE),"")</f>
        <v>PREFEITURA MUNICIPAL DE ARACATI - FINANÇAS</v>
      </c>
      <c r="D1139" s="78" t="s">
        <v>1538</v>
      </c>
      <c r="F1139" s="78">
        <v>1.0</v>
      </c>
      <c r="G1139" s="79">
        <v>199.46</v>
      </c>
    </row>
    <row r="1140">
      <c r="A1140" s="6">
        <v>232.0</v>
      </c>
      <c r="B1140" s="76" t="str">
        <f>IFERROR(VLOOKUP($A1140,EVENTO!$A$2:$C$4999,2,FALSE),"")</f>
        <v>CADASTRO</v>
      </c>
      <c r="C1140" s="76" t="str">
        <f>IFERROR(VLOOKUP($A1140,EVENTO!$A$2:$C$4999,3,FALSE),"")</f>
        <v>PREFEITURA MUNICIPAL DE ARACATI - FINANÇAS</v>
      </c>
      <c r="D1140" s="78" t="s">
        <v>1540</v>
      </c>
      <c r="F1140" s="78">
        <v>10.0</v>
      </c>
      <c r="G1140" s="79">
        <v>63.8</v>
      </c>
    </row>
    <row r="1141">
      <c r="A1141" s="6">
        <v>232.0</v>
      </c>
      <c r="B1141" s="76" t="str">
        <f>IFERROR(VLOOKUP($A1141,EVENTO!$A$2:$C$4999,2,FALSE),"")</f>
        <v>CADASTRO</v>
      </c>
      <c r="C1141" s="76" t="str">
        <f>IFERROR(VLOOKUP($A1141,EVENTO!$A$2:$C$4999,3,FALSE),"")</f>
        <v>PREFEITURA MUNICIPAL DE ARACATI - FINANÇAS</v>
      </c>
      <c r="D1141" s="78" t="s">
        <v>1644</v>
      </c>
      <c r="F1141" s="78">
        <v>7.0</v>
      </c>
      <c r="G1141" s="91">
        <v>41.95</v>
      </c>
    </row>
    <row r="1142">
      <c r="A1142" s="6">
        <v>233.0</v>
      </c>
      <c r="B1142" s="76" t="str">
        <f>IFERROR(VLOOKUP($A1142,EVENTO!$A$2:$C$4999,2,FALSE),"")</f>
        <v>ADITIVO DE PRAZO</v>
      </c>
      <c r="C1142" s="76" t="str">
        <f>IFERROR(VLOOKUP($A1142,EVENTO!$A$2:$C$4999,3,FALSE),"")</f>
        <v>PREFEITURA MUNICIPAL DE ARACATI - FINANÇAS</v>
      </c>
      <c r="D1142" s="78" t="s">
        <v>1544</v>
      </c>
      <c r="E1142" s="6" t="s">
        <v>1545</v>
      </c>
      <c r="F1142" s="78">
        <v>2.0</v>
      </c>
      <c r="G1142" s="79">
        <v>534.71</v>
      </c>
    </row>
    <row r="1143">
      <c r="A1143" s="6">
        <v>233.0</v>
      </c>
      <c r="B1143" s="76" t="str">
        <f>IFERROR(VLOOKUP($A1143,EVENTO!$A$2:$C$4999,2,FALSE),"")</f>
        <v>ADITIVO DE PRAZO</v>
      </c>
      <c r="C1143" s="76" t="str">
        <f>IFERROR(VLOOKUP($A1143,EVENTO!$A$2:$C$4999,3,FALSE),"")</f>
        <v>PREFEITURA MUNICIPAL DE ARACATI - FINANÇAS</v>
      </c>
      <c r="D1143" s="78" t="s">
        <v>1458</v>
      </c>
      <c r="E1143" s="6" t="s">
        <v>1535</v>
      </c>
      <c r="F1143" s="78">
        <v>2.0</v>
      </c>
      <c r="G1143" s="79">
        <v>344.75</v>
      </c>
    </row>
    <row r="1144">
      <c r="A1144" s="6">
        <v>233.0</v>
      </c>
      <c r="B1144" s="76" t="str">
        <f>IFERROR(VLOOKUP($A1144,EVENTO!$A$2:$C$4999,2,FALSE),"")</f>
        <v>ADITIVO DE PRAZO</v>
      </c>
      <c r="C1144" s="76" t="str">
        <f>IFERROR(VLOOKUP($A1144,EVENTO!$A$2:$C$4999,3,FALSE),"")</f>
        <v>PREFEITURA MUNICIPAL DE ARACATI - FINANÇAS</v>
      </c>
      <c r="D1144" s="78" t="s">
        <v>1546</v>
      </c>
      <c r="E1144" s="6" t="s">
        <v>1547</v>
      </c>
      <c r="F1144" s="78">
        <v>5.0</v>
      </c>
      <c r="G1144" s="79">
        <v>270.39</v>
      </c>
    </row>
    <row r="1145">
      <c r="A1145" s="6">
        <v>233.0</v>
      </c>
      <c r="B1145" s="76" t="str">
        <f>IFERROR(VLOOKUP($A1145,EVENTO!$A$2:$C$4999,2,FALSE),"")</f>
        <v>ADITIVO DE PRAZO</v>
      </c>
      <c r="C1145" s="76" t="str">
        <f>IFERROR(VLOOKUP($A1145,EVENTO!$A$2:$C$4999,3,FALSE),"")</f>
        <v>PREFEITURA MUNICIPAL DE ARACATI - FINANÇAS</v>
      </c>
      <c r="D1145" s="78" t="s">
        <v>1456</v>
      </c>
      <c r="E1145" s="6" t="s">
        <v>1548</v>
      </c>
      <c r="F1145" s="78">
        <v>5.0</v>
      </c>
      <c r="G1145" s="79">
        <v>387.36</v>
      </c>
    </row>
    <row r="1146">
      <c r="A1146" s="6">
        <v>233.0</v>
      </c>
      <c r="B1146" s="76" t="str">
        <f>IFERROR(VLOOKUP($A1146,EVENTO!$A$2:$C$4999,2,FALSE),"")</f>
        <v>ADITIVO DE PRAZO</v>
      </c>
      <c r="C1146" s="76" t="str">
        <f>IFERROR(VLOOKUP($A1146,EVENTO!$A$2:$C$4999,3,FALSE),"")</f>
        <v>PREFEITURA MUNICIPAL DE ARACATI - FINANÇAS</v>
      </c>
      <c r="D1146" s="78" t="s">
        <v>1549</v>
      </c>
      <c r="E1146" s="6" t="s">
        <v>1550</v>
      </c>
      <c r="F1146" s="78">
        <v>15.0</v>
      </c>
      <c r="G1146" s="79">
        <v>221.78</v>
      </c>
    </row>
    <row r="1147">
      <c r="A1147" s="6">
        <v>233.0</v>
      </c>
      <c r="B1147" s="76" t="str">
        <f>IFERROR(VLOOKUP($A1147,EVENTO!$A$2:$C$4999,2,FALSE),"")</f>
        <v>ADITIVO DE PRAZO</v>
      </c>
      <c r="C1147" s="76" t="str">
        <f>IFERROR(VLOOKUP($A1147,EVENTO!$A$2:$C$4999,3,FALSE),"")</f>
        <v>PREFEITURA MUNICIPAL DE ARACATI - FINANÇAS</v>
      </c>
      <c r="D1147" s="78" t="s">
        <v>1551</v>
      </c>
      <c r="E1147" s="6" t="s">
        <v>1552</v>
      </c>
      <c r="F1147" s="78">
        <v>25.0</v>
      </c>
      <c r="G1147" s="79">
        <v>173.93</v>
      </c>
    </row>
    <row r="1148">
      <c r="A1148" s="6">
        <v>233.0</v>
      </c>
      <c r="B1148" s="76" t="str">
        <f>IFERROR(VLOOKUP($A1148,EVENTO!$A$2:$C$4999,2,FALSE),"")</f>
        <v>ADITIVO DE PRAZO</v>
      </c>
      <c r="C1148" s="76" t="str">
        <f>IFERROR(VLOOKUP($A1148,EVENTO!$A$2:$C$4999,3,FALSE),"")</f>
        <v>PREFEITURA MUNICIPAL DE ARACATI - FINANÇAS</v>
      </c>
      <c r="D1148" s="87" t="s">
        <v>1553</v>
      </c>
      <c r="F1148" s="78">
        <v>5.0</v>
      </c>
      <c r="G1148" s="79">
        <v>286.34</v>
      </c>
    </row>
    <row r="1149">
      <c r="A1149" s="6">
        <v>233.0</v>
      </c>
      <c r="B1149" s="76" t="str">
        <f>IFERROR(VLOOKUP($A1149,EVENTO!$A$2:$C$4999,2,FALSE),"")</f>
        <v>ADITIVO DE PRAZO</v>
      </c>
      <c r="C1149" s="76" t="str">
        <f>IFERROR(VLOOKUP($A1149,EVENTO!$A$2:$C$4999,3,FALSE),"")</f>
        <v>PREFEITURA MUNICIPAL DE ARACATI - FINANÇAS</v>
      </c>
      <c r="D1149" s="87" t="s">
        <v>1487</v>
      </c>
      <c r="F1149" s="78">
        <v>15.0</v>
      </c>
      <c r="G1149" s="79">
        <v>234.7</v>
      </c>
    </row>
    <row r="1150">
      <c r="A1150" s="6">
        <v>233.0</v>
      </c>
      <c r="B1150" s="76" t="str">
        <f>IFERROR(VLOOKUP($A1150,EVENTO!$A$2:$C$4999,2,FALSE),"")</f>
        <v>ADITIVO DE PRAZO</v>
      </c>
      <c r="C1150" s="76" t="str">
        <f>IFERROR(VLOOKUP($A1150,EVENTO!$A$2:$C$4999,3,FALSE),"")</f>
        <v>PREFEITURA MUNICIPAL DE ARACATI - FINANÇAS</v>
      </c>
      <c r="D1150" s="87" t="s">
        <v>1556</v>
      </c>
      <c r="F1150" s="78">
        <v>3.0</v>
      </c>
      <c r="G1150" s="79">
        <v>148.11</v>
      </c>
    </row>
    <row r="1151">
      <c r="A1151" s="6">
        <v>233.0</v>
      </c>
      <c r="B1151" s="76" t="str">
        <f>IFERROR(VLOOKUP($A1151,EVENTO!$A$2:$C$4999,2,FALSE),"")</f>
        <v>ADITIVO DE PRAZO</v>
      </c>
      <c r="C1151" s="76" t="str">
        <f>IFERROR(VLOOKUP($A1151,EVENTO!$A$2:$C$4999,3,FALSE),"")</f>
        <v>PREFEITURA MUNICIPAL DE ARACATI - FINANÇAS</v>
      </c>
      <c r="D1151" s="78" t="s">
        <v>1650</v>
      </c>
      <c r="F1151" s="78">
        <v>1.0</v>
      </c>
      <c r="G1151" s="79">
        <v>201.73</v>
      </c>
    </row>
    <row r="1152">
      <c r="A1152" s="6">
        <v>233.0</v>
      </c>
      <c r="B1152" s="76" t="str">
        <f>IFERROR(VLOOKUP($A1152,EVENTO!$A$2:$C$4999,2,FALSE),"")</f>
        <v>ADITIVO DE PRAZO</v>
      </c>
      <c r="C1152" s="76" t="str">
        <f>IFERROR(VLOOKUP($A1152,EVENTO!$A$2:$C$4999,3,FALSE),"")</f>
        <v>PREFEITURA MUNICIPAL DE ARACATI - FINANÇAS</v>
      </c>
      <c r="D1152" s="78" t="s">
        <v>1580</v>
      </c>
      <c r="F1152" s="78">
        <v>1.0</v>
      </c>
      <c r="G1152" s="79">
        <v>193.47</v>
      </c>
    </row>
    <row r="1153">
      <c r="A1153" s="6">
        <v>233.0</v>
      </c>
      <c r="B1153" s="76" t="str">
        <f>IFERROR(VLOOKUP($A1153,EVENTO!$A$2:$C$4999,2,FALSE),"")</f>
        <v>ADITIVO DE PRAZO</v>
      </c>
      <c r="C1153" s="76" t="str">
        <f>IFERROR(VLOOKUP($A1153,EVENTO!$A$2:$C$4999,3,FALSE),"")</f>
        <v>PREFEITURA MUNICIPAL DE ARACATI - FINANÇAS</v>
      </c>
      <c r="D1153" s="78" t="s">
        <v>1560</v>
      </c>
      <c r="F1153" s="78">
        <v>2.0</v>
      </c>
      <c r="G1153" s="79">
        <v>50.3</v>
      </c>
    </row>
    <row r="1154">
      <c r="A1154" s="6">
        <v>233.0</v>
      </c>
      <c r="B1154" s="76" t="str">
        <f>IFERROR(VLOOKUP($A1154,EVENTO!$A$2:$C$4999,2,FALSE),"")</f>
        <v>ADITIVO DE PRAZO</v>
      </c>
      <c r="C1154" s="76" t="str">
        <f>IFERROR(VLOOKUP($A1154,EVENTO!$A$2:$C$4999,3,FALSE),"")</f>
        <v>PREFEITURA MUNICIPAL DE ARACATI - FINANÇAS</v>
      </c>
      <c r="D1154" s="78" t="s">
        <v>1575</v>
      </c>
      <c r="F1154" s="78">
        <v>3.0</v>
      </c>
      <c r="G1154" s="79">
        <v>13.42</v>
      </c>
    </row>
    <row r="1155">
      <c r="A1155" s="6">
        <v>233.0</v>
      </c>
      <c r="B1155" s="76" t="str">
        <f>IFERROR(VLOOKUP($A1155,EVENTO!$A$2:$C$4999,2,FALSE),"")</f>
        <v>ADITIVO DE PRAZO</v>
      </c>
      <c r="C1155" s="76" t="str">
        <f>IFERROR(VLOOKUP($A1155,EVENTO!$A$2:$C$4999,3,FALSE),"")</f>
        <v>PREFEITURA MUNICIPAL DE ARACATI - FINANÇAS</v>
      </c>
      <c r="D1155" s="78" t="s">
        <v>1557</v>
      </c>
      <c r="F1155" s="78">
        <v>6.0</v>
      </c>
      <c r="G1155" s="79">
        <v>91.18</v>
      </c>
    </row>
    <row r="1156">
      <c r="A1156" s="6">
        <v>233.0</v>
      </c>
      <c r="B1156" s="76" t="str">
        <f>IFERROR(VLOOKUP($A1156,EVENTO!$A$2:$C$4999,2,FALSE),"")</f>
        <v>ADITIVO DE PRAZO</v>
      </c>
      <c r="C1156" s="76" t="str">
        <f>IFERROR(VLOOKUP($A1156,EVENTO!$A$2:$C$4999,3,FALSE),"")</f>
        <v>PREFEITURA MUNICIPAL DE ARACATI - FINANÇAS</v>
      </c>
      <c r="D1156" s="78" t="s">
        <v>1538</v>
      </c>
      <c r="F1156" s="78">
        <v>1.0</v>
      </c>
      <c r="G1156" s="79">
        <v>199.46</v>
      </c>
    </row>
    <row r="1157">
      <c r="A1157" s="6">
        <v>233.0</v>
      </c>
      <c r="B1157" s="76" t="str">
        <f>IFERROR(VLOOKUP($A1157,EVENTO!$A$2:$C$4999,2,FALSE),"")</f>
        <v>ADITIVO DE PRAZO</v>
      </c>
      <c r="C1157" s="76" t="str">
        <f>IFERROR(VLOOKUP($A1157,EVENTO!$A$2:$C$4999,3,FALSE),"")</f>
        <v>PREFEITURA MUNICIPAL DE ARACATI - FINANÇAS</v>
      </c>
      <c r="D1157" s="78" t="s">
        <v>1540</v>
      </c>
      <c r="F1157" s="78">
        <v>10.0</v>
      </c>
      <c r="G1157" s="79">
        <v>63.8</v>
      </c>
    </row>
    <row r="1158">
      <c r="A1158" s="6">
        <v>233.0</v>
      </c>
      <c r="B1158" s="76" t="str">
        <f>IFERROR(VLOOKUP($A1158,EVENTO!$A$2:$C$4999,2,FALSE),"")</f>
        <v>ADITIVO DE PRAZO</v>
      </c>
      <c r="C1158" s="76" t="str">
        <f>IFERROR(VLOOKUP($A1158,EVENTO!$A$2:$C$4999,3,FALSE),"")</f>
        <v>PREFEITURA MUNICIPAL DE ARACATI - FINANÇAS</v>
      </c>
      <c r="D1158" s="78" t="s">
        <v>1644</v>
      </c>
      <c r="F1158" s="78">
        <v>7.0</v>
      </c>
      <c r="G1158" s="91">
        <v>41.95</v>
      </c>
    </row>
    <row r="1159">
      <c r="A1159" s="6">
        <v>234.0</v>
      </c>
      <c r="B1159" s="76" t="str">
        <f>IFERROR(VLOOKUP($A1159,EVENTO!$A$2:$C$4999,2,FALSE),"")</f>
        <v>ADITIVO DE PRAZO</v>
      </c>
      <c r="C1159" s="76" t="str">
        <f>IFERROR(VLOOKUP($A1159,EVENTO!$A$2:$C$4999,3,FALSE),"")</f>
        <v>PREFEITURA MUNICIPAL DE ARACATI - FINANÇAS</v>
      </c>
      <c r="D1159" s="78" t="s">
        <v>1544</v>
      </c>
      <c r="E1159" s="6" t="s">
        <v>1545</v>
      </c>
      <c r="F1159" s="78">
        <v>2.0</v>
      </c>
      <c r="G1159" s="79">
        <v>534.71</v>
      </c>
    </row>
    <row r="1160">
      <c r="A1160" s="6">
        <v>234.0</v>
      </c>
      <c r="B1160" s="76" t="str">
        <f>IFERROR(VLOOKUP($A1160,EVENTO!$A$2:$C$4999,2,FALSE),"")</f>
        <v>ADITIVO DE PRAZO</v>
      </c>
      <c r="C1160" s="76" t="str">
        <f>IFERROR(VLOOKUP($A1160,EVENTO!$A$2:$C$4999,3,FALSE),"")</f>
        <v>PREFEITURA MUNICIPAL DE ARACATI - FINANÇAS</v>
      </c>
      <c r="D1160" s="78" t="s">
        <v>1458</v>
      </c>
      <c r="E1160" s="6" t="s">
        <v>1535</v>
      </c>
      <c r="F1160" s="78">
        <v>2.0</v>
      </c>
      <c r="G1160" s="79">
        <v>344.75</v>
      </c>
    </row>
    <row r="1161">
      <c r="A1161" s="6">
        <v>234.0</v>
      </c>
      <c r="B1161" s="76" t="str">
        <f>IFERROR(VLOOKUP($A1161,EVENTO!$A$2:$C$4999,2,FALSE),"")</f>
        <v>ADITIVO DE PRAZO</v>
      </c>
      <c r="C1161" s="76" t="str">
        <f>IFERROR(VLOOKUP($A1161,EVENTO!$A$2:$C$4999,3,FALSE),"")</f>
        <v>PREFEITURA MUNICIPAL DE ARACATI - FINANÇAS</v>
      </c>
      <c r="D1161" s="78" t="s">
        <v>1546</v>
      </c>
      <c r="E1161" s="6" t="s">
        <v>1547</v>
      </c>
      <c r="F1161" s="78">
        <v>5.0</v>
      </c>
      <c r="G1161" s="79">
        <v>270.39</v>
      </c>
    </row>
    <row r="1162">
      <c r="A1162" s="6">
        <v>234.0</v>
      </c>
      <c r="B1162" s="76" t="str">
        <f>IFERROR(VLOOKUP($A1162,EVENTO!$A$2:$C$4999,2,FALSE),"")</f>
        <v>ADITIVO DE PRAZO</v>
      </c>
      <c r="C1162" s="76" t="str">
        <f>IFERROR(VLOOKUP($A1162,EVENTO!$A$2:$C$4999,3,FALSE),"")</f>
        <v>PREFEITURA MUNICIPAL DE ARACATI - FINANÇAS</v>
      </c>
      <c r="D1162" s="78" t="s">
        <v>1456</v>
      </c>
      <c r="E1162" s="6" t="s">
        <v>1548</v>
      </c>
      <c r="F1162" s="78">
        <v>5.0</v>
      </c>
      <c r="G1162" s="79">
        <v>387.36</v>
      </c>
    </row>
    <row r="1163">
      <c r="A1163" s="6">
        <v>234.0</v>
      </c>
      <c r="B1163" s="76" t="str">
        <f>IFERROR(VLOOKUP($A1163,EVENTO!$A$2:$C$4999,2,FALSE),"")</f>
        <v>ADITIVO DE PRAZO</v>
      </c>
      <c r="C1163" s="76" t="str">
        <f>IFERROR(VLOOKUP($A1163,EVENTO!$A$2:$C$4999,3,FALSE),"")</f>
        <v>PREFEITURA MUNICIPAL DE ARACATI - FINANÇAS</v>
      </c>
      <c r="D1163" s="78" t="s">
        <v>1549</v>
      </c>
      <c r="E1163" s="6" t="s">
        <v>1550</v>
      </c>
      <c r="F1163" s="78">
        <v>15.0</v>
      </c>
      <c r="G1163" s="79">
        <v>221.78</v>
      </c>
    </row>
    <row r="1164">
      <c r="A1164" s="6">
        <v>234.0</v>
      </c>
      <c r="B1164" s="76" t="str">
        <f>IFERROR(VLOOKUP($A1164,EVENTO!$A$2:$C$4999,2,FALSE),"")</f>
        <v>ADITIVO DE PRAZO</v>
      </c>
      <c r="C1164" s="76" t="str">
        <f>IFERROR(VLOOKUP($A1164,EVENTO!$A$2:$C$4999,3,FALSE),"")</f>
        <v>PREFEITURA MUNICIPAL DE ARACATI - FINANÇAS</v>
      </c>
      <c r="D1164" s="78" t="s">
        <v>1551</v>
      </c>
      <c r="E1164" s="6" t="s">
        <v>1552</v>
      </c>
      <c r="F1164" s="78">
        <v>25.0</v>
      </c>
      <c r="G1164" s="79">
        <v>173.93</v>
      </c>
    </row>
    <row r="1165">
      <c r="A1165" s="6">
        <v>234.0</v>
      </c>
      <c r="B1165" s="76" t="str">
        <f>IFERROR(VLOOKUP($A1165,EVENTO!$A$2:$C$4999,2,FALSE),"")</f>
        <v>ADITIVO DE PRAZO</v>
      </c>
      <c r="C1165" s="76" t="str">
        <f>IFERROR(VLOOKUP($A1165,EVENTO!$A$2:$C$4999,3,FALSE),"")</f>
        <v>PREFEITURA MUNICIPAL DE ARACATI - FINANÇAS</v>
      </c>
      <c r="D1165" s="87" t="s">
        <v>1553</v>
      </c>
      <c r="F1165" s="78">
        <v>5.0</v>
      </c>
      <c r="G1165" s="79">
        <v>286.34</v>
      </c>
    </row>
    <row r="1166">
      <c r="A1166" s="6">
        <v>234.0</v>
      </c>
      <c r="B1166" s="76" t="str">
        <f>IFERROR(VLOOKUP($A1166,EVENTO!$A$2:$C$4999,2,FALSE),"")</f>
        <v>ADITIVO DE PRAZO</v>
      </c>
      <c r="C1166" s="76" t="str">
        <f>IFERROR(VLOOKUP($A1166,EVENTO!$A$2:$C$4999,3,FALSE),"")</f>
        <v>PREFEITURA MUNICIPAL DE ARACATI - FINANÇAS</v>
      </c>
      <c r="D1166" s="87" t="s">
        <v>1487</v>
      </c>
      <c r="F1166" s="78">
        <v>15.0</v>
      </c>
      <c r="G1166" s="79">
        <v>234.7</v>
      </c>
    </row>
    <row r="1167">
      <c r="A1167" s="6">
        <v>234.0</v>
      </c>
      <c r="B1167" s="76" t="str">
        <f>IFERROR(VLOOKUP($A1167,EVENTO!$A$2:$C$4999,2,FALSE),"")</f>
        <v>ADITIVO DE PRAZO</v>
      </c>
      <c r="C1167" s="76" t="str">
        <f>IFERROR(VLOOKUP($A1167,EVENTO!$A$2:$C$4999,3,FALSE),"")</f>
        <v>PREFEITURA MUNICIPAL DE ARACATI - FINANÇAS</v>
      </c>
      <c r="D1167" s="87" t="s">
        <v>1556</v>
      </c>
      <c r="F1167" s="78">
        <v>3.0</v>
      </c>
      <c r="G1167" s="79">
        <v>148.11</v>
      </c>
    </row>
    <row r="1168">
      <c r="A1168" s="6">
        <v>234.0</v>
      </c>
      <c r="B1168" s="76" t="str">
        <f>IFERROR(VLOOKUP($A1168,EVENTO!$A$2:$C$4999,2,FALSE),"")</f>
        <v>ADITIVO DE PRAZO</v>
      </c>
      <c r="C1168" s="76" t="str">
        <f>IFERROR(VLOOKUP($A1168,EVENTO!$A$2:$C$4999,3,FALSE),"")</f>
        <v>PREFEITURA MUNICIPAL DE ARACATI - FINANÇAS</v>
      </c>
      <c r="D1168" s="78" t="s">
        <v>1650</v>
      </c>
      <c r="F1168" s="78">
        <v>1.0</v>
      </c>
      <c r="G1168" s="79">
        <v>201.73</v>
      </c>
    </row>
    <row r="1169">
      <c r="A1169" s="6">
        <v>234.0</v>
      </c>
      <c r="B1169" s="76" t="str">
        <f>IFERROR(VLOOKUP($A1169,EVENTO!$A$2:$C$4999,2,FALSE),"")</f>
        <v>ADITIVO DE PRAZO</v>
      </c>
      <c r="C1169" s="76" t="str">
        <f>IFERROR(VLOOKUP($A1169,EVENTO!$A$2:$C$4999,3,FALSE),"")</f>
        <v>PREFEITURA MUNICIPAL DE ARACATI - FINANÇAS</v>
      </c>
      <c r="D1169" s="78" t="s">
        <v>1580</v>
      </c>
      <c r="F1169" s="78">
        <v>1.0</v>
      </c>
      <c r="G1169" s="79">
        <v>193.47</v>
      </c>
    </row>
    <row r="1170">
      <c r="A1170" s="6">
        <v>234.0</v>
      </c>
      <c r="B1170" s="76" t="str">
        <f>IFERROR(VLOOKUP($A1170,EVENTO!$A$2:$C$4999,2,FALSE),"")</f>
        <v>ADITIVO DE PRAZO</v>
      </c>
      <c r="C1170" s="76" t="str">
        <f>IFERROR(VLOOKUP($A1170,EVENTO!$A$2:$C$4999,3,FALSE),"")</f>
        <v>PREFEITURA MUNICIPAL DE ARACATI - FINANÇAS</v>
      </c>
      <c r="D1170" s="78" t="s">
        <v>1560</v>
      </c>
      <c r="F1170" s="78">
        <v>2.0</v>
      </c>
      <c r="G1170" s="79">
        <v>50.3</v>
      </c>
    </row>
    <row r="1171">
      <c r="A1171" s="6">
        <v>234.0</v>
      </c>
      <c r="B1171" s="76" t="str">
        <f>IFERROR(VLOOKUP($A1171,EVENTO!$A$2:$C$4999,2,FALSE),"")</f>
        <v>ADITIVO DE PRAZO</v>
      </c>
      <c r="C1171" s="76" t="str">
        <f>IFERROR(VLOOKUP($A1171,EVENTO!$A$2:$C$4999,3,FALSE),"")</f>
        <v>PREFEITURA MUNICIPAL DE ARACATI - FINANÇAS</v>
      </c>
      <c r="D1171" s="78" t="s">
        <v>1575</v>
      </c>
      <c r="F1171" s="78">
        <v>3.0</v>
      </c>
      <c r="G1171" s="79">
        <v>13.42</v>
      </c>
    </row>
    <row r="1172">
      <c r="A1172" s="6">
        <v>234.0</v>
      </c>
      <c r="B1172" s="76" t="str">
        <f>IFERROR(VLOOKUP($A1172,EVENTO!$A$2:$C$4999,2,FALSE),"")</f>
        <v>ADITIVO DE PRAZO</v>
      </c>
      <c r="C1172" s="76" t="str">
        <f>IFERROR(VLOOKUP($A1172,EVENTO!$A$2:$C$4999,3,FALSE),"")</f>
        <v>PREFEITURA MUNICIPAL DE ARACATI - FINANÇAS</v>
      </c>
      <c r="D1172" s="78" t="s">
        <v>1557</v>
      </c>
      <c r="F1172" s="78">
        <v>6.0</v>
      </c>
      <c r="G1172" s="79">
        <v>91.18</v>
      </c>
    </row>
    <row r="1173">
      <c r="A1173" s="6">
        <v>234.0</v>
      </c>
      <c r="B1173" s="76" t="str">
        <f>IFERROR(VLOOKUP($A1173,EVENTO!$A$2:$C$4999,2,FALSE),"")</f>
        <v>ADITIVO DE PRAZO</v>
      </c>
      <c r="C1173" s="76" t="str">
        <f>IFERROR(VLOOKUP($A1173,EVENTO!$A$2:$C$4999,3,FALSE),"")</f>
        <v>PREFEITURA MUNICIPAL DE ARACATI - FINANÇAS</v>
      </c>
      <c r="D1173" s="78" t="s">
        <v>1538</v>
      </c>
      <c r="F1173" s="78">
        <v>1.0</v>
      </c>
      <c r="G1173" s="79">
        <v>199.46</v>
      </c>
    </row>
    <row r="1174">
      <c r="A1174" s="6">
        <v>234.0</v>
      </c>
      <c r="B1174" s="76" t="str">
        <f>IFERROR(VLOOKUP($A1174,EVENTO!$A$2:$C$4999,2,FALSE),"")</f>
        <v>ADITIVO DE PRAZO</v>
      </c>
      <c r="C1174" s="76" t="str">
        <f>IFERROR(VLOOKUP($A1174,EVENTO!$A$2:$C$4999,3,FALSE),"")</f>
        <v>PREFEITURA MUNICIPAL DE ARACATI - FINANÇAS</v>
      </c>
      <c r="D1174" s="78" t="s">
        <v>1540</v>
      </c>
      <c r="F1174" s="78">
        <v>10.0</v>
      </c>
      <c r="G1174" s="79">
        <v>63.8</v>
      </c>
    </row>
    <row r="1175">
      <c r="A1175" s="6">
        <v>234.0</v>
      </c>
      <c r="B1175" s="76" t="str">
        <f>IFERROR(VLOOKUP($A1175,EVENTO!$A$2:$C$4999,2,FALSE),"")</f>
        <v>ADITIVO DE PRAZO</v>
      </c>
      <c r="C1175" s="76" t="str">
        <f>IFERROR(VLOOKUP($A1175,EVENTO!$A$2:$C$4999,3,FALSE),"")</f>
        <v>PREFEITURA MUNICIPAL DE ARACATI - FINANÇAS</v>
      </c>
      <c r="D1175" s="78" t="s">
        <v>1644</v>
      </c>
      <c r="F1175" s="78">
        <v>7.0</v>
      </c>
      <c r="G1175" s="91">
        <v>41.95</v>
      </c>
    </row>
    <row r="1176">
      <c r="A1176" s="6">
        <v>235.0</v>
      </c>
      <c r="B1176" s="76" t="str">
        <f>IFERROR(VLOOKUP($A1176,EVENTO!$A$2:$C$4999,2,FALSE),"")</f>
        <v>ADITIVO DE PRAZO</v>
      </c>
      <c r="C1176" s="76" t="str">
        <f>IFERROR(VLOOKUP($A1176,EVENTO!$A$2:$C$4999,3,FALSE),"")</f>
        <v>PREFEITURA MUNICIPAL DE ARACATI - FINANÇAS</v>
      </c>
      <c r="D1176" s="78" t="s">
        <v>1544</v>
      </c>
      <c r="E1176" s="6" t="s">
        <v>1545</v>
      </c>
      <c r="F1176" s="78">
        <v>2.0</v>
      </c>
      <c r="G1176" s="79">
        <v>534.71</v>
      </c>
    </row>
    <row r="1177">
      <c r="A1177" s="6">
        <v>235.0</v>
      </c>
      <c r="B1177" s="76" t="str">
        <f>IFERROR(VLOOKUP($A1177,EVENTO!$A$2:$C$4999,2,FALSE),"")</f>
        <v>ADITIVO DE PRAZO</v>
      </c>
      <c r="C1177" s="76" t="str">
        <f>IFERROR(VLOOKUP($A1177,EVENTO!$A$2:$C$4999,3,FALSE),"")</f>
        <v>PREFEITURA MUNICIPAL DE ARACATI - FINANÇAS</v>
      </c>
      <c r="D1177" s="78" t="s">
        <v>1458</v>
      </c>
      <c r="E1177" s="6" t="s">
        <v>1535</v>
      </c>
      <c r="F1177" s="78">
        <v>2.0</v>
      </c>
      <c r="G1177" s="79">
        <v>344.75</v>
      </c>
    </row>
    <row r="1178">
      <c r="A1178" s="6">
        <v>235.0</v>
      </c>
      <c r="B1178" s="76" t="str">
        <f>IFERROR(VLOOKUP($A1178,EVENTO!$A$2:$C$4999,2,FALSE),"")</f>
        <v>ADITIVO DE PRAZO</v>
      </c>
      <c r="C1178" s="76" t="str">
        <f>IFERROR(VLOOKUP($A1178,EVENTO!$A$2:$C$4999,3,FALSE),"")</f>
        <v>PREFEITURA MUNICIPAL DE ARACATI - FINANÇAS</v>
      </c>
      <c r="D1178" s="78" t="s">
        <v>1546</v>
      </c>
      <c r="E1178" s="6" t="s">
        <v>1547</v>
      </c>
      <c r="F1178" s="78">
        <v>5.0</v>
      </c>
      <c r="G1178" s="79">
        <v>270.39</v>
      </c>
    </row>
    <row r="1179">
      <c r="A1179" s="6">
        <v>235.0</v>
      </c>
      <c r="B1179" s="76" t="str">
        <f>IFERROR(VLOOKUP($A1179,EVENTO!$A$2:$C$4999,2,FALSE),"")</f>
        <v>ADITIVO DE PRAZO</v>
      </c>
      <c r="C1179" s="76" t="str">
        <f>IFERROR(VLOOKUP($A1179,EVENTO!$A$2:$C$4999,3,FALSE),"")</f>
        <v>PREFEITURA MUNICIPAL DE ARACATI - FINANÇAS</v>
      </c>
      <c r="D1179" s="78" t="s">
        <v>1456</v>
      </c>
      <c r="E1179" s="6" t="s">
        <v>1548</v>
      </c>
      <c r="F1179" s="78">
        <v>5.0</v>
      </c>
      <c r="G1179" s="79">
        <v>387.36</v>
      </c>
    </row>
    <row r="1180">
      <c r="A1180" s="6">
        <v>235.0</v>
      </c>
      <c r="B1180" s="76" t="str">
        <f>IFERROR(VLOOKUP($A1180,EVENTO!$A$2:$C$4999,2,FALSE),"")</f>
        <v>ADITIVO DE PRAZO</v>
      </c>
      <c r="C1180" s="76" t="str">
        <f>IFERROR(VLOOKUP($A1180,EVENTO!$A$2:$C$4999,3,FALSE),"")</f>
        <v>PREFEITURA MUNICIPAL DE ARACATI - FINANÇAS</v>
      </c>
      <c r="D1180" s="78" t="s">
        <v>1549</v>
      </c>
      <c r="E1180" s="6" t="s">
        <v>1550</v>
      </c>
      <c r="F1180" s="78">
        <v>15.0</v>
      </c>
      <c r="G1180" s="79">
        <v>221.78</v>
      </c>
    </row>
    <row r="1181">
      <c r="A1181" s="6">
        <v>235.0</v>
      </c>
      <c r="B1181" s="76" t="str">
        <f>IFERROR(VLOOKUP($A1181,EVENTO!$A$2:$C$4999,2,FALSE),"")</f>
        <v>ADITIVO DE PRAZO</v>
      </c>
      <c r="C1181" s="76" t="str">
        <f>IFERROR(VLOOKUP($A1181,EVENTO!$A$2:$C$4999,3,FALSE),"")</f>
        <v>PREFEITURA MUNICIPAL DE ARACATI - FINANÇAS</v>
      </c>
      <c r="D1181" s="78" t="s">
        <v>1551</v>
      </c>
      <c r="E1181" s="6" t="s">
        <v>1552</v>
      </c>
      <c r="F1181" s="78">
        <v>25.0</v>
      </c>
      <c r="G1181" s="79">
        <v>173.93</v>
      </c>
    </row>
    <row r="1182">
      <c r="A1182" s="6">
        <v>235.0</v>
      </c>
      <c r="B1182" s="76" t="str">
        <f>IFERROR(VLOOKUP($A1182,EVENTO!$A$2:$C$4999,2,FALSE),"")</f>
        <v>ADITIVO DE PRAZO</v>
      </c>
      <c r="C1182" s="76" t="str">
        <f>IFERROR(VLOOKUP($A1182,EVENTO!$A$2:$C$4999,3,FALSE),"")</f>
        <v>PREFEITURA MUNICIPAL DE ARACATI - FINANÇAS</v>
      </c>
      <c r="D1182" s="87" t="s">
        <v>1553</v>
      </c>
      <c r="F1182" s="78">
        <v>5.0</v>
      </c>
      <c r="G1182" s="79">
        <v>286.34</v>
      </c>
    </row>
    <row r="1183">
      <c r="A1183" s="6">
        <v>235.0</v>
      </c>
      <c r="B1183" s="76" t="str">
        <f>IFERROR(VLOOKUP($A1183,EVENTO!$A$2:$C$4999,2,FALSE),"")</f>
        <v>ADITIVO DE PRAZO</v>
      </c>
      <c r="C1183" s="76" t="str">
        <f>IFERROR(VLOOKUP($A1183,EVENTO!$A$2:$C$4999,3,FALSE),"")</f>
        <v>PREFEITURA MUNICIPAL DE ARACATI - FINANÇAS</v>
      </c>
      <c r="D1183" s="87" t="s">
        <v>1487</v>
      </c>
      <c r="F1183" s="78">
        <v>15.0</v>
      </c>
      <c r="G1183" s="79">
        <v>234.7</v>
      </c>
    </row>
    <row r="1184">
      <c r="A1184" s="6">
        <v>235.0</v>
      </c>
      <c r="B1184" s="76" t="str">
        <f>IFERROR(VLOOKUP($A1184,EVENTO!$A$2:$C$4999,2,FALSE),"")</f>
        <v>ADITIVO DE PRAZO</v>
      </c>
      <c r="C1184" s="76" t="str">
        <f>IFERROR(VLOOKUP($A1184,EVENTO!$A$2:$C$4999,3,FALSE),"")</f>
        <v>PREFEITURA MUNICIPAL DE ARACATI - FINANÇAS</v>
      </c>
      <c r="D1184" s="87" t="s">
        <v>1556</v>
      </c>
      <c r="F1184" s="78">
        <v>3.0</v>
      </c>
      <c r="G1184" s="79">
        <v>148.11</v>
      </c>
    </row>
    <row r="1185">
      <c r="A1185" s="6">
        <v>235.0</v>
      </c>
      <c r="B1185" s="76" t="str">
        <f>IFERROR(VLOOKUP($A1185,EVENTO!$A$2:$C$4999,2,FALSE),"")</f>
        <v>ADITIVO DE PRAZO</v>
      </c>
      <c r="C1185" s="76" t="str">
        <f>IFERROR(VLOOKUP($A1185,EVENTO!$A$2:$C$4999,3,FALSE),"")</f>
        <v>PREFEITURA MUNICIPAL DE ARACATI - FINANÇAS</v>
      </c>
      <c r="D1185" s="78" t="s">
        <v>1650</v>
      </c>
      <c r="F1185" s="78">
        <v>1.0</v>
      </c>
      <c r="G1185" s="79">
        <v>201.73</v>
      </c>
    </row>
    <row r="1186">
      <c r="A1186" s="6">
        <v>235.0</v>
      </c>
      <c r="B1186" s="76" t="str">
        <f>IFERROR(VLOOKUP($A1186,EVENTO!$A$2:$C$4999,2,FALSE),"")</f>
        <v>ADITIVO DE PRAZO</v>
      </c>
      <c r="C1186" s="76" t="str">
        <f>IFERROR(VLOOKUP($A1186,EVENTO!$A$2:$C$4999,3,FALSE),"")</f>
        <v>PREFEITURA MUNICIPAL DE ARACATI - FINANÇAS</v>
      </c>
      <c r="D1186" s="78" t="s">
        <v>1580</v>
      </c>
      <c r="F1186" s="78">
        <v>1.0</v>
      </c>
      <c r="G1186" s="79">
        <v>193.47</v>
      </c>
    </row>
    <row r="1187">
      <c r="A1187" s="6">
        <v>235.0</v>
      </c>
      <c r="B1187" s="76" t="str">
        <f>IFERROR(VLOOKUP($A1187,EVENTO!$A$2:$C$4999,2,FALSE),"")</f>
        <v>ADITIVO DE PRAZO</v>
      </c>
      <c r="C1187" s="76" t="str">
        <f>IFERROR(VLOOKUP($A1187,EVENTO!$A$2:$C$4999,3,FALSE),"")</f>
        <v>PREFEITURA MUNICIPAL DE ARACATI - FINANÇAS</v>
      </c>
      <c r="D1187" s="78" t="s">
        <v>1560</v>
      </c>
      <c r="F1187" s="78">
        <v>2.0</v>
      </c>
      <c r="G1187" s="79">
        <v>50.3</v>
      </c>
    </row>
    <row r="1188">
      <c r="A1188" s="6">
        <v>235.0</v>
      </c>
      <c r="B1188" s="76" t="str">
        <f>IFERROR(VLOOKUP($A1188,EVENTO!$A$2:$C$4999,2,FALSE),"")</f>
        <v>ADITIVO DE PRAZO</v>
      </c>
      <c r="C1188" s="76" t="str">
        <f>IFERROR(VLOOKUP($A1188,EVENTO!$A$2:$C$4999,3,FALSE),"")</f>
        <v>PREFEITURA MUNICIPAL DE ARACATI - FINANÇAS</v>
      </c>
      <c r="D1188" s="78" t="s">
        <v>1575</v>
      </c>
      <c r="F1188" s="78">
        <v>3.0</v>
      </c>
      <c r="G1188" s="79">
        <v>13.42</v>
      </c>
    </row>
    <row r="1189">
      <c r="A1189" s="6">
        <v>235.0</v>
      </c>
      <c r="B1189" s="76" t="str">
        <f>IFERROR(VLOOKUP($A1189,EVENTO!$A$2:$C$4999,2,FALSE),"")</f>
        <v>ADITIVO DE PRAZO</v>
      </c>
      <c r="C1189" s="76" t="str">
        <f>IFERROR(VLOOKUP($A1189,EVENTO!$A$2:$C$4999,3,FALSE),"")</f>
        <v>PREFEITURA MUNICIPAL DE ARACATI - FINANÇAS</v>
      </c>
      <c r="D1189" s="78" t="s">
        <v>1557</v>
      </c>
      <c r="F1189" s="78">
        <v>6.0</v>
      </c>
      <c r="G1189" s="79">
        <v>91.18</v>
      </c>
    </row>
    <row r="1190">
      <c r="A1190" s="6">
        <v>235.0</v>
      </c>
      <c r="B1190" s="76" t="str">
        <f>IFERROR(VLOOKUP($A1190,EVENTO!$A$2:$C$4999,2,FALSE),"")</f>
        <v>ADITIVO DE PRAZO</v>
      </c>
      <c r="C1190" s="76" t="str">
        <f>IFERROR(VLOOKUP($A1190,EVENTO!$A$2:$C$4999,3,FALSE),"")</f>
        <v>PREFEITURA MUNICIPAL DE ARACATI - FINANÇAS</v>
      </c>
      <c r="D1190" s="78" t="s">
        <v>1538</v>
      </c>
      <c r="F1190" s="78">
        <v>1.0</v>
      </c>
      <c r="G1190" s="79">
        <v>199.46</v>
      </c>
    </row>
    <row r="1191">
      <c r="A1191" s="6">
        <v>235.0</v>
      </c>
      <c r="B1191" s="76" t="str">
        <f>IFERROR(VLOOKUP($A1191,EVENTO!$A$2:$C$4999,2,FALSE),"")</f>
        <v>ADITIVO DE PRAZO</v>
      </c>
      <c r="C1191" s="76" t="str">
        <f>IFERROR(VLOOKUP($A1191,EVENTO!$A$2:$C$4999,3,FALSE),"")</f>
        <v>PREFEITURA MUNICIPAL DE ARACATI - FINANÇAS</v>
      </c>
      <c r="D1191" s="78" t="s">
        <v>1540</v>
      </c>
      <c r="F1191" s="78">
        <v>10.0</v>
      </c>
      <c r="G1191" s="79">
        <v>63.8</v>
      </c>
    </row>
    <row r="1192">
      <c r="A1192" s="6">
        <v>235.0</v>
      </c>
      <c r="B1192" s="76" t="str">
        <f>IFERROR(VLOOKUP($A1192,EVENTO!$A$2:$C$4999,2,FALSE),"")</f>
        <v>ADITIVO DE PRAZO</v>
      </c>
      <c r="C1192" s="76" t="str">
        <f>IFERROR(VLOOKUP($A1192,EVENTO!$A$2:$C$4999,3,FALSE),"")</f>
        <v>PREFEITURA MUNICIPAL DE ARACATI - FINANÇAS</v>
      </c>
      <c r="D1192" s="78" t="s">
        <v>1644</v>
      </c>
      <c r="F1192" s="78">
        <v>7.0</v>
      </c>
      <c r="G1192" s="91">
        <v>41.95</v>
      </c>
    </row>
    <row r="1193">
      <c r="A1193" s="6">
        <v>236.0</v>
      </c>
      <c r="B1193" s="76" t="str">
        <f>IFERROR(VLOOKUP($A1193,EVENTO!$A$2:$C$4999,2,FALSE),"")</f>
        <v>ADITIVO DE PRAZO</v>
      </c>
      <c r="C1193" s="76" t="str">
        <f>IFERROR(VLOOKUP($A1193,EVENTO!$A$2:$C$4999,3,FALSE),"")</f>
        <v>PREFEITURA MUNICIPAL DE ARACATI - FINANÇAS</v>
      </c>
      <c r="D1193" s="78" t="s">
        <v>1544</v>
      </c>
      <c r="E1193" s="6" t="s">
        <v>1545</v>
      </c>
      <c r="F1193" s="78">
        <v>2.0</v>
      </c>
      <c r="G1193" s="79">
        <v>534.71</v>
      </c>
    </row>
    <row r="1194">
      <c r="A1194" s="6">
        <v>236.0</v>
      </c>
      <c r="B1194" s="76" t="str">
        <f>IFERROR(VLOOKUP($A1194,EVENTO!$A$2:$C$4999,2,FALSE),"")</f>
        <v>ADITIVO DE PRAZO</v>
      </c>
      <c r="C1194" s="76" t="str">
        <f>IFERROR(VLOOKUP($A1194,EVENTO!$A$2:$C$4999,3,FALSE),"")</f>
        <v>PREFEITURA MUNICIPAL DE ARACATI - FINANÇAS</v>
      </c>
      <c r="D1194" s="78" t="s">
        <v>1458</v>
      </c>
      <c r="E1194" s="6" t="s">
        <v>1535</v>
      </c>
      <c r="F1194" s="78">
        <v>2.0</v>
      </c>
      <c r="G1194" s="79">
        <v>344.75</v>
      </c>
    </row>
    <row r="1195">
      <c r="A1195" s="6">
        <v>236.0</v>
      </c>
      <c r="B1195" s="76" t="str">
        <f>IFERROR(VLOOKUP($A1195,EVENTO!$A$2:$C$4999,2,FALSE),"")</f>
        <v>ADITIVO DE PRAZO</v>
      </c>
      <c r="C1195" s="76" t="str">
        <f>IFERROR(VLOOKUP($A1195,EVENTO!$A$2:$C$4999,3,FALSE),"")</f>
        <v>PREFEITURA MUNICIPAL DE ARACATI - FINANÇAS</v>
      </c>
      <c r="D1195" s="78" t="s">
        <v>1546</v>
      </c>
      <c r="E1195" s="6" t="s">
        <v>1547</v>
      </c>
      <c r="F1195" s="78">
        <v>5.0</v>
      </c>
      <c r="G1195" s="79">
        <v>270.39</v>
      </c>
    </row>
    <row r="1196">
      <c r="A1196" s="6">
        <v>236.0</v>
      </c>
      <c r="B1196" s="76" t="str">
        <f>IFERROR(VLOOKUP($A1196,EVENTO!$A$2:$C$4999,2,FALSE),"")</f>
        <v>ADITIVO DE PRAZO</v>
      </c>
      <c r="C1196" s="76" t="str">
        <f>IFERROR(VLOOKUP($A1196,EVENTO!$A$2:$C$4999,3,FALSE),"")</f>
        <v>PREFEITURA MUNICIPAL DE ARACATI - FINANÇAS</v>
      </c>
      <c r="D1196" s="78" t="s">
        <v>1456</v>
      </c>
      <c r="E1196" s="6" t="s">
        <v>1548</v>
      </c>
      <c r="F1196" s="78">
        <v>5.0</v>
      </c>
      <c r="G1196" s="79">
        <v>387.36</v>
      </c>
    </row>
    <row r="1197">
      <c r="A1197" s="6">
        <v>236.0</v>
      </c>
      <c r="B1197" s="76" t="str">
        <f>IFERROR(VLOOKUP($A1197,EVENTO!$A$2:$C$4999,2,FALSE),"")</f>
        <v>ADITIVO DE PRAZO</v>
      </c>
      <c r="C1197" s="76" t="str">
        <f>IFERROR(VLOOKUP($A1197,EVENTO!$A$2:$C$4999,3,FALSE),"")</f>
        <v>PREFEITURA MUNICIPAL DE ARACATI - FINANÇAS</v>
      </c>
      <c r="D1197" s="78" t="s">
        <v>1549</v>
      </c>
      <c r="E1197" s="6" t="s">
        <v>1550</v>
      </c>
      <c r="F1197" s="78">
        <v>15.0</v>
      </c>
      <c r="G1197" s="79">
        <v>221.78</v>
      </c>
    </row>
    <row r="1198">
      <c r="A1198" s="6">
        <v>236.0</v>
      </c>
      <c r="B1198" s="76" t="str">
        <f>IFERROR(VLOOKUP($A1198,EVENTO!$A$2:$C$4999,2,FALSE),"")</f>
        <v>ADITIVO DE PRAZO</v>
      </c>
      <c r="C1198" s="76" t="str">
        <f>IFERROR(VLOOKUP($A1198,EVENTO!$A$2:$C$4999,3,FALSE),"")</f>
        <v>PREFEITURA MUNICIPAL DE ARACATI - FINANÇAS</v>
      </c>
      <c r="D1198" s="78" t="s">
        <v>1551</v>
      </c>
      <c r="E1198" s="6" t="s">
        <v>1552</v>
      </c>
      <c r="F1198" s="78">
        <v>25.0</v>
      </c>
      <c r="G1198" s="79">
        <v>173.93</v>
      </c>
    </row>
    <row r="1199">
      <c r="A1199" s="6">
        <v>236.0</v>
      </c>
      <c r="B1199" s="76" t="str">
        <f>IFERROR(VLOOKUP($A1199,EVENTO!$A$2:$C$4999,2,FALSE),"")</f>
        <v>ADITIVO DE PRAZO</v>
      </c>
      <c r="C1199" s="76" t="str">
        <f>IFERROR(VLOOKUP($A1199,EVENTO!$A$2:$C$4999,3,FALSE),"")</f>
        <v>PREFEITURA MUNICIPAL DE ARACATI - FINANÇAS</v>
      </c>
      <c r="D1199" s="87" t="s">
        <v>1553</v>
      </c>
      <c r="F1199" s="78">
        <v>5.0</v>
      </c>
      <c r="G1199" s="79">
        <v>286.34</v>
      </c>
    </row>
    <row r="1200">
      <c r="A1200" s="6">
        <v>236.0</v>
      </c>
      <c r="B1200" s="76" t="str">
        <f>IFERROR(VLOOKUP($A1200,EVENTO!$A$2:$C$4999,2,FALSE),"")</f>
        <v>ADITIVO DE PRAZO</v>
      </c>
      <c r="C1200" s="76" t="str">
        <f>IFERROR(VLOOKUP($A1200,EVENTO!$A$2:$C$4999,3,FALSE),"")</f>
        <v>PREFEITURA MUNICIPAL DE ARACATI - FINANÇAS</v>
      </c>
      <c r="D1200" s="87" t="s">
        <v>1487</v>
      </c>
      <c r="F1200" s="78">
        <v>15.0</v>
      </c>
      <c r="G1200" s="79">
        <v>234.7</v>
      </c>
    </row>
    <row r="1201">
      <c r="A1201" s="6">
        <v>236.0</v>
      </c>
      <c r="B1201" s="76" t="str">
        <f>IFERROR(VLOOKUP($A1201,EVENTO!$A$2:$C$4999,2,FALSE),"")</f>
        <v>ADITIVO DE PRAZO</v>
      </c>
      <c r="C1201" s="76" t="str">
        <f>IFERROR(VLOOKUP($A1201,EVENTO!$A$2:$C$4999,3,FALSE),"")</f>
        <v>PREFEITURA MUNICIPAL DE ARACATI - FINANÇAS</v>
      </c>
      <c r="D1201" s="87" t="s">
        <v>1556</v>
      </c>
      <c r="F1201" s="78">
        <v>3.0</v>
      </c>
      <c r="G1201" s="79">
        <v>148.11</v>
      </c>
    </row>
    <row r="1202">
      <c r="A1202" s="6">
        <v>236.0</v>
      </c>
      <c r="B1202" s="76" t="str">
        <f>IFERROR(VLOOKUP($A1202,EVENTO!$A$2:$C$4999,2,FALSE),"")</f>
        <v>ADITIVO DE PRAZO</v>
      </c>
      <c r="C1202" s="76" t="str">
        <f>IFERROR(VLOOKUP($A1202,EVENTO!$A$2:$C$4999,3,FALSE),"")</f>
        <v>PREFEITURA MUNICIPAL DE ARACATI - FINANÇAS</v>
      </c>
      <c r="D1202" s="78" t="s">
        <v>1650</v>
      </c>
      <c r="F1202" s="78">
        <v>1.0</v>
      </c>
      <c r="G1202" s="79">
        <v>201.73</v>
      </c>
    </row>
    <row r="1203">
      <c r="A1203" s="6">
        <v>236.0</v>
      </c>
      <c r="B1203" s="76" t="str">
        <f>IFERROR(VLOOKUP($A1203,EVENTO!$A$2:$C$4999,2,FALSE),"")</f>
        <v>ADITIVO DE PRAZO</v>
      </c>
      <c r="C1203" s="76" t="str">
        <f>IFERROR(VLOOKUP($A1203,EVENTO!$A$2:$C$4999,3,FALSE),"")</f>
        <v>PREFEITURA MUNICIPAL DE ARACATI - FINANÇAS</v>
      </c>
      <c r="D1203" s="78" t="s">
        <v>1580</v>
      </c>
      <c r="F1203" s="78">
        <v>1.0</v>
      </c>
      <c r="G1203" s="79">
        <v>193.47</v>
      </c>
    </row>
    <row r="1204">
      <c r="A1204" s="6">
        <v>236.0</v>
      </c>
      <c r="B1204" s="76" t="str">
        <f>IFERROR(VLOOKUP($A1204,EVENTO!$A$2:$C$4999,2,FALSE),"")</f>
        <v>ADITIVO DE PRAZO</v>
      </c>
      <c r="C1204" s="76" t="str">
        <f>IFERROR(VLOOKUP($A1204,EVENTO!$A$2:$C$4999,3,FALSE),"")</f>
        <v>PREFEITURA MUNICIPAL DE ARACATI - FINANÇAS</v>
      </c>
      <c r="D1204" s="78" t="s">
        <v>1560</v>
      </c>
      <c r="F1204" s="78">
        <v>2.0</v>
      </c>
      <c r="G1204" s="79">
        <v>50.3</v>
      </c>
    </row>
    <row r="1205">
      <c r="A1205" s="6">
        <v>236.0</v>
      </c>
      <c r="B1205" s="76" t="str">
        <f>IFERROR(VLOOKUP($A1205,EVENTO!$A$2:$C$4999,2,FALSE),"")</f>
        <v>ADITIVO DE PRAZO</v>
      </c>
      <c r="C1205" s="76" t="str">
        <f>IFERROR(VLOOKUP($A1205,EVENTO!$A$2:$C$4999,3,FALSE),"")</f>
        <v>PREFEITURA MUNICIPAL DE ARACATI - FINANÇAS</v>
      </c>
      <c r="D1205" s="78" t="s">
        <v>1575</v>
      </c>
      <c r="F1205" s="78">
        <v>3.0</v>
      </c>
      <c r="G1205" s="79">
        <v>13.42</v>
      </c>
    </row>
    <row r="1206">
      <c r="A1206" s="6">
        <v>236.0</v>
      </c>
      <c r="B1206" s="76" t="str">
        <f>IFERROR(VLOOKUP($A1206,EVENTO!$A$2:$C$4999,2,FALSE),"")</f>
        <v>ADITIVO DE PRAZO</v>
      </c>
      <c r="C1206" s="76" t="str">
        <f>IFERROR(VLOOKUP($A1206,EVENTO!$A$2:$C$4999,3,FALSE),"")</f>
        <v>PREFEITURA MUNICIPAL DE ARACATI - FINANÇAS</v>
      </c>
      <c r="D1206" s="78" t="s">
        <v>1557</v>
      </c>
      <c r="F1206" s="78">
        <v>6.0</v>
      </c>
      <c r="G1206" s="79">
        <v>91.18</v>
      </c>
    </row>
    <row r="1207">
      <c r="A1207" s="6">
        <v>236.0</v>
      </c>
      <c r="B1207" s="76" t="str">
        <f>IFERROR(VLOOKUP($A1207,EVENTO!$A$2:$C$4999,2,FALSE),"")</f>
        <v>ADITIVO DE PRAZO</v>
      </c>
      <c r="C1207" s="76" t="str">
        <f>IFERROR(VLOOKUP($A1207,EVENTO!$A$2:$C$4999,3,FALSE),"")</f>
        <v>PREFEITURA MUNICIPAL DE ARACATI - FINANÇAS</v>
      </c>
      <c r="D1207" s="78" t="s">
        <v>1538</v>
      </c>
      <c r="F1207" s="78">
        <v>1.0</v>
      </c>
      <c r="G1207" s="79">
        <v>199.46</v>
      </c>
    </row>
    <row r="1208">
      <c r="A1208" s="6">
        <v>236.0</v>
      </c>
      <c r="B1208" s="76" t="str">
        <f>IFERROR(VLOOKUP($A1208,EVENTO!$A$2:$C$4999,2,FALSE),"")</f>
        <v>ADITIVO DE PRAZO</v>
      </c>
      <c r="C1208" s="76" t="str">
        <f>IFERROR(VLOOKUP($A1208,EVENTO!$A$2:$C$4999,3,FALSE),"")</f>
        <v>PREFEITURA MUNICIPAL DE ARACATI - FINANÇAS</v>
      </c>
      <c r="D1208" s="78" t="s">
        <v>1540</v>
      </c>
      <c r="F1208" s="78">
        <v>10.0</v>
      </c>
      <c r="G1208" s="79">
        <v>63.8</v>
      </c>
    </row>
    <row r="1209">
      <c r="A1209" s="6">
        <v>236.0</v>
      </c>
      <c r="B1209" s="76" t="str">
        <f>IFERROR(VLOOKUP($A1209,EVENTO!$A$2:$C$4999,2,FALSE),"")</f>
        <v>ADITIVO DE PRAZO</v>
      </c>
      <c r="C1209" s="76" t="str">
        <f>IFERROR(VLOOKUP($A1209,EVENTO!$A$2:$C$4999,3,FALSE),"")</f>
        <v>PREFEITURA MUNICIPAL DE ARACATI - FINANÇAS</v>
      </c>
      <c r="D1209" s="78" t="s">
        <v>1644</v>
      </c>
      <c r="F1209" s="78">
        <v>7.0</v>
      </c>
      <c r="G1209" s="91">
        <v>41.95</v>
      </c>
    </row>
    <row r="1210">
      <c r="A1210" s="6">
        <v>237.0</v>
      </c>
      <c r="B1210" s="76" t="str">
        <f>IFERROR(VLOOKUP($A1210,EVENTO!$A$2:$C$4999,2,FALSE),"")</f>
        <v>ADITIVO DE PRAZO</v>
      </c>
      <c r="C1210" s="76" t="str">
        <f>IFERROR(VLOOKUP($A1210,EVENTO!$A$2:$C$4999,3,FALSE),"")</f>
        <v>PREFEITURA MUNICIPAL DE ARACATI - FINANÇAS</v>
      </c>
      <c r="D1210" s="78" t="s">
        <v>1544</v>
      </c>
      <c r="E1210" s="6" t="s">
        <v>1545</v>
      </c>
      <c r="F1210" s="78">
        <v>2.0</v>
      </c>
      <c r="G1210" s="79">
        <v>534.71</v>
      </c>
    </row>
    <row r="1211">
      <c r="A1211" s="6">
        <v>237.0</v>
      </c>
      <c r="B1211" s="76" t="str">
        <f>IFERROR(VLOOKUP($A1211,EVENTO!$A$2:$C$4999,2,FALSE),"")</f>
        <v>ADITIVO DE PRAZO</v>
      </c>
      <c r="C1211" s="76" t="str">
        <f>IFERROR(VLOOKUP($A1211,EVENTO!$A$2:$C$4999,3,FALSE),"")</f>
        <v>PREFEITURA MUNICIPAL DE ARACATI - FINANÇAS</v>
      </c>
      <c r="D1211" s="78" t="s">
        <v>1458</v>
      </c>
      <c r="E1211" s="6" t="s">
        <v>1535</v>
      </c>
      <c r="F1211" s="78">
        <v>2.0</v>
      </c>
      <c r="G1211" s="79">
        <v>344.75</v>
      </c>
    </row>
    <row r="1212">
      <c r="A1212" s="6">
        <v>237.0</v>
      </c>
      <c r="B1212" s="76" t="str">
        <f>IFERROR(VLOOKUP($A1212,EVENTO!$A$2:$C$4999,2,FALSE),"")</f>
        <v>ADITIVO DE PRAZO</v>
      </c>
      <c r="C1212" s="76" t="str">
        <f>IFERROR(VLOOKUP($A1212,EVENTO!$A$2:$C$4999,3,FALSE),"")</f>
        <v>PREFEITURA MUNICIPAL DE ARACATI - FINANÇAS</v>
      </c>
      <c r="D1212" s="78" t="s">
        <v>1546</v>
      </c>
      <c r="E1212" s="6" t="s">
        <v>1547</v>
      </c>
      <c r="F1212" s="78">
        <v>5.0</v>
      </c>
      <c r="G1212" s="79">
        <v>270.39</v>
      </c>
    </row>
    <row r="1213">
      <c r="A1213" s="6">
        <v>237.0</v>
      </c>
      <c r="B1213" s="76" t="str">
        <f>IFERROR(VLOOKUP($A1213,EVENTO!$A$2:$C$4999,2,FALSE),"")</f>
        <v>ADITIVO DE PRAZO</v>
      </c>
      <c r="C1213" s="76" t="str">
        <f>IFERROR(VLOOKUP($A1213,EVENTO!$A$2:$C$4999,3,FALSE),"")</f>
        <v>PREFEITURA MUNICIPAL DE ARACATI - FINANÇAS</v>
      </c>
      <c r="D1213" s="78" t="s">
        <v>1456</v>
      </c>
      <c r="E1213" s="6" t="s">
        <v>1548</v>
      </c>
      <c r="F1213" s="78">
        <v>5.0</v>
      </c>
      <c r="G1213" s="79">
        <v>387.36</v>
      </c>
    </row>
    <row r="1214">
      <c r="A1214" s="6">
        <v>237.0</v>
      </c>
      <c r="B1214" s="76" t="str">
        <f>IFERROR(VLOOKUP($A1214,EVENTO!$A$2:$C$4999,2,FALSE),"")</f>
        <v>ADITIVO DE PRAZO</v>
      </c>
      <c r="C1214" s="76" t="str">
        <f>IFERROR(VLOOKUP($A1214,EVENTO!$A$2:$C$4999,3,FALSE),"")</f>
        <v>PREFEITURA MUNICIPAL DE ARACATI - FINANÇAS</v>
      </c>
      <c r="D1214" s="78" t="s">
        <v>1549</v>
      </c>
      <c r="E1214" s="6" t="s">
        <v>1550</v>
      </c>
      <c r="F1214" s="78">
        <v>15.0</v>
      </c>
      <c r="G1214" s="79">
        <v>221.78</v>
      </c>
    </row>
    <row r="1215">
      <c r="A1215" s="6">
        <v>237.0</v>
      </c>
      <c r="B1215" s="76" t="str">
        <f>IFERROR(VLOOKUP($A1215,EVENTO!$A$2:$C$4999,2,FALSE),"")</f>
        <v>ADITIVO DE PRAZO</v>
      </c>
      <c r="C1215" s="76" t="str">
        <f>IFERROR(VLOOKUP($A1215,EVENTO!$A$2:$C$4999,3,FALSE),"")</f>
        <v>PREFEITURA MUNICIPAL DE ARACATI - FINANÇAS</v>
      </c>
      <c r="D1215" s="78" t="s">
        <v>1551</v>
      </c>
      <c r="E1215" s="6" t="s">
        <v>1552</v>
      </c>
      <c r="F1215" s="78">
        <v>25.0</v>
      </c>
      <c r="G1215" s="79">
        <v>173.93</v>
      </c>
    </row>
    <row r="1216">
      <c r="A1216" s="6">
        <v>237.0</v>
      </c>
      <c r="B1216" s="76" t="str">
        <f>IFERROR(VLOOKUP($A1216,EVENTO!$A$2:$C$4999,2,FALSE),"")</f>
        <v>ADITIVO DE PRAZO</v>
      </c>
      <c r="C1216" s="76" t="str">
        <f>IFERROR(VLOOKUP($A1216,EVENTO!$A$2:$C$4999,3,FALSE),"")</f>
        <v>PREFEITURA MUNICIPAL DE ARACATI - FINANÇAS</v>
      </c>
      <c r="D1216" s="87" t="s">
        <v>1553</v>
      </c>
      <c r="F1216" s="78">
        <v>5.0</v>
      </c>
      <c r="G1216" s="79">
        <v>286.34</v>
      </c>
    </row>
    <row r="1217">
      <c r="A1217" s="6">
        <v>237.0</v>
      </c>
      <c r="B1217" s="76" t="str">
        <f>IFERROR(VLOOKUP($A1217,EVENTO!$A$2:$C$4999,2,FALSE),"")</f>
        <v>ADITIVO DE PRAZO</v>
      </c>
      <c r="C1217" s="76" t="str">
        <f>IFERROR(VLOOKUP($A1217,EVENTO!$A$2:$C$4999,3,FALSE),"")</f>
        <v>PREFEITURA MUNICIPAL DE ARACATI - FINANÇAS</v>
      </c>
      <c r="D1217" s="87" t="s">
        <v>1487</v>
      </c>
      <c r="F1217" s="78">
        <v>15.0</v>
      </c>
      <c r="G1217" s="79">
        <v>234.7</v>
      </c>
    </row>
    <row r="1218">
      <c r="A1218" s="6">
        <v>237.0</v>
      </c>
      <c r="B1218" s="76" t="str">
        <f>IFERROR(VLOOKUP($A1218,EVENTO!$A$2:$C$4999,2,FALSE),"")</f>
        <v>ADITIVO DE PRAZO</v>
      </c>
      <c r="C1218" s="76" t="str">
        <f>IFERROR(VLOOKUP($A1218,EVENTO!$A$2:$C$4999,3,FALSE),"")</f>
        <v>PREFEITURA MUNICIPAL DE ARACATI - FINANÇAS</v>
      </c>
      <c r="D1218" s="87" t="s">
        <v>1556</v>
      </c>
      <c r="F1218" s="78">
        <v>3.0</v>
      </c>
      <c r="G1218" s="79">
        <v>148.11</v>
      </c>
    </row>
    <row r="1219">
      <c r="A1219" s="6">
        <v>237.0</v>
      </c>
      <c r="B1219" s="76" t="str">
        <f>IFERROR(VLOOKUP($A1219,EVENTO!$A$2:$C$4999,2,FALSE),"")</f>
        <v>ADITIVO DE PRAZO</v>
      </c>
      <c r="C1219" s="76" t="str">
        <f>IFERROR(VLOOKUP($A1219,EVENTO!$A$2:$C$4999,3,FALSE),"")</f>
        <v>PREFEITURA MUNICIPAL DE ARACATI - FINANÇAS</v>
      </c>
      <c r="D1219" s="78" t="s">
        <v>1650</v>
      </c>
      <c r="F1219" s="78">
        <v>1.0</v>
      </c>
      <c r="G1219" s="79">
        <v>201.73</v>
      </c>
    </row>
    <row r="1220">
      <c r="A1220" s="6">
        <v>237.0</v>
      </c>
      <c r="B1220" s="76" t="str">
        <f>IFERROR(VLOOKUP($A1220,EVENTO!$A$2:$C$4999,2,FALSE),"")</f>
        <v>ADITIVO DE PRAZO</v>
      </c>
      <c r="C1220" s="76" t="str">
        <f>IFERROR(VLOOKUP($A1220,EVENTO!$A$2:$C$4999,3,FALSE),"")</f>
        <v>PREFEITURA MUNICIPAL DE ARACATI - FINANÇAS</v>
      </c>
      <c r="D1220" s="78" t="s">
        <v>1580</v>
      </c>
      <c r="F1220" s="78">
        <v>1.0</v>
      </c>
      <c r="G1220" s="79">
        <v>193.47</v>
      </c>
    </row>
    <row r="1221">
      <c r="A1221" s="6">
        <v>237.0</v>
      </c>
      <c r="B1221" s="76" t="str">
        <f>IFERROR(VLOOKUP($A1221,EVENTO!$A$2:$C$4999,2,FALSE),"")</f>
        <v>ADITIVO DE PRAZO</v>
      </c>
      <c r="C1221" s="76" t="str">
        <f>IFERROR(VLOOKUP($A1221,EVENTO!$A$2:$C$4999,3,FALSE),"")</f>
        <v>PREFEITURA MUNICIPAL DE ARACATI - FINANÇAS</v>
      </c>
      <c r="D1221" s="78" t="s">
        <v>1560</v>
      </c>
      <c r="F1221" s="78">
        <v>2.0</v>
      </c>
      <c r="G1221" s="79">
        <v>50.3</v>
      </c>
    </row>
    <row r="1222">
      <c r="A1222" s="6">
        <v>237.0</v>
      </c>
      <c r="B1222" s="76" t="str">
        <f>IFERROR(VLOOKUP($A1222,EVENTO!$A$2:$C$4999,2,FALSE),"")</f>
        <v>ADITIVO DE PRAZO</v>
      </c>
      <c r="C1222" s="76" t="str">
        <f>IFERROR(VLOOKUP($A1222,EVENTO!$A$2:$C$4999,3,FALSE),"")</f>
        <v>PREFEITURA MUNICIPAL DE ARACATI - FINANÇAS</v>
      </c>
      <c r="D1222" s="78" t="s">
        <v>1575</v>
      </c>
      <c r="F1222" s="78">
        <v>3.0</v>
      </c>
      <c r="G1222" s="79">
        <v>13.42</v>
      </c>
    </row>
    <row r="1223">
      <c r="A1223" s="6">
        <v>237.0</v>
      </c>
      <c r="B1223" s="76" t="str">
        <f>IFERROR(VLOOKUP($A1223,EVENTO!$A$2:$C$4999,2,FALSE),"")</f>
        <v>ADITIVO DE PRAZO</v>
      </c>
      <c r="C1223" s="76" t="str">
        <f>IFERROR(VLOOKUP($A1223,EVENTO!$A$2:$C$4999,3,FALSE),"")</f>
        <v>PREFEITURA MUNICIPAL DE ARACATI - FINANÇAS</v>
      </c>
      <c r="D1223" s="78" t="s">
        <v>1557</v>
      </c>
      <c r="F1223" s="78">
        <v>6.0</v>
      </c>
      <c r="G1223" s="79">
        <v>91.18</v>
      </c>
    </row>
    <row r="1224">
      <c r="A1224" s="6">
        <v>237.0</v>
      </c>
      <c r="B1224" s="76" t="str">
        <f>IFERROR(VLOOKUP($A1224,EVENTO!$A$2:$C$4999,2,FALSE),"")</f>
        <v>ADITIVO DE PRAZO</v>
      </c>
      <c r="C1224" s="76" t="str">
        <f>IFERROR(VLOOKUP($A1224,EVENTO!$A$2:$C$4999,3,FALSE),"")</f>
        <v>PREFEITURA MUNICIPAL DE ARACATI - FINANÇAS</v>
      </c>
      <c r="D1224" s="78" t="s">
        <v>1538</v>
      </c>
      <c r="F1224" s="78">
        <v>1.0</v>
      </c>
      <c r="G1224" s="79">
        <v>199.46</v>
      </c>
    </row>
    <row r="1225">
      <c r="A1225" s="6">
        <v>237.0</v>
      </c>
      <c r="B1225" s="76" t="str">
        <f>IFERROR(VLOOKUP($A1225,EVENTO!$A$2:$C$4999,2,FALSE),"")</f>
        <v>ADITIVO DE PRAZO</v>
      </c>
      <c r="C1225" s="76" t="str">
        <f>IFERROR(VLOOKUP($A1225,EVENTO!$A$2:$C$4999,3,FALSE),"")</f>
        <v>PREFEITURA MUNICIPAL DE ARACATI - FINANÇAS</v>
      </c>
      <c r="D1225" s="78" t="s">
        <v>1540</v>
      </c>
      <c r="F1225" s="78">
        <v>10.0</v>
      </c>
      <c r="G1225" s="79">
        <v>63.8</v>
      </c>
    </row>
    <row r="1226">
      <c r="A1226" s="6">
        <v>237.0</v>
      </c>
      <c r="B1226" s="76" t="str">
        <f>IFERROR(VLOOKUP($A1226,EVENTO!$A$2:$C$4999,2,FALSE),"")</f>
        <v>ADITIVO DE PRAZO</v>
      </c>
      <c r="C1226" s="76" t="str">
        <f>IFERROR(VLOOKUP($A1226,EVENTO!$A$2:$C$4999,3,FALSE),"")</f>
        <v>PREFEITURA MUNICIPAL DE ARACATI - FINANÇAS</v>
      </c>
      <c r="D1226" s="78" t="s">
        <v>1644</v>
      </c>
      <c r="F1226" s="78">
        <v>7.0</v>
      </c>
      <c r="G1226" s="91">
        <v>41.95</v>
      </c>
    </row>
    <row r="1227">
      <c r="A1227" s="6">
        <v>238.0</v>
      </c>
      <c r="B1227" s="76" t="str">
        <f>IFERROR(VLOOKUP($A1227,EVENTO!$A$2:$C$4999,2,FALSE),"")</f>
        <v>CADASTRO</v>
      </c>
      <c r="C1227" s="76" t="str">
        <f>IFERROR(VLOOKUP($A1227,EVENTO!$A$2:$C$4999,3,FALSE),"")</f>
        <v>PREFEITURA MUNICIPAL DE ARACATI - SEGURIDADE SOCIAL</v>
      </c>
      <c r="D1227" s="87" t="s">
        <v>1544</v>
      </c>
      <c r="E1227" s="4" t="s">
        <v>1545</v>
      </c>
      <c r="F1227" s="78">
        <v>2.0</v>
      </c>
      <c r="G1227" s="92">
        <v>534.71</v>
      </c>
    </row>
    <row r="1228">
      <c r="A1228" s="6">
        <v>238.0</v>
      </c>
      <c r="B1228" s="76" t="str">
        <f>IFERROR(VLOOKUP($A1228,EVENTO!$A$2:$C$4999,2,FALSE),"")</f>
        <v>CADASTRO</v>
      </c>
      <c r="C1228" s="76" t="str">
        <f>IFERROR(VLOOKUP($A1228,EVENTO!$A$2:$C$4999,3,FALSE),"")</f>
        <v>PREFEITURA MUNICIPAL DE ARACATI - SEGURIDADE SOCIAL</v>
      </c>
      <c r="D1228" s="87" t="s">
        <v>1456</v>
      </c>
      <c r="E1228" s="4" t="s">
        <v>1548</v>
      </c>
      <c r="F1228" s="78">
        <v>3.0</v>
      </c>
      <c r="G1228" s="92">
        <v>387.36</v>
      </c>
    </row>
    <row r="1229">
      <c r="A1229" s="6">
        <v>238.0</v>
      </c>
      <c r="B1229" s="76" t="str">
        <f>IFERROR(VLOOKUP($A1229,EVENTO!$A$2:$C$4999,2,FALSE),"")</f>
        <v>CADASTRO</v>
      </c>
      <c r="C1229" s="76" t="str">
        <f>IFERROR(VLOOKUP($A1229,EVENTO!$A$2:$C$4999,3,FALSE),"")</f>
        <v>PREFEITURA MUNICIPAL DE ARACATI - SEGURIDADE SOCIAL</v>
      </c>
      <c r="D1229" s="87" t="s">
        <v>1553</v>
      </c>
      <c r="F1229" s="78">
        <v>2.0</v>
      </c>
      <c r="G1229" s="79">
        <v>286.34</v>
      </c>
    </row>
    <row r="1230">
      <c r="A1230" s="6">
        <v>238.0</v>
      </c>
      <c r="B1230" s="76" t="str">
        <f>IFERROR(VLOOKUP($A1230,EVENTO!$A$2:$C$4999,2,FALSE),"")</f>
        <v>CADASTRO</v>
      </c>
      <c r="C1230" s="76" t="str">
        <f>IFERROR(VLOOKUP($A1230,EVENTO!$A$2:$C$4999,3,FALSE),"")</f>
        <v>PREFEITURA MUNICIPAL DE ARACATI - SEGURIDADE SOCIAL</v>
      </c>
      <c r="D1230" s="87" t="s">
        <v>1487</v>
      </c>
      <c r="F1230" s="78">
        <v>2.0</v>
      </c>
      <c r="G1230" s="79">
        <v>234.7</v>
      </c>
    </row>
    <row r="1231">
      <c r="A1231" s="6">
        <v>238.0</v>
      </c>
      <c r="B1231" s="76" t="str">
        <f>IFERROR(VLOOKUP($A1231,EVENTO!$A$2:$C$4999,2,FALSE),"")</f>
        <v>CADASTRO</v>
      </c>
      <c r="C1231" s="76" t="str">
        <f>IFERROR(VLOOKUP($A1231,EVENTO!$A$2:$C$4999,3,FALSE),"")</f>
        <v>PREFEITURA MUNICIPAL DE ARACATI - SEGURIDADE SOCIAL</v>
      </c>
      <c r="D1231" s="87" t="s">
        <v>1556</v>
      </c>
      <c r="F1231" s="78">
        <v>1.0</v>
      </c>
      <c r="G1231" s="79">
        <v>148.11</v>
      </c>
    </row>
    <row r="1232">
      <c r="A1232" s="6">
        <v>238.0</v>
      </c>
      <c r="B1232" s="76" t="str">
        <f>IFERROR(VLOOKUP($A1232,EVENTO!$A$2:$C$4999,2,FALSE),"")</f>
        <v>CADASTRO</v>
      </c>
      <c r="C1232" s="76" t="str">
        <f>IFERROR(VLOOKUP($A1232,EVENTO!$A$2:$C$4999,3,FALSE),"")</f>
        <v>PREFEITURA MUNICIPAL DE ARACATI - SEGURIDADE SOCIAL</v>
      </c>
      <c r="D1232" s="78" t="s">
        <v>1650</v>
      </c>
      <c r="F1232" s="78">
        <v>2.0</v>
      </c>
      <c r="G1232" s="79">
        <v>201.73</v>
      </c>
    </row>
    <row r="1233">
      <c r="A1233" s="6">
        <v>238.0</v>
      </c>
      <c r="B1233" s="76" t="str">
        <f>IFERROR(VLOOKUP($A1233,EVENTO!$A$2:$C$4999,2,FALSE),"")</f>
        <v>CADASTRO</v>
      </c>
      <c r="C1233" s="76" t="str">
        <f>IFERROR(VLOOKUP($A1233,EVENTO!$A$2:$C$4999,3,FALSE),"")</f>
        <v>PREFEITURA MUNICIPAL DE ARACATI - SEGURIDADE SOCIAL</v>
      </c>
      <c r="D1233" s="78" t="s">
        <v>1580</v>
      </c>
      <c r="F1233" s="78">
        <v>1.0</v>
      </c>
      <c r="G1233" s="79">
        <v>193.47</v>
      </c>
    </row>
    <row r="1234">
      <c r="A1234" s="6">
        <v>238.0</v>
      </c>
      <c r="B1234" s="76" t="str">
        <f>IFERROR(VLOOKUP($A1234,EVENTO!$A$2:$C$4999,2,FALSE),"")</f>
        <v>CADASTRO</v>
      </c>
      <c r="C1234" s="76" t="str">
        <f>IFERROR(VLOOKUP($A1234,EVENTO!$A$2:$C$4999,3,FALSE),"")</f>
        <v>PREFEITURA MUNICIPAL DE ARACATI - SEGURIDADE SOCIAL</v>
      </c>
      <c r="D1234" s="78" t="s">
        <v>1560</v>
      </c>
      <c r="F1234" s="78">
        <v>1.0</v>
      </c>
      <c r="G1234" s="79">
        <v>50.3</v>
      </c>
    </row>
    <row r="1235">
      <c r="A1235" s="6">
        <v>238.0</v>
      </c>
      <c r="B1235" s="76" t="str">
        <f>IFERROR(VLOOKUP($A1235,EVENTO!$A$2:$C$4999,2,FALSE),"")</f>
        <v>CADASTRO</v>
      </c>
      <c r="C1235" s="76" t="str">
        <f>IFERROR(VLOOKUP($A1235,EVENTO!$A$2:$C$4999,3,FALSE),"")</f>
        <v>PREFEITURA MUNICIPAL DE ARACATI - SEGURIDADE SOCIAL</v>
      </c>
      <c r="D1235" s="78" t="s">
        <v>1575</v>
      </c>
      <c r="F1235" s="78">
        <v>1.0</v>
      </c>
      <c r="G1235" s="79">
        <v>13.42</v>
      </c>
    </row>
    <row r="1236">
      <c r="A1236" s="6">
        <v>238.0</v>
      </c>
      <c r="B1236" s="76" t="str">
        <f>IFERROR(VLOOKUP($A1236,EVENTO!$A$2:$C$4999,2,FALSE),"")</f>
        <v>CADASTRO</v>
      </c>
      <c r="C1236" s="76" t="str">
        <f>IFERROR(VLOOKUP($A1236,EVENTO!$A$2:$C$4999,3,FALSE),"")</f>
        <v>PREFEITURA MUNICIPAL DE ARACATI - SEGURIDADE SOCIAL</v>
      </c>
      <c r="D1236" s="78" t="s">
        <v>1557</v>
      </c>
      <c r="F1236" s="78">
        <v>3.0</v>
      </c>
      <c r="G1236" s="79">
        <v>91.18</v>
      </c>
    </row>
    <row r="1237">
      <c r="A1237" s="6">
        <v>239.0</v>
      </c>
      <c r="B1237" s="76" t="str">
        <f>IFERROR(VLOOKUP($A1237,EVENTO!$A$2:$C$4999,2,FALSE),"")</f>
        <v>ADITIVO DE PRAZO</v>
      </c>
      <c r="C1237" s="76" t="str">
        <f>IFERROR(VLOOKUP($A1237,EVENTO!$A$2:$C$4999,3,FALSE),"")</f>
        <v>PREFEITURA MUNICIPAL DE ARACATI - SEGURIDADE SOCIAL</v>
      </c>
      <c r="D1237" s="87" t="s">
        <v>1544</v>
      </c>
      <c r="E1237" s="4" t="s">
        <v>1545</v>
      </c>
      <c r="F1237" s="78">
        <v>2.0</v>
      </c>
      <c r="G1237" s="92">
        <v>534.71</v>
      </c>
    </row>
    <row r="1238">
      <c r="A1238" s="6">
        <v>239.0</v>
      </c>
      <c r="B1238" s="76" t="str">
        <f>IFERROR(VLOOKUP($A1238,EVENTO!$A$2:$C$4999,2,FALSE),"")</f>
        <v>ADITIVO DE PRAZO</v>
      </c>
      <c r="C1238" s="76" t="str">
        <f>IFERROR(VLOOKUP($A1238,EVENTO!$A$2:$C$4999,3,FALSE),"")</f>
        <v>PREFEITURA MUNICIPAL DE ARACATI - SEGURIDADE SOCIAL</v>
      </c>
      <c r="D1238" s="87" t="s">
        <v>1456</v>
      </c>
      <c r="E1238" s="4" t="s">
        <v>1548</v>
      </c>
      <c r="F1238" s="78">
        <v>3.0</v>
      </c>
      <c r="G1238" s="92">
        <v>387.36</v>
      </c>
    </row>
    <row r="1239">
      <c r="A1239" s="6">
        <v>239.0</v>
      </c>
      <c r="B1239" s="76" t="str">
        <f>IFERROR(VLOOKUP($A1239,EVENTO!$A$2:$C$4999,2,FALSE),"")</f>
        <v>ADITIVO DE PRAZO</v>
      </c>
      <c r="C1239" s="76" t="str">
        <f>IFERROR(VLOOKUP($A1239,EVENTO!$A$2:$C$4999,3,FALSE),"")</f>
        <v>PREFEITURA MUNICIPAL DE ARACATI - SEGURIDADE SOCIAL</v>
      </c>
      <c r="D1239" s="87" t="s">
        <v>1553</v>
      </c>
      <c r="F1239" s="78">
        <v>2.0</v>
      </c>
      <c r="G1239" s="79">
        <v>286.34</v>
      </c>
    </row>
    <row r="1240">
      <c r="A1240" s="6">
        <v>239.0</v>
      </c>
      <c r="B1240" s="76" t="str">
        <f>IFERROR(VLOOKUP($A1240,EVENTO!$A$2:$C$4999,2,FALSE),"")</f>
        <v>ADITIVO DE PRAZO</v>
      </c>
      <c r="C1240" s="76" t="str">
        <f>IFERROR(VLOOKUP($A1240,EVENTO!$A$2:$C$4999,3,FALSE),"")</f>
        <v>PREFEITURA MUNICIPAL DE ARACATI - SEGURIDADE SOCIAL</v>
      </c>
      <c r="D1240" s="87" t="s">
        <v>1487</v>
      </c>
      <c r="F1240" s="78">
        <v>2.0</v>
      </c>
      <c r="G1240" s="79">
        <v>234.7</v>
      </c>
    </row>
    <row r="1241">
      <c r="A1241" s="6">
        <v>239.0</v>
      </c>
      <c r="B1241" s="76" t="str">
        <f>IFERROR(VLOOKUP($A1241,EVENTO!$A$2:$C$4999,2,FALSE),"")</f>
        <v>ADITIVO DE PRAZO</v>
      </c>
      <c r="C1241" s="76" t="str">
        <f>IFERROR(VLOOKUP($A1241,EVENTO!$A$2:$C$4999,3,FALSE),"")</f>
        <v>PREFEITURA MUNICIPAL DE ARACATI - SEGURIDADE SOCIAL</v>
      </c>
      <c r="D1241" s="87" t="s">
        <v>1556</v>
      </c>
      <c r="F1241" s="78">
        <v>1.0</v>
      </c>
      <c r="G1241" s="79">
        <v>148.11</v>
      </c>
    </row>
    <row r="1242">
      <c r="A1242" s="6">
        <v>239.0</v>
      </c>
      <c r="B1242" s="76" t="str">
        <f>IFERROR(VLOOKUP($A1242,EVENTO!$A$2:$C$4999,2,FALSE),"")</f>
        <v>ADITIVO DE PRAZO</v>
      </c>
      <c r="C1242" s="76" t="str">
        <f>IFERROR(VLOOKUP($A1242,EVENTO!$A$2:$C$4999,3,FALSE),"")</f>
        <v>PREFEITURA MUNICIPAL DE ARACATI - SEGURIDADE SOCIAL</v>
      </c>
      <c r="D1242" s="78" t="s">
        <v>1650</v>
      </c>
      <c r="F1242" s="78">
        <v>2.0</v>
      </c>
      <c r="G1242" s="79">
        <v>201.73</v>
      </c>
    </row>
    <row r="1243">
      <c r="A1243" s="6">
        <v>239.0</v>
      </c>
      <c r="B1243" s="76" t="str">
        <f>IFERROR(VLOOKUP($A1243,EVENTO!$A$2:$C$4999,2,FALSE),"")</f>
        <v>ADITIVO DE PRAZO</v>
      </c>
      <c r="C1243" s="76" t="str">
        <f>IFERROR(VLOOKUP($A1243,EVENTO!$A$2:$C$4999,3,FALSE),"")</f>
        <v>PREFEITURA MUNICIPAL DE ARACATI - SEGURIDADE SOCIAL</v>
      </c>
      <c r="D1243" s="78" t="s">
        <v>1580</v>
      </c>
      <c r="F1243" s="78">
        <v>1.0</v>
      </c>
      <c r="G1243" s="79">
        <v>193.47</v>
      </c>
    </row>
    <row r="1244">
      <c r="A1244" s="6">
        <v>239.0</v>
      </c>
      <c r="B1244" s="76" t="str">
        <f>IFERROR(VLOOKUP($A1244,EVENTO!$A$2:$C$4999,2,FALSE),"")</f>
        <v>ADITIVO DE PRAZO</v>
      </c>
      <c r="C1244" s="76" t="str">
        <f>IFERROR(VLOOKUP($A1244,EVENTO!$A$2:$C$4999,3,FALSE),"")</f>
        <v>PREFEITURA MUNICIPAL DE ARACATI - SEGURIDADE SOCIAL</v>
      </c>
      <c r="D1244" s="78" t="s">
        <v>1560</v>
      </c>
      <c r="F1244" s="78">
        <v>1.0</v>
      </c>
      <c r="G1244" s="79">
        <v>50.3</v>
      </c>
    </row>
    <row r="1245">
      <c r="A1245" s="6">
        <v>239.0</v>
      </c>
      <c r="B1245" s="76" t="str">
        <f>IFERROR(VLOOKUP($A1245,EVENTO!$A$2:$C$4999,2,FALSE),"")</f>
        <v>ADITIVO DE PRAZO</v>
      </c>
      <c r="C1245" s="76" t="str">
        <f>IFERROR(VLOOKUP($A1245,EVENTO!$A$2:$C$4999,3,FALSE),"")</f>
        <v>PREFEITURA MUNICIPAL DE ARACATI - SEGURIDADE SOCIAL</v>
      </c>
      <c r="D1245" s="78" t="s">
        <v>1575</v>
      </c>
      <c r="F1245" s="78">
        <v>1.0</v>
      </c>
      <c r="G1245" s="79">
        <v>13.42</v>
      </c>
    </row>
    <row r="1246">
      <c r="A1246" s="6">
        <v>239.0</v>
      </c>
      <c r="B1246" s="76" t="str">
        <f>IFERROR(VLOOKUP($A1246,EVENTO!$A$2:$C$4999,2,FALSE),"")</f>
        <v>ADITIVO DE PRAZO</v>
      </c>
      <c r="C1246" s="76" t="str">
        <f>IFERROR(VLOOKUP($A1246,EVENTO!$A$2:$C$4999,3,FALSE),"")</f>
        <v>PREFEITURA MUNICIPAL DE ARACATI - SEGURIDADE SOCIAL</v>
      </c>
      <c r="D1246" s="78" t="s">
        <v>1557</v>
      </c>
      <c r="F1246" s="78">
        <v>3.0</v>
      </c>
      <c r="G1246" s="79">
        <v>91.18</v>
      </c>
    </row>
    <row r="1247">
      <c r="A1247" s="6">
        <v>240.0</v>
      </c>
      <c r="B1247" s="76" t="str">
        <f>IFERROR(VLOOKUP($A1247,EVENTO!$A$2:$C$4999,2,FALSE),"")</f>
        <v>ADITIVO DE PRAZO</v>
      </c>
      <c r="C1247" s="76" t="str">
        <f>IFERROR(VLOOKUP($A1247,EVENTO!$A$2:$C$4999,3,FALSE),"")</f>
        <v>PREFEITURA MUNICIPAL DE ARACATI - SEGURIDADE SOCIAL</v>
      </c>
      <c r="D1247" s="87" t="s">
        <v>1544</v>
      </c>
      <c r="E1247" s="4" t="s">
        <v>1545</v>
      </c>
      <c r="F1247" s="78">
        <v>2.0</v>
      </c>
      <c r="G1247" s="92">
        <v>534.71</v>
      </c>
    </row>
    <row r="1248">
      <c r="A1248" s="6">
        <v>240.0</v>
      </c>
      <c r="B1248" s="76" t="str">
        <f>IFERROR(VLOOKUP($A1248,EVENTO!$A$2:$C$4999,2,FALSE),"")</f>
        <v>ADITIVO DE PRAZO</v>
      </c>
      <c r="C1248" s="76" t="str">
        <f>IFERROR(VLOOKUP($A1248,EVENTO!$A$2:$C$4999,3,FALSE),"")</f>
        <v>PREFEITURA MUNICIPAL DE ARACATI - SEGURIDADE SOCIAL</v>
      </c>
      <c r="D1248" s="87" t="s">
        <v>1456</v>
      </c>
      <c r="E1248" s="4" t="s">
        <v>1548</v>
      </c>
      <c r="F1248" s="78">
        <v>3.0</v>
      </c>
      <c r="G1248" s="92">
        <v>387.36</v>
      </c>
    </row>
    <row r="1249">
      <c r="A1249" s="6">
        <v>240.0</v>
      </c>
      <c r="B1249" s="76" t="str">
        <f>IFERROR(VLOOKUP($A1249,EVENTO!$A$2:$C$4999,2,FALSE),"")</f>
        <v>ADITIVO DE PRAZO</v>
      </c>
      <c r="C1249" s="76" t="str">
        <f>IFERROR(VLOOKUP($A1249,EVENTO!$A$2:$C$4999,3,FALSE),"")</f>
        <v>PREFEITURA MUNICIPAL DE ARACATI - SEGURIDADE SOCIAL</v>
      </c>
      <c r="D1249" s="87" t="s">
        <v>1553</v>
      </c>
      <c r="F1249" s="78">
        <v>2.0</v>
      </c>
      <c r="G1249" s="79">
        <v>286.34</v>
      </c>
    </row>
    <row r="1250">
      <c r="A1250" s="6">
        <v>240.0</v>
      </c>
      <c r="B1250" s="76" t="str">
        <f>IFERROR(VLOOKUP($A1250,EVENTO!$A$2:$C$4999,2,FALSE),"")</f>
        <v>ADITIVO DE PRAZO</v>
      </c>
      <c r="C1250" s="76" t="str">
        <f>IFERROR(VLOOKUP($A1250,EVENTO!$A$2:$C$4999,3,FALSE),"")</f>
        <v>PREFEITURA MUNICIPAL DE ARACATI - SEGURIDADE SOCIAL</v>
      </c>
      <c r="D1250" s="87" t="s">
        <v>1487</v>
      </c>
      <c r="F1250" s="78">
        <v>2.0</v>
      </c>
      <c r="G1250" s="79">
        <v>234.7</v>
      </c>
    </row>
    <row r="1251">
      <c r="A1251" s="6">
        <v>240.0</v>
      </c>
      <c r="B1251" s="76" t="str">
        <f>IFERROR(VLOOKUP($A1251,EVENTO!$A$2:$C$4999,2,FALSE),"")</f>
        <v>ADITIVO DE PRAZO</v>
      </c>
      <c r="C1251" s="76" t="str">
        <f>IFERROR(VLOOKUP($A1251,EVENTO!$A$2:$C$4999,3,FALSE),"")</f>
        <v>PREFEITURA MUNICIPAL DE ARACATI - SEGURIDADE SOCIAL</v>
      </c>
      <c r="D1251" s="87" t="s">
        <v>1556</v>
      </c>
      <c r="F1251" s="78">
        <v>1.0</v>
      </c>
      <c r="G1251" s="79">
        <v>148.11</v>
      </c>
    </row>
    <row r="1252">
      <c r="A1252" s="6">
        <v>240.0</v>
      </c>
      <c r="B1252" s="76" t="str">
        <f>IFERROR(VLOOKUP($A1252,EVENTO!$A$2:$C$4999,2,FALSE),"")</f>
        <v>ADITIVO DE PRAZO</v>
      </c>
      <c r="C1252" s="76" t="str">
        <f>IFERROR(VLOOKUP($A1252,EVENTO!$A$2:$C$4999,3,FALSE),"")</f>
        <v>PREFEITURA MUNICIPAL DE ARACATI - SEGURIDADE SOCIAL</v>
      </c>
      <c r="D1252" s="78" t="s">
        <v>1650</v>
      </c>
      <c r="F1252" s="78">
        <v>2.0</v>
      </c>
      <c r="G1252" s="79">
        <v>201.73</v>
      </c>
    </row>
    <row r="1253">
      <c r="A1253" s="6">
        <v>240.0</v>
      </c>
      <c r="B1253" s="76" t="str">
        <f>IFERROR(VLOOKUP($A1253,EVENTO!$A$2:$C$4999,2,FALSE),"")</f>
        <v>ADITIVO DE PRAZO</v>
      </c>
      <c r="C1253" s="76" t="str">
        <f>IFERROR(VLOOKUP($A1253,EVENTO!$A$2:$C$4999,3,FALSE),"")</f>
        <v>PREFEITURA MUNICIPAL DE ARACATI - SEGURIDADE SOCIAL</v>
      </c>
      <c r="D1253" s="78" t="s">
        <v>1580</v>
      </c>
      <c r="F1253" s="78">
        <v>1.0</v>
      </c>
      <c r="G1253" s="79">
        <v>193.47</v>
      </c>
    </row>
    <row r="1254">
      <c r="A1254" s="6">
        <v>240.0</v>
      </c>
      <c r="B1254" s="76" t="str">
        <f>IFERROR(VLOOKUP($A1254,EVENTO!$A$2:$C$4999,2,FALSE),"")</f>
        <v>ADITIVO DE PRAZO</v>
      </c>
      <c r="C1254" s="76" t="str">
        <f>IFERROR(VLOOKUP($A1254,EVENTO!$A$2:$C$4999,3,FALSE),"")</f>
        <v>PREFEITURA MUNICIPAL DE ARACATI - SEGURIDADE SOCIAL</v>
      </c>
      <c r="D1254" s="78" t="s">
        <v>1560</v>
      </c>
      <c r="F1254" s="78">
        <v>1.0</v>
      </c>
      <c r="G1254" s="79">
        <v>50.3</v>
      </c>
    </row>
    <row r="1255">
      <c r="A1255" s="6">
        <v>240.0</v>
      </c>
      <c r="B1255" s="76" t="str">
        <f>IFERROR(VLOOKUP($A1255,EVENTO!$A$2:$C$4999,2,FALSE),"")</f>
        <v>ADITIVO DE PRAZO</v>
      </c>
      <c r="C1255" s="76" t="str">
        <f>IFERROR(VLOOKUP($A1255,EVENTO!$A$2:$C$4999,3,FALSE),"")</f>
        <v>PREFEITURA MUNICIPAL DE ARACATI - SEGURIDADE SOCIAL</v>
      </c>
      <c r="D1255" s="78" t="s">
        <v>1575</v>
      </c>
      <c r="F1255" s="78">
        <v>1.0</v>
      </c>
      <c r="G1255" s="79">
        <v>13.42</v>
      </c>
    </row>
    <row r="1256">
      <c r="A1256" s="6">
        <v>240.0</v>
      </c>
      <c r="B1256" s="76" t="str">
        <f>IFERROR(VLOOKUP($A1256,EVENTO!$A$2:$C$4999,2,FALSE),"")</f>
        <v>ADITIVO DE PRAZO</v>
      </c>
      <c r="C1256" s="76" t="str">
        <f>IFERROR(VLOOKUP($A1256,EVENTO!$A$2:$C$4999,3,FALSE),"")</f>
        <v>PREFEITURA MUNICIPAL DE ARACATI - SEGURIDADE SOCIAL</v>
      </c>
      <c r="D1256" s="78" t="s">
        <v>1557</v>
      </c>
      <c r="F1256" s="78">
        <v>3.0</v>
      </c>
      <c r="G1256" s="79">
        <v>91.18</v>
      </c>
    </row>
    <row r="1257">
      <c r="A1257" s="6">
        <v>241.0</v>
      </c>
      <c r="B1257" s="76" t="str">
        <f>IFERROR(VLOOKUP($A1257,EVENTO!$A$2:$C$4999,2,FALSE),"")</f>
        <v>ADITIVO DE PRAZO</v>
      </c>
      <c r="C1257" s="76" t="str">
        <f>IFERROR(VLOOKUP($A1257,EVENTO!$A$2:$C$4999,3,FALSE),"")</f>
        <v>PREFEITURA MUNICIPAL DE ARACATI - SEGURIDADE SOCIAL</v>
      </c>
      <c r="D1257" s="87" t="s">
        <v>1544</v>
      </c>
      <c r="E1257" s="4" t="s">
        <v>1545</v>
      </c>
      <c r="F1257" s="78">
        <v>2.0</v>
      </c>
      <c r="G1257" s="92">
        <v>534.71</v>
      </c>
    </row>
    <row r="1258">
      <c r="A1258" s="6">
        <v>241.0</v>
      </c>
      <c r="B1258" s="76" t="str">
        <f>IFERROR(VLOOKUP($A1258,EVENTO!$A$2:$C$4999,2,FALSE),"")</f>
        <v>ADITIVO DE PRAZO</v>
      </c>
      <c r="C1258" s="76" t="str">
        <f>IFERROR(VLOOKUP($A1258,EVENTO!$A$2:$C$4999,3,FALSE),"")</f>
        <v>PREFEITURA MUNICIPAL DE ARACATI - SEGURIDADE SOCIAL</v>
      </c>
      <c r="D1258" s="87" t="s">
        <v>1456</v>
      </c>
      <c r="E1258" s="4" t="s">
        <v>1548</v>
      </c>
      <c r="F1258" s="78">
        <v>3.0</v>
      </c>
      <c r="G1258" s="92">
        <v>387.36</v>
      </c>
    </row>
    <row r="1259">
      <c r="A1259" s="6">
        <v>241.0</v>
      </c>
      <c r="B1259" s="76" t="str">
        <f>IFERROR(VLOOKUP($A1259,EVENTO!$A$2:$C$4999,2,FALSE),"")</f>
        <v>ADITIVO DE PRAZO</v>
      </c>
      <c r="C1259" s="76" t="str">
        <f>IFERROR(VLOOKUP($A1259,EVENTO!$A$2:$C$4999,3,FALSE),"")</f>
        <v>PREFEITURA MUNICIPAL DE ARACATI - SEGURIDADE SOCIAL</v>
      </c>
      <c r="D1259" s="87" t="s">
        <v>1553</v>
      </c>
      <c r="F1259" s="78">
        <v>2.0</v>
      </c>
      <c r="G1259" s="79">
        <v>286.34</v>
      </c>
    </row>
    <row r="1260">
      <c r="A1260" s="6">
        <v>241.0</v>
      </c>
      <c r="B1260" s="76" t="str">
        <f>IFERROR(VLOOKUP($A1260,EVENTO!$A$2:$C$4999,2,FALSE),"")</f>
        <v>ADITIVO DE PRAZO</v>
      </c>
      <c r="C1260" s="76" t="str">
        <f>IFERROR(VLOOKUP($A1260,EVENTO!$A$2:$C$4999,3,FALSE),"")</f>
        <v>PREFEITURA MUNICIPAL DE ARACATI - SEGURIDADE SOCIAL</v>
      </c>
      <c r="D1260" s="87" t="s">
        <v>1487</v>
      </c>
      <c r="F1260" s="78">
        <v>2.0</v>
      </c>
      <c r="G1260" s="79">
        <v>234.7</v>
      </c>
    </row>
    <row r="1261">
      <c r="A1261" s="6">
        <v>241.0</v>
      </c>
      <c r="B1261" s="76" t="str">
        <f>IFERROR(VLOOKUP($A1261,EVENTO!$A$2:$C$4999,2,FALSE),"")</f>
        <v>ADITIVO DE PRAZO</v>
      </c>
      <c r="C1261" s="76" t="str">
        <f>IFERROR(VLOOKUP($A1261,EVENTO!$A$2:$C$4999,3,FALSE),"")</f>
        <v>PREFEITURA MUNICIPAL DE ARACATI - SEGURIDADE SOCIAL</v>
      </c>
      <c r="D1261" s="87" t="s">
        <v>1556</v>
      </c>
      <c r="F1261" s="78">
        <v>1.0</v>
      </c>
      <c r="G1261" s="79">
        <v>148.11</v>
      </c>
    </row>
    <row r="1262">
      <c r="A1262" s="6">
        <v>241.0</v>
      </c>
      <c r="B1262" s="76" t="str">
        <f>IFERROR(VLOOKUP($A1262,EVENTO!$A$2:$C$4999,2,FALSE),"")</f>
        <v>ADITIVO DE PRAZO</v>
      </c>
      <c r="C1262" s="76" t="str">
        <f>IFERROR(VLOOKUP($A1262,EVENTO!$A$2:$C$4999,3,FALSE),"")</f>
        <v>PREFEITURA MUNICIPAL DE ARACATI - SEGURIDADE SOCIAL</v>
      </c>
      <c r="D1262" s="78" t="s">
        <v>1650</v>
      </c>
      <c r="F1262" s="78">
        <v>2.0</v>
      </c>
      <c r="G1262" s="79">
        <v>201.73</v>
      </c>
    </row>
    <row r="1263">
      <c r="A1263" s="6">
        <v>241.0</v>
      </c>
      <c r="B1263" s="76" t="str">
        <f>IFERROR(VLOOKUP($A1263,EVENTO!$A$2:$C$4999,2,FALSE),"")</f>
        <v>ADITIVO DE PRAZO</v>
      </c>
      <c r="C1263" s="76" t="str">
        <f>IFERROR(VLOOKUP($A1263,EVENTO!$A$2:$C$4999,3,FALSE),"")</f>
        <v>PREFEITURA MUNICIPAL DE ARACATI - SEGURIDADE SOCIAL</v>
      </c>
      <c r="D1263" s="78" t="s">
        <v>1580</v>
      </c>
      <c r="F1263" s="78">
        <v>1.0</v>
      </c>
      <c r="G1263" s="79">
        <v>193.47</v>
      </c>
    </row>
    <row r="1264">
      <c r="A1264" s="6">
        <v>241.0</v>
      </c>
      <c r="B1264" s="76" t="str">
        <f>IFERROR(VLOOKUP($A1264,EVENTO!$A$2:$C$4999,2,FALSE),"")</f>
        <v>ADITIVO DE PRAZO</v>
      </c>
      <c r="C1264" s="76" t="str">
        <f>IFERROR(VLOOKUP($A1264,EVENTO!$A$2:$C$4999,3,FALSE),"")</f>
        <v>PREFEITURA MUNICIPAL DE ARACATI - SEGURIDADE SOCIAL</v>
      </c>
      <c r="D1264" s="78" t="s">
        <v>1560</v>
      </c>
      <c r="F1264" s="78">
        <v>1.0</v>
      </c>
      <c r="G1264" s="79">
        <v>50.3</v>
      </c>
    </row>
    <row r="1265">
      <c r="A1265" s="6">
        <v>241.0</v>
      </c>
      <c r="B1265" s="76" t="str">
        <f>IFERROR(VLOOKUP($A1265,EVENTO!$A$2:$C$4999,2,FALSE),"")</f>
        <v>ADITIVO DE PRAZO</v>
      </c>
      <c r="C1265" s="76" t="str">
        <f>IFERROR(VLOOKUP($A1265,EVENTO!$A$2:$C$4999,3,FALSE),"")</f>
        <v>PREFEITURA MUNICIPAL DE ARACATI - SEGURIDADE SOCIAL</v>
      </c>
      <c r="D1265" s="78" t="s">
        <v>1575</v>
      </c>
      <c r="F1265" s="78">
        <v>1.0</v>
      </c>
      <c r="G1265" s="79">
        <v>13.42</v>
      </c>
    </row>
    <row r="1266">
      <c r="A1266" s="6">
        <v>241.0</v>
      </c>
      <c r="B1266" s="76" t="str">
        <f>IFERROR(VLOOKUP($A1266,EVENTO!$A$2:$C$4999,2,FALSE),"")</f>
        <v>ADITIVO DE PRAZO</v>
      </c>
      <c r="C1266" s="76" t="str">
        <f>IFERROR(VLOOKUP($A1266,EVENTO!$A$2:$C$4999,3,FALSE),"")</f>
        <v>PREFEITURA MUNICIPAL DE ARACATI - SEGURIDADE SOCIAL</v>
      </c>
      <c r="D1266" s="78" t="s">
        <v>1557</v>
      </c>
      <c r="F1266" s="78">
        <v>3.0</v>
      </c>
      <c r="G1266" s="79">
        <v>91.18</v>
      </c>
    </row>
    <row r="1267">
      <c r="A1267" s="6">
        <v>242.0</v>
      </c>
      <c r="B1267" s="76" t="str">
        <f>IFERROR(VLOOKUP($A1267,EVENTO!$A$2:$C$4999,2,FALSE),"")</f>
        <v>ADITIVO DE PRAZO</v>
      </c>
      <c r="C1267" s="76" t="str">
        <f>IFERROR(VLOOKUP($A1267,EVENTO!$A$2:$C$4999,3,FALSE),"")</f>
        <v>PREFEITURA MUNICIPAL DE ARACATI - SEGURIDADE SOCIAL</v>
      </c>
      <c r="D1267" s="87" t="s">
        <v>1544</v>
      </c>
      <c r="E1267" s="4" t="s">
        <v>1545</v>
      </c>
      <c r="F1267" s="78">
        <v>1.0</v>
      </c>
      <c r="G1267" s="92">
        <v>534.71</v>
      </c>
    </row>
    <row r="1268">
      <c r="A1268" s="6">
        <v>242.0</v>
      </c>
      <c r="B1268" s="76" t="str">
        <f>IFERROR(VLOOKUP($A1268,EVENTO!$A$2:$C$4999,2,FALSE),"")</f>
        <v>ADITIVO DE PRAZO</v>
      </c>
      <c r="C1268" s="76" t="str">
        <f>IFERROR(VLOOKUP($A1268,EVENTO!$A$2:$C$4999,3,FALSE),"")</f>
        <v>PREFEITURA MUNICIPAL DE ARACATI - SEGURIDADE SOCIAL</v>
      </c>
      <c r="D1268" s="87" t="s">
        <v>1456</v>
      </c>
      <c r="E1268" s="4" t="s">
        <v>1548</v>
      </c>
      <c r="F1268" s="78">
        <v>1.0</v>
      </c>
      <c r="G1268" s="92">
        <v>387.36</v>
      </c>
    </row>
    <row r="1269">
      <c r="A1269" s="6">
        <v>242.0</v>
      </c>
      <c r="B1269" s="76" t="str">
        <f>IFERROR(VLOOKUP($A1269,EVENTO!$A$2:$C$4999,2,FALSE),"")</f>
        <v>ADITIVO DE PRAZO</v>
      </c>
      <c r="C1269" s="76" t="str">
        <f>IFERROR(VLOOKUP($A1269,EVENTO!$A$2:$C$4999,3,FALSE),"")</f>
        <v>PREFEITURA MUNICIPAL DE ARACATI - SEGURIDADE SOCIAL</v>
      </c>
      <c r="D1269" s="87" t="s">
        <v>1553</v>
      </c>
      <c r="F1269" s="78">
        <v>1.0</v>
      </c>
      <c r="G1269" s="79">
        <v>286.34</v>
      </c>
    </row>
    <row r="1270">
      <c r="A1270" s="6">
        <v>242.0</v>
      </c>
      <c r="B1270" s="76" t="str">
        <f>IFERROR(VLOOKUP($A1270,EVENTO!$A$2:$C$4999,2,FALSE),"")</f>
        <v>ADITIVO DE PRAZO</v>
      </c>
      <c r="C1270" s="76" t="str">
        <f>IFERROR(VLOOKUP($A1270,EVENTO!$A$2:$C$4999,3,FALSE),"")</f>
        <v>PREFEITURA MUNICIPAL DE ARACATI - SEGURIDADE SOCIAL</v>
      </c>
      <c r="D1270" s="87" t="s">
        <v>1560</v>
      </c>
      <c r="E1270" s="4"/>
      <c r="F1270" s="78">
        <v>3.0</v>
      </c>
      <c r="G1270" s="92">
        <v>50.3</v>
      </c>
    </row>
    <row r="1271">
      <c r="A1271" s="6">
        <v>242.0</v>
      </c>
      <c r="B1271" s="76" t="str">
        <f>IFERROR(VLOOKUP($A1271,EVENTO!$A$2:$C$4999,2,FALSE),"")</f>
        <v>ADITIVO DE PRAZO</v>
      </c>
      <c r="C1271" s="76" t="str">
        <f>IFERROR(VLOOKUP($A1271,EVENTO!$A$2:$C$4999,3,FALSE),"")</f>
        <v>PREFEITURA MUNICIPAL DE ARACATI - SEGURIDADE SOCIAL</v>
      </c>
      <c r="D1271" s="87" t="s">
        <v>1557</v>
      </c>
      <c r="E1271" s="4"/>
      <c r="F1271" s="78">
        <v>3.0</v>
      </c>
      <c r="G1271" s="92">
        <v>91.18</v>
      </c>
    </row>
    <row r="1272">
      <c r="A1272" s="6">
        <v>243.0</v>
      </c>
      <c r="B1272" s="76" t="str">
        <f>IFERROR(VLOOKUP($A1272,EVENTO!$A$2:$C$4999,2,FALSE),"")</f>
        <v>ADITIVO DE PRAZO</v>
      </c>
      <c r="C1272" s="76" t="str">
        <f>IFERROR(VLOOKUP($A1272,EVENTO!$A$2:$C$4999,3,FALSE),"")</f>
        <v>PREFEITURA MUNICIPAL DE ARACATI - SEGURIDADE SOCIAL</v>
      </c>
      <c r="D1272" s="87" t="s">
        <v>1544</v>
      </c>
      <c r="E1272" s="4" t="s">
        <v>1545</v>
      </c>
      <c r="F1272" s="78">
        <v>1.0</v>
      </c>
      <c r="G1272" s="92">
        <v>534.71</v>
      </c>
    </row>
    <row r="1273">
      <c r="A1273" s="6">
        <v>243.0</v>
      </c>
      <c r="B1273" s="76" t="str">
        <f>IFERROR(VLOOKUP($A1273,EVENTO!$A$2:$C$4999,2,FALSE),"")</f>
        <v>ADITIVO DE PRAZO</v>
      </c>
      <c r="C1273" s="76" t="str">
        <f>IFERROR(VLOOKUP($A1273,EVENTO!$A$2:$C$4999,3,FALSE),"")</f>
        <v>PREFEITURA MUNICIPAL DE ARACATI - SEGURIDADE SOCIAL</v>
      </c>
      <c r="D1273" s="87" t="s">
        <v>1456</v>
      </c>
      <c r="E1273" s="4" t="s">
        <v>1548</v>
      </c>
      <c r="F1273" s="78">
        <v>1.0</v>
      </c>
      <c r="G1273" s="92">
        <v>387.36</v>
      </c>
    </row>
    <row r="1274">
      <c r="A1274" s="6">
        <v>243.0</v>
      </c>
      <c r="B1274" s="76" t="str">
        <f>IFERROR(VLOOKUP($A1274,EVENTO!$A$2:$C$4999,2,FALSE),"")</f>
        <v>ADITIVO DE PRAZO</v>
      </c>
      <c r="C1274" s="76" t="str">
        <f>IFERROR(VLOOKUP($A1274,EVENTO!$A$2:$C$4999,3,FALSE),"")</f>
        <v>PREFEITURA MUNICIPAL DE ARACATI - SEGURIDADE SOCIAL</v>
      </c>
      <c r="D1274" s="87" t="s">
        <v>1553</v>
      </c>
      <c r="F1274" s="78">
        <v>1.0</v>
      </c>
      <c r="G1274" s="79">
        <v>286.34</v>
      </c>
    </row>
    <row r="1275">
      <c r="A1275" s="6">
        <v>243.0</v>
      </c>
      <c r="B1275" s="76" t="str">
        <f>IFERROR(VLOOKUP($A1275,EVENTO!$A$2:$C$4999,2,FALSE),"")</f>
        <v>ADITIVO DE PRAZO</v>
      </c>
      <c r="C1275" s="76" t="str">
        <f>IFERROR(VLOOKUP($A1275,EVENTO!$A$2:$C$4999,3,FALSE),"")</f>
        <v>PREFEITURA MUNICIPAL DE ARACATI - SEGURIDADE SOCIAL</v>
      </c>
      <c r="D1275" s="87" t="s">
        <v>1560</v>
      </c>
      <c r="E1275" s="4"/>
      <c r="F1275" s="78">
        <v>3.0</v>
      </c>
      <c r="G1275" s="92">
        <v>50.3</v>
      </c>
    </row>
    <row r="1276">
      <c r="A1276" s="6">
        <v>243.0</v>
      </c>
      <c r="B1276" s="76" t="str">
        <f>IFERROR(VLOOKUP($A1276,EVENTO!$A$2:$C$4999,2,FALSE),"")</f>
        <v>ADITIVO DE PRAZO</v>
      </c>
      <c r="C1276" s="76" t="str">
        <f>IFERROR(VLOOKUP($A1276,EVENTO!$A$2:$C$4999,3,FALSE),"")</f>
        <v>PREFEITURA MUNICIPAL DE ARACATI - SEGURIDADE SOCIAL</v>
      </c>
      <c r="D1276" s="87" t="s">
        <v>1557</v>
      </c>
      <c r="E1276" s="4"/>
      <c r="F1276" s="78">
        <v>3.0</v>
      </c>
      <c r="G1276" s="92">
        <v>91.18</v>
      </c>
    </row>
    <row r="1277">
      <c r="A1277" s="6">
        <v>244.0</v>
      </c>
      <c r="B1277" s="76" t="str">
        <f>IFERROR(VLOOKUP($A1277,EVENTO!$A$2:$C$4999,2,FALSE),"")</f>
        <v>CADASTRO</v>
      </c>
      <c r="C1277" s="76" t="str">
        <f>IFERROR(VLOOKUP($A1277,EVENTO!$A$2:$C$4999,3,FALSE),"")</f>
        <v>PREFEITURA MUNICIPAL DE ARACATI - GABINETE DO PREFEITO</v>
      </c>
      <c r="D1277" s="78" t="s">
        <v>1549</v>
      </c>
      <c r="E1277" s="6" t="s">
        <v>1550</v>
      </c>
      <c r="F1277" s="78">
        <v>8.0</v>
      </c>
      <c r="G1277" s="79">
        <v>221.78</v>
      </c>
    </row>
    <row r="1278">
      <c r="A1278" s="6">
        <v>244.0</v>
      </c>
      <c r="B1278" s="76" t="str">
        <f>IFERROR(VLOOKUP($A1278,EVENTO!$A$2:$C$4999,2,FALSE),"")</f>
        <v>CADASTRO</v>
      </c>
      <c r="C1278" s="76" t="str">
        <f>IFERROR(VLOOKUP($A1278,EVENTO!$A$2:$C$4999,3,FALSE),"")</f>
        <v>PREFEITURA MUNICIPAL DE ARACATI - GABINETE DO PREFEITO</v>
      </c>
      <c r="D1278" s="78" t="s">
        <v>1551</v>
      </c>
      <c r="E1278" s="6" t="s">
        <v>1552</v>
      </c>
      <c r="F1278" s="78">
        <v>8.0</v>
      </c>
      <c r="G1278" s="79">
        <v>173.93</v>
      </c>
    </row>
    <row r="1279">
      <c r="A1279" s="6">
        <v>244.0</v>
      </c>
      <c r="B1279" s="76" t="str">
        <f>IFERROR(VLOOKUP($A1279,EVENTO!$A$2:$C$4999,2,FALSE),"")</f>
        <v>CADASTRO</v>
      </c>
      <c r="C1279" s="76" t="str">
        <f>IFERROR(VLOOKUP($A1279,EVENTO!$A$2:$C$4999,3,FALSE),"")</f>
        <v>PREFEITURA MUNICIPAL DE ARACATI - GABINETE DO PREFEITO</v>
      </c>
      <c r="D1279" s="87" t="s">
        <v>1553</v>
      </c>
      <c r="F1279" s="78">
        <v>3.0</v>
      </c>
      <c r="G1279" s="79">
        <v>286.34</v>
      </c>
    </row>
    <row r="1280">
      <c r="A1280" s="6">
        <v>244.0</v>
      </c>
      <c r="B1280" s="76" t="str">
        <f>IFERROR(VLOOKUP($A1280,EVENTO!$A$2:$C$4999,2,FALSE),"")</f>
        <v>CADASTRO</v>
      </c>
      <c r="C1280" s="76" t="str">
        <f>IFERROR(VLOOKUP($A1280,EVENTO!$A$2:$C$4999,3,FALSE),"")</f>
        <v>PREFEITURA MUNICIPAL DE ARACATI - GABINETE DO PREFEITO</v>
      </c>
      <c r="D1280" s="87" t="s">
        <v>1487</v>
      </c>
      <c r="F1280" s="78">
        <v>3.0</v>
      </c>
      <c r="G1280" s="79">
        <v>234.7</v>
      </c>
    </row>
    <row r="1281">
      <c r="A1281" s="6">
        <v>244.0</v>
      </c>
      <c r="B1281" s="76" t="str">
        <f>IFERROR(VLOOKUP($A1281,EVENTO!$A$2:$C$4999,2,FALSE),"")</f>
        <v>CADASTRO</v>
      </c>
      <c r="C1281" s="76" t="str">
        <f>IFERROR(VLOOKUP($A1281,EVENTO!$A$2:$C$4999,3,FALSE),"")</f>
        <v>PREFEITURA MUNICIPAL DE ARACATI - GABINETE DO PREFEITO</v>
      </c>
      <c r="D1281" s="87" t="s">
        <v>1556</v>
      </c>
      <c r="F1281" s="78">
        <v>2.0</v>
      </c>
      <c r="G1281" s="79">
        <v>148.11</v>
      </c>
    </row>
    <row r="1282">
      <c r="A1282" s="6">
        <v>244.0</v>
      </c>
      <c r="B1282" s="76" t="str">
        <f>IFERROR(VLOOKUP($A1282,EVENTO!$A$2:$C$4999,2,FALSE),"")</f>
        <v>CADASTRO</v>
      </c>
      <c r="C1282" s="76" t="str">
        <f>IFERROR(VLOOKUP($A1282,EVENTO!$A$2:$C$4999,3,FALSE),"")</f>
        <v>PREFEITURA MUNICIPAL DE ARACATI - GABINETE DO PREFEITO</v>
      </c>
      <c r="D1282" s="81" t="s">
        <v>1384</v>
      </c>
      <c r="F1282" s="78">
        <v>1.0</v>
      </c>
      <c r="G1282" s="79">
        <v>1239.56</v>
      </c>
    </row>
    <row r="1283">
      <c r="A1283" s="6">
        <v>244.0</v>
      </c>
      <c r="B1283" s="76" t="str">
        <f>IFERROR(VLOOKUP($A1283,EVENTO!$A$2:$C$4999,2,FALSE),"")</f>
        <v>CADASTRO</v>
      </c>
      <c r="C1283" s="76" t="str">
        <f>IFERROR(VLOOKUP($A1283,EVENTO!$A$2:$C$4999,3,FALSE),"")</f>
        <v>PREFEITURA MUNICIPAL DE ARACATI - GABINETE DO PREFEITO</v>
      </c>
      <c r="D1283" s="87" t="s">
        <v>1556</v>
      </c>
      <c r="E1283" s="4"/>
      <c r="F1283" s="78">
        <v>2.0</v>
      </c>
      <c r="G1283" s="92">
        <v>148.11</v>
      </c>
    </row>
    <row r="1284">
      <c r="A1284" s="6">
        <v>244.0</v>
      </c>
      <c r="B1284" s="76" t="str">
        <f>IFERROR(VLOOKUP($A1284,EVENTO!$A$2:$C$4999,2,FALSE),"")</f>
        <v>CADASTRO</v>
      </c>
      <c r="C1284" s="76" t="str">
        <f>IFERROR(VLOOKUP($A1284,EVENTO!$A$2:$C$4999,3,FALSE),"")</f>
        <v>PREFEITURA MUNICIPAL DE ARACATI - GABINETE DO PREFEITO</v>
      </c>
      <c r="D1284" s="87" t="s">
        <v>1650</v>
      </c>
      <c r="E1284" s="4"/>
      <c r="F1284" s="78">
        <v>1.0</v>
      </c>
      <c r="G1284" s="92">
        <v>201.73</v>
      </c>
    </row>
    <row r="1285">
      <c r="A1285" s="6">
        <v>244.0</v>
      </c>
      <c r="B1285" s="76" t="str">
        <f>IFERROR(VLOOKUP($A1285,EVENTO!$A$2:$C$4999,2,FALSE),"")</f>
        <v>CADASTRO</v>
      </c>
      <c r="C1285" s="76" t="str">
        <f>IFERROR(VLOOKUP($A1285,EVENTO!$A$2:$C$4999,3,FALSE),"")</f>
        <v>PREFEITURA MUNICIPAL DE ARACATI - GABINETE DO PREFEITO</v>
      </c>
      <c r="D1285" s="87" t="s">
        <v>1580</v>
      </c>
      <c r="E1285" s="4"/>
      <c r="F1285" s="78">
        <v>1.0</v>
      </c>
      <c r="G1285" s="92">
        <v>193.47</v>
      </c>
    </row>
    <row r="1286">
      <c r="A1286" s="6">
        <v>244.0</v>
      </c>
      <c r="B1286" s="76" t="str">
        <f>IFERROR(VLOOKUP($A1286,EVENTO!$A$2:$C$4999,2,FALSE),"")</f>
        <v>CADASTRO</v>
      </c>
      <c r="C1286" s="76" t="str">
        <f>IFERROR(VLOOKUP($A1286,EVENTO!$A$2:$C$4999,3,FALSE),"")</f>
        <v>PREFEITURA MUNICIPAL DE ARACATI - GABINETE DO PREFEITO</v>
      </c>
      <c r="D1286" s="87" t="s">
        <v>1560</v>
      </c>
      <c r="E1286" s="4"/>
      <c r="F1286" s="78">
        <v>2.0</v>
      </c>
      <c r="G1286" s="92">
        <v>50.3</v>
      </c>
    </row>
    <row r="1287">
      <c r="A1287" s="6">
        <v>244.0</v>
      </c>
      <c r="B1287" s="76" t="str">
        <f>IFERROR(VLOOKUP($A1287,EVENTO!$A$2:$C$4999,2,FALSE),"")</f>
        <v>CADASTRO</v>
      </c>
      <c r="C1287" s="76" t="str">
        <f>IFERROR(VLOOKUP($A1287,EVENTO!$A$2:$C$4999,3,FALSE),"")</f>
        <v>PREFEITURA MUNICIPAL DE ARACATI - GABINETE DO PREFEITO</v>
      </c>
      <c r="D1287" s="87" t="s">
        <v>1575</v>
      </c>
      <c r="E1287" s="4"/>
      <c r="F1287" s="78">
        <v>1.0</v>
      </c>
      <c r="G1287" s="92">
        <v>13.42</v>
      </c>
    </row>
    <row r="1288">
      <c r="A1288" s="6">
        <v>244.0</v>
      </c>
      <c r="B1288" s="76" t="str">
        <f>IFERROR(VLOOKUP($A1288,EVENTO!$A$2:$C$4999,2,FALSE),"")</f>
        <v>CADASTRO</v>
      </c>
      <c r="C1288" s="76" t="str">
        <f>IFERROR(VLOOKUP($A1288,EVENTO!$A$2:$C$4999,3,FALSE),"")</f>
        <v>PREFEITURA MUNICIPAL DE ARACATI - GABINETE DO PREFEITO</v>
      </c>
      <c r="D1288" s="87" t="s">
        <v>1557</v>
      </c>
      <c r="E1288" s="4"/>
      <c r="F1288" s="78">
        <v>3.0</v>
      </c>
      <c r="G1288" s="92">
        <v>91.18</v>
      </c>
    </row>
    <row r="1289">
      <c r="A1289" s="6">
        <v>244.0</v>
      </c>
      <c r="B1289" s="76" t="str">
        <f>IFERROR(VLOOKUP($A1289,EVENTO!$A$2:$C$4999,2,FALSE),"")</f>
        <v>CADASTRO</v>
      </c>
      <c r="C1289" s="76" t="str">
        <f>IFERROR(VLOOKUP($A1289,EVENTO!$A$2:$C$4999,3,FALSE),"")</f>
        <v>PREFEITURA MUNICIPAL DE ARACATI - GABINETE DO PREFEITO</v>
      </c>
      <c r="D1289" s="87" t="s">
        <v>1538</v>
      </c>
      <c r="E1289" s="4"/>
      <c r="F1289" s="78">
        <v>1.0</v>
      </c>
      <c r="G1289" s="92">
        <v>199.46</v>
      </c>
    </row>
    <row r="1290">
      <c r="A1290" s="6">
        <v>244.0</v>
      </c>
      <c r="B1290" s="76" t="str">
        <f>IFERROR(VLOOKUP($A1290,EVENTO!$A$2:$C$4999,2,FALSE),"")</f>
        <v>CADASTRO</v>
      </c>
      <c r="C1290" s="76" t="str">
        <f>IFERROR(VLOOKUP($A1290,EVENTO!$A$2:$C$4999,3,FALSE),"")</f>
        <v>PREFEITURA MUNICIPAL DE ARACATI - GABINETE DO PREFEITO</v>
      </c>
      <c r="D1290" s="87" t="s">
        <v>1644</v>
      </c>
      <c r="E1290" s="4"/>
      <c r="F1290" s="78">
        <v>3.0</v>
      </c>
      <c r="G1290" s="93">
        <v>41.95</v>
      </c>
    </row>
    <row r="1291">
      <c r="A1291" s="6">
        <v>244.0</v>
      </c>
      <c r="B1291" s="76" t="str">
        <f>IFERROR(VLOOKUP($A1291,EVENTO!$A$2:$C$4999,2,FALSE),"")</f>
        <v>CADASTRO</v>
      </c>
      <c r="C1291" s="76" t="str">
        <f>IFERROR(VLOOKUP($A1291,EVENTO!$A$2:$C$4999,3,FALSE),"")</f>
        <v>PREFEITURA MUNICIPAL DE ARACATI - GABINETE DO PREFEITO</v>
      </c>
      <c r="D1291" s="78" t="s">
        <v>1652</v>
      </c>
      <c r="F1291" s="78">
        <v>3.0</v>
      </c>
      <c r="G1291" s="94">
        <v>169.29</v>
      </c>
    </row>
    <row r="1292">
      <c r="A1292" s="6">
        <v>244.0</v>
      </c>
      <c r="B1292" s="76" t="str">
        <f>IFERROR(VLOOKUP($A1292,EVENTO!$A$2:$C$4999,2,FALSE),"")</f>
        <v>CADASTRO</v>
      </c>
      <c r="C1292" s="76" t="str">
        <f>IFERROR(VLOOKUP($A1292,EVENTO!$A$2:$C$4999,3,FALSE),"")</f>
        <v>PREFEITURA MUNICIPAL DE ARACATI - GABINETE DO PREFEITO</v>
      </c>
      <c r="D1292" s="78" t="s">
        <v>1653</v>
      </c>
      <c r="F1292" s="78">
        <v>2.0</v>
      </c>
      <c r="G1292" s="94">
        <v>105.09</v>
      </c>
    </row>
    <row r="1293">
      <c r="A1293" s="6">
        <v>250.0</v>
      </c>
      <c r="B1293" s="76" t="str">
        <f>IFERROR(VLOOKUP($A1293,EVENTO!$A$2:$C$4999,2,FALSE),"")</f>
        <v>CADASTRO</v>
      </c>
      <c r="C1293" s="76" t="str">
        <f>IFERROR(VLOOKUP($A1293,EVENTO!$A$2:$C$4999,3,FALSE),"")</f>
        <v>SECRETARIA MUNICIPAL DE INFORMAÇÃO E TECNOLOGIA - SEMIT</v>
      </c>
      <c r="D1293" s="78" t="s">
        <v>1654</v>
      </c>
      <c r="E1293" s="6" t="s">
        <v>1655</v>
      </c>
      <c r="F1293" s="78">
        <v>20.0</v>
      </c>
      <c r="G1293" s="79">
        <v>156.0</v>
      </c>
    </row>
    <row r="1294">
      <c r="A1294" s="6">
        <v>250.0</v>
      </c>
      <c r="B1294" s="76" t="str">
        <f>IFERROR(VLOOKUP($A1294,EVENTO!$A$2:$C$4999,2,FALSE),"")</f>
        <v>CADASTRO</v>
      </c>
      <c r="C1294" s="76" t="str">
        <f>IFERROR(VLOOKUP($A1294,EVENTO!$A$2:$C$4999,3,FALSE),"")</f>
        <v>SECRETARIA MUNICIPAL DE INFORMAÇÃO E TECNOLOGIA - SEMIT</v>
      </c>
      <c r="D1294" s="78" t="s">
        <v>1656</v>
      </c>
      <c r="E1294" s="6" t="s">
        <v>1657</v>
      </c>
      <c r="F1294" s="78">
        <v>150.0</v>
      </c>
      <c r="G1294" s="79">
        <v>100.9</v>
      </c>
    </row>
    <row r="1295">
      <c r="A1295" s="6">
        <v>251.0</v>
      </c>
      <c r="B1295" s="76" t="str">
        <f>IFERROR(VLOOKUP($A1295,EVENTO!$A$2:$C$4999,2,FALSE),"")</f>
        <v>ADITIVO DE REAJUSTE E PRAZO</v>
      </c>
      <c r="C1295" s="76" t="str">
        <f>IFERROR(VLOOKUP($A1295,EVENTO!$A$2:$C$4999,3,FALSE),"")</f>
        <v>SECRETARIA MUNICIPAL DE INFORMAÇÃO E TECNOLOGIA - SEMIT</v>
      </c>
      <c r="D1295" s="78" t="s">
        <v>1654</v>
      </c>
      <c r="E1295" s="6" t="s">
        <v>1655</v>
      </c>
      <c r="F1295" s="78">
        <v>20.0</v>
      </c>
      <c r="G1295" s="89">
        <v>166.0781</v>
      </c>
    </row>
    <row r="1296">
      <c r="A1296" s="6">
        <v>251.0</v>
      </c>
      <c r="B1296" s="76" t="str">
        <f>IFERROR(VLOOKUP($A1296,EVENTO!$A$2:$C$4999,2,FALSE),"")</f>
        <v>ADITIVO DE REAJUSTE E PRAZO</v>
      </c>
      <c r="C1296" s="76" t="str">
        <f>IFERROR(VLOOKUP($A1296,EVENTO!$A$2:$C$4999,3,FALSE),"")</f>
        <v>SECRETARIA MUNICIPAL DE INFORMAÇÃO E TECNOLOGIA - SEMIT</v>
      </c>
      <c r="D1296" s="78" t="s">
        <v>1656</v>
      </c>
      <c r="E1296" s="6" t="s">
        <v>1657</v>
      </c>
      <c r="F1296" s="78">
        <v>150.0</v>
      </c>
      <c r="G1296" s="89">
        <v>107.4198</v>
      </c>
    </row>
    <row r="1297">
      <c r="A1297" s="6">
        <v>245.0</v>
      </c>
      <c r="B1297" s="76" t="str">
        <f>IFERROR(VLOOKUP($A1297,EVENTO!$A$2:$C$4999,2,FALSE),"")</f>
        <v>ADITIVO DE PRAZO</v>
      </c>
      <c r="C1297" s="76" t="str">
        <f>IFERROR(VLOOKUP($A1297,EVENTO!$A$2:$C$4999,3,FALSE),"")</f>
        <v>PREFEITURA MUNICIPAL DE ARACATI - GABINETE DO PREFEITO</v>
      </c>
      <c r="D1297" s="78" t="s">
        <v>1549</v>
      </c>
      <c r="E1297" s="6" t="s">
        <v>1550</v>
      </c>
      <c r="F1297" s="78">
        <v>8.0</v>
      </c>
      <c r="G1297" s="79">
        <v>221.78</v>
      </c>
    </row>
    <row r="1298">
      <c r="A1298" s="6">
        <v>245.0</v>
      </c>
      <c r="B1298" s="76" t="str">
        <f>IFERROR(VLOOKUP($A1298,EVENTO!$A$2:$C$4999,2,FALSE),"")</f>
        <v>ADITIVO DE PRAZO</v>
      </c>
      <c r="C1298" s="76" t="str">
        <f>IFERROR(VLOOKUP($A1298,EVENTO!$A$2:$C$4999,3,FALSE),"")</f>
        <v>PREFEITURA MUNICIPAL DE ARACATI - GABINETE DO PREFEITO</v>
      </c>
      <c r="D1298" s="78" t="s">
        <v>1551</v>
      </c>
      <c r="E1298" s="6" t="s">
        <v>1552</v>
      </c>
      <c r="F1298" s="78">
        <v>8.0</v>
      </c>
      <c r="G1298" s="79">
        <v>173.93</v>
      </c>
    </row>
    <row r="1299">
      <c r="A1299" s="6">
        <v>245.0</v>
      </c>
      <c r="B1299" s="76" t="str">
        <f>IFERROR(VLOOKUP($A1299,EVENTO!$A$2:$C$4999,2,FALSE),"")</f>
        <v>ADITIVO DE PRAZO</v>
      </c>
      <c r="C1299" s="76" t="str">
        <f>IFERROR(VLOOKUP($A1299,EVENTO!$A$2:$C$4999,3,FALSE),"")</f>
        <v>PREFEITURA MUNICIPAL DE ARACATI - GABINETE DO PREFEITO</v>
      </c>
      <c r="D1299" s="87" t="s">
        <v>1553</v>
      </c>
      <c r="F1299" s="78">
        <v>3.0</v>
      </c>
      <c r="G1299" s="79">
        <v>286.34</v>
      </c>
    </row>
    <row r="1300">
      <c r="A1300" s="6">
        <v>245.0</v>
      </c>
      <c r="B1300" s="76" t="str">
        <f>IFERROR(VLOOKUP($A1300,EVENTO!$A$2:$C$4999,2,FALSE),"")</f>
        <v>ADITIVO DE PRAZO</v>
      </c>
      <c r="C1300" s="76" t="str">
        <f>IFERROR(VLOOKUP($A1300,EVENTO!$A$2:$C$4999,3,FALSE),"")</f>
        <v>PREFEITURA MUNICIPAL DE ARACATI - GABINETE DO PREFEITO</v>
      </c>
      <c r="D1300" s="87" t="s">
        <v>1487</v>
      </c>
      <c r="F1300" s="78">
        <v>3.0</v>
      </c>
      <c r="G1300" s="79">
        <v>234.7</v>
      </c>
    </row>
    <row r="1301">
      <c r="A1301" s="6">
        <v>245.0</v>
      </c>
      <c r="B1301" s="76" t="str">
        <f>IFERROR(VLOOKUP($A1301,EVENTO!$A$2:$C$4999,2,FALSE),"")</f>
        <v>ADITIVO DE PRAZO</v>
      </c>
      <c r="C1301" s="76" t="str">
        <f>IFERROR(VLOOKUP($A1301,EVENTO!$A$2:$C$4999,3,FALSE),"")</f>
        <v>PREFEITURA MUNICIPAL DE ARACATI - GABINETE DO PREFEITO</v>
      </c>
      <c r="D1301" s="87" t="s">
        <v>1556</v>
      </c>
      <c r="F1301" s="78">
        <v>2.0</v>
      </c>
      <c r="G1301" s="79">
        <v>148.11</v>
      </c>
    </row>
    <row r="1302">
      <c r="A1302" s="6">
        <v>245.0</v>
      </c>
      <c r="B1302" s="76" t="str">
        <f>IFERROR(VLOOKUP($A1302,EVENTO!$A$2:$C$4999,2,FALSE),"")</f>
        <v>ADITIVO DE PRAZO</v>
      </c>
      <c r="C1302" s="76" t="str">
        <f>IFERROR(VLOOKUP($A1302,EVENTO!$A$2:$C$4999,3,FALSE),"")</f>
        <v>PREFEITURA MUNICIPAL DE ARACATI - GABINETE DO PREFEITO</v>
      </c>
      <c r="D1302" s="81" t="s">
        <v>1384</v>
      </c>
      <c r="F1302" s="78">
        <v>1.0</v>
      </c>
      <c r="G1302" s="79">
        <v>1239.56</v>
      </c>
    </row>
    <row r="1303">
      <c r="A1303" s="6">
        <v>245.0</v>
      </c>
      <c r="B1303" s="76" t="str">
        <f>IFERROR(VLOOKUP($A1303,EVENTO!$A$2:$C$4999,2,FALSE),"")</f>
        <v>ADITIVO DE PRAZO</v>
      </c>
      <c r="C1303" s="76" t="str">
        <f>IFERROR(VLOOKUP($A1303,EVENTO!$A$2:$C$4999,3,FALSE),"")</f>
        <v>PREFEITURA MUNICIPAL DE ARACATI - GABINETE DO PREFEITO</v>
      </c>
      <c r="D1303" s="87" t="s">
        <v>1556</v>
      </c>
      <c r="E1303" s="4"/>
      <c r="F1303" s="78">
        <v>2.0</v>
      </c>
      <c r="G1303" s="92">
        <v>148.11</v>
      </c>
    </row>
    <row r="1304">
      <c r="A1304" s="6">
        <v>245.0</v>
      </c>
      <c r="B1304" s="76" t="str">
        <f>IFERROR(VLOOKUP($A1304,EVENTO!$A$2:$C$4999,2,FALSE),"")</f>
        <v>ADITIVO DE PRAZO</v>
      </c>
      <c r="C1304" s="76" t="str">
        <f>IFERROR(VLOOKUP($A1304,EVENTO!$A$2:$C$4999,3,FALSE),"")</f>
        <v>PREFEITURA MUNICIPAL DE ARACATI - GABINETE DO PREFEITO</v>
      </c>
      <c r="D1304" s="87" t="s">
        <v>1650</v>
      </c>
      <c r="E1304" s="4"/>
      <c r="F1304" s="78">
        <v>1.0</v>
      </c>
      <c r="G1304" s="92">
        <v>201.73</v>
      </c>
    </row>
    <row r="1305">
      <c r="A1305" s="6">
        <v>245.0</v>
      </c>
      <c r="B1305" s="76" t="str">
        <f>IFERROR(VLOOKUP($A1305,EVENTO!$A$2:$C$4999,2,FALSE),"")</f>
        <v>ADITIVO DE PRAZO</v>
      </c>
      <c r="C1305" s="76" t="str">
        <f>IFERROR(VLOOKUP($A1305,EVENTO!$A$2:$C$4999,3,FALSE),"")</f>
        <v>PREFEITURA MUNICIPAL DE ARACATI - GABINETE DO PREFEITO</v>
      </c>
      <c r="D1305" s="87" t="s">
        <v>1580</v>
      </c>
      <c r="E1305" s="4"/>
      <c r="F1305" s="78">
        <v>1.0</v>
      </c>
      <c r="G1305" s="92">
        <v>193.47</v>
      </c>
    </row>
    <row r="1306">
      <c r="A1306" s="6">
        <v>245.0</v>
      </c>
      <c r="B1306" s="76" t="str">
        <f>IFERROR(VLOOKUP($A1306,EVENTO!$A$2:$C$4999,2,FALSE),"")</f>
        <v>ADITIVO DE PRAZO</v>
      </c>
      <c r="C1306" s="76" t="str">
        <f>IFERROR(VLOOKUP($A1306,EVENTO!$A$2:$C$4999,3,FALSE),"")</f>
        <v>PREFEITURA MUNICIPAL DE ARACATI - GABINETE DO PREFEITO</v>
      </c>
      <c r="D1306" s="87" t="s">
        <v>1560</v>
      </c>
      <c r="E1306" s="4"/>
      <c r="F1306" s="78">
        <v>2.0</v>
      </c>
      <c r="G1306" s="92">
        <v>50.3</v>
      </c>
    </row>
    <row r="1307">
      <c r="A1307" s="6">
        <v>245.0</v>
      </c>
      <c r="B1307" s="76" t="str">
        <f>IFERROR(VLOOKUP($A1307,EVENTO!$A$2:$C$4999,2,FALSE),"")</f>
        <v>ADITIVO DE PRAZO</v>
      </c>
      <c r="C1307" s="76" t="str">
        <f>IFERROR(VLOOKUP($A1307,EVENTO!$A$2:$C$4999,3,FALSE),"")</f>
        <v>PREFEITURA MUNICIPAL DE ARACATI - GABINETE DO PREFEITO</v>
      </c>
      <c r="D1307" s="87" t="s">
        <v>1575</v>
      </c>
      <c r="E1307" s="4"/>
      <c r="F1307" s="78">
        <v>1.0</v>
      </c>
      <c r="G1307" s="92">
        <v>13.42</v>
      </c>
    </row>
    <row r="1308">
      <c r="A1308" s="6">
        <v>245.0</v>
      </c>
      <c r="B1308" s="76" t="str">
        <f>IFERROR(VLOOKUP($A1308,EVENTO!$A$2:$C$4999,2,FALSE),"")</f>
        <v>ADITIVO DE PRAZO</v>
      </c>
      <c r="C1308" s="76" t="str">
        <f>IFERROR(VLOOKUP($A1308,EVENTO!$A$2:$C$4999,3,FALSE),"")</f>
        <v>PREFEITURA MUNICIPAL DE ARACATI - GABINETE DO PREFEITO</v>
      </c>
      <c r="D1308" s="87" t="s">
        <v>1557</v>
      </c>
      <c r="E1308" s="4"/>
      <c r="F1308" s="78">
        <v>3.0</v>
      </c>
      <c r="G1308" s="92">
        <v>91.18</v>
      </c>
    </row>
    <row r="1309">
      <c r="A1309" s="6">
        <v>245.0</v>
      </c>
      <c r="B1309" s="76" t="str">
        <f>IFERROR(VLOOKUP($A1309,EVENTO!$A$2:$C$4999,2,FALSE),"")</f>
        <v>ADITIVO DE PRAZO</v>
      </c>
      <c r="C1309" s="76" t="str">
        <f>IFERROR(VLOOKUP($A1309,EVENTO!$A$2:$C$4999,3,FALSE),"")</f>
        <v>PREFEITURA MUNICIPAL DE ARACATI - GABINETE DO PREFEITO</v>
      </c>
      <c r="D1309" s="87" t="s">
        <v>1538</v>
      </c>
      <c r="E1309" s="4"/>
      <c r="F1309" s="78">
        <v>1.0</v>
      </c>
      <c r="G1309" s="92">
        <v>199.46</v>
      </c>
    </row>
    <row r="1310">
      <c r="A1310" s="6">
        <v>245.0</v>
      </c>
      <c r="B1310" s="76" t="str">
        <f>IFERROR(VLOOKUP($A1310,EVENTO!$A$2:$C$4999,2,FALSE),"")</f>
        <v>ADITIVO DE PRAZO</v>
      </c>
      <c r="C1310" s="76" t="str">
        <f>IFERROR(VLOOKUP($A1310,EVENTO!$A$2:$C$4999,3,FALSE),"")</f>
        <v>PREFEITURA MUNICIPAL DE ARACATI - GABINETE DO PREFEITO</v>
      </c>
      <c r="D1310" s="87" t="s">
        <v>1644</v>
      </c>
      <c r="E1310" s="4"/>
      <c r="F1310" s="78">
        <v>3.0</v>
      </c>
      <c r="G1310" s="93">
        <v>41.95</v>
      </c>
    </row>
    <row r="1311">
      <c r="A1311" s="6">
        <v>245.0</v>
      </c>
      <c r="B1311" s="76" t="str">
        <f>IFERROR(VLOOKUP($A1311,EVENTO!$A$2:$C$4999,2,FALSE),"")</f>
        <v>ADITIVO DE PRAZO</v>
      </c>
      <c r="C1311" s="76" t="str">
        <f>IFERROR(VLOOKUP($A1311,EVENTO!$A$2:$C$4999,3,FALSE),"")</f>
        <v>PREFEITURA MUNICIPAL DE ARACATI - GABINETE DO PREFEITO</v>
      </c>
      <c r="D1311" s="78" t="s">
        <v>1652</v>
      </c>
      <c r="F1311" s="78">
        <v>3.0</v>
      </c>
      <c r="G1311" s="94">
        <v>169.29</v>
      </c>
    </row>
    <row r="1312">
      <c r="A1312" s="6">
        <v>245.0</v>
      </c>
      <c r="B1312" s="76" t="str">
        <f>IFERROR(VLOOKUP($A1312,EVENTO!$A$2:$C$4999,2,FALSE),"")</f>
        <v>ADITIVO DE PRAZO</v>
      </c>
      <c r="C1312" s="76" t="str">
        <f>IFERROR(VLOOKUP($A1312,EVENTO!$A$2:$C$4999,3,FALSE),"")</f>
        <v>PREFEITURA MUNICIPAL DE ARACATI - GABINETE DO PREFEITO</v>
      </c>
      <c r="D1312" s="78" t="s">
        <v>1653</v>
      </c>
      <c r="F1312" s="78">
        <v>2.0</v>
      </c>
      <c r="G1312" s="94">
        <v>105.09</v>
      </c>
    </row>
    <row r="1313">
      <c r="A1313" s="6">
        <v>246.0</v>
      </c>
      <c r="B1313" s="76" t="str">
        <f>IFERROR(VLOOKUP($A1313,EVENTO!$A$2:$C$4999,2,FALSE),"")</f>
        <v>ADITIVO DE PRAZO</v>
      </c>
      <c r="C1313" s="76" t="str">
        <f>IFERROR(VLOOKUP($A1313,EVENTO!$A$2:$C$4999,3,FALSE),"")</f>
        <v>PREFEITURA MUNICIPAL DE ARACATI - GABINETE DO PREFEITO</v>
      </c>
      <c r="D1313" s="78" t="s">
        <v>1544</v>
      </c>
      <c r="E1313" s="6" t="s">
        <v>1545</v>
      </c>
      <c r="F1313" s="78">
        <v>4.0</v>
      </c>
      <c r="G1313" s="79">
        <v>534.71</v>
      </c>
    </row>
    <row r="1314">
      <c r="A1314" s="6">
        <v>246.0</v>
      </c>
      <c r="B1314" s="76" t="str">
        <f>IFERROR(VLOOKUP($A1314,EVENTO!$A$2:$C$4999,2,FALSE),"")</f>
        <v>ADITIVO DE PRAZO</v>
      </c>
      <c r="C1314" s="76" t="str">
        <f>IFERROR(VLOOKUP($A1314,EVENTO!$A$2:$C$4999,3,FALSE),"")</f>
        <v>PREFEITURA MUNICIPAL DE ARACATI - GABINETE DO PREFEITO</v>
      </c>
      <c r="D1314" s="78" t="s">
        <v>1458</v>
      </c>
      <c r="E1314" s="6" t="s">
        <v>1535</v>
      </c>
      <c r="F1314" s="78">
        <v>4.0</v>
      </c>
      <c r="G1314" s="79">
        <v>344.75</v>
      </c>
    </row>
    <row r="1315">
      <c r="A1315" s="6">
        <v>246.0</v>
      </c>
      <c r="B1315" s="76" t="str">
        <f>IFERROR(VLOOKUP($A1315,EVENTO!$A$2:$C$4999,2,FALSE),"")</f>
        <v>ADITIVO DE PRAZO</v>
      </c>
      <c r="C1315" s="76" t="str">
        <f>IFERROR(VLOOKUP($A1315,EVENTO!$A$2:$C$4999,3,FALSE),"")</f>
        <v>PREFEITURA MUNICIPAL DE ARACATI - GABINETE DO PREFEITO</v>
      </c>
      <c r="D1315" s="78" t="s">
        <v>1546</v>
      </c>
      <c r="E1315" s="6" t="s">
        <v>1547</v>
      </c>
      <c r="F1315" s="78">
        <v>3.0</v>
      </c>
      <c r="G1315" s="79">
        <v>270.39</v>
      </c>
    </row>
    <row r="1316">
      <c r="A1316" s="6">
        <v>246.0</v>
      </c>
      <c r="B1316" s="76" t="str">
        <f>IFERROR(VLOOKUP($A1316,EVENTO!$A$2:$C$4999,2,FALSE),"")</f>
        <v>ADITIVO DE PRAZO</v>
      </c>
      <c r="C1316" s="76" t="str">
        <f>IFERROR(VLOOKUP($A1316,EVENTO!$A$2:$C$4999,3,FALSE),"")</f>
        <v>PREFEITURA MUNICIPAL DE ARACATI - GABINETE DO PREFEITO</v>
      </c>
      <c r="D1316" s="78" t="s">
        <v>1456</v>
      </c>
      <c r="E1316" s="6" t="s">
        <v>1548</v>
      </c>
      <c r="F1316" s="78">
        <v>3.0</v>
      </c>
      <c r="G1316" s="79">
        <v>387.36</v>
      </c>
    </row>
    <row r="1317">
      <c r="A1317" s="6">
        <v>246.0</v>
      </c>
      <c r="B1317" s="76" t="str">
        <f>IFERROR(VLOOKUP($A1317,EVENTO!$A$2:$C$4999,2,FALSE),"")</f>
        <v>ADITIVO DE PRAZO</v>
      </c>
      <c r="C1317" s="76" t="str">
        <f>IFERROR(VLOOKUP($A1317,EVENTO!$A$2:$C$4999,3,FALSE),"")</f>
        <v>PREFEITURA MUNICIPAL DE ARACATI - GABINETE DO PREFEITO</v>
      </c>
      <c r="D1317" s="78" t="s">
        <v>1549</v>
      </c>
      <c r="E1317" s="6" t="s">
        <v>1550</v>
      </c>
      <c r="F1317" s="78">
        <v>8.0</v>
      </c>
      <c r="G1317" s="79">
        <v>221.78</v>
      </c>
    </row>
    <row r="1318">
      <c r="A1318" s="6">
        <v>246.0</v>
      </c>
      <c r="B1318" s="76" t="str">
        <f>IFERROR(VLOOKUP($A1318,EVENTO!$A$2:$C$4999,2,FALSE),"")</f>
        <v>ADITIVO DE PRAZO</v>
      </c>
      <c r="C1318" s="76" t="str">
        <f>IFERROR(VLOOKUP($A1318,EVENTO!$A$2:$C$4999,3,FALSE),"")</f>
        <v>PREFEITURA MUNICIPAL DE ARACATI - GABINETE DO PREFEITO</v>
      </c>
      <c r="D1318" s="78" t="s">
        <v>1551</v>
      </c>
      <c r="E1318" s="6" t="s">
        <v>1552</v>
      </c>
      <c r="F1318" s="78">
        <v>8.0</v>
      </c>
      <c r="G1318" s="79">
        <v>173.93</v>
      </c>
    </row>
    <row r="1319">
      <c r="A1319" s="6">
        <v>246.0</v>
      </c>
      <c r="B1319" s="76" t="str">
        <f>IFERROR(VLOOKUP($A1319,EVENTO!$A$2:$C$4999,2,FALSE),"")</f>
        <v>ADITIVO DE PRAZO</v>
      </c>
      <c r="C1319" s="76" t="str">
        <f>IFERROR(VLOOKUP($A1319,EVENTO!$A$2:$C$4999,3,FALSE),"")</f>
        <v>PREFEITURA MUNICIPAL DE ARACATI - GABINETE DO PREFEITO</v>
      </c>
      <c r="D1319" s="87" t="s">
        <v>1553</v>
      </c>
      <c r="F1319" s="78">
        <v>3.0</v>
      </c>
      <c r="G1319" s="79">
        <v>286.34</v>
      </c>
    </row>
    <row r="1320">
      <c r="A1320" s="6">
        <v>246.0</v>
      </c>
      <c r="B1320" s="76" t="str">
        <f>IFERROR(VLOOKUP($A1320,EVENTO!$A$2:$C$4999,2,FALSE),"")</f>
        <v>ADITIVO DE PRAZO</v>
      </c>
      <c r="C1320" s="76" t="str">
        <f>IFERROR(VLOOKUP($A1320,EVENTO!$A$2:$C$4999,3,FALSE),"")</f>
        <v>PREFEITURA MUNICIPAL DE ARACATI - GABINETE DO PREFEITO</v>
      </c>
      <c r="D1320" s="87" t="s">
        <v>1487</v>
      </c>
      <c r="F1320" s="78">
        <v>3.0</v>
      </c>
      <c r="G1320" s="79">
        <v>234.7</v>
      </c>
    </row>
    <row r="1321">
      <c r="A1321" s="6">
        <v>246.0</v>
      </c>
      <c r="B1321" s="76" t="str">
        <f>IFERROR(VLOOKUP($A1321,EVENTO!$A$2:$C$4999,2,FALSE),"")</f>
        <v>ADITIVO DE PRAZO</v>
      </c>
      <c r="C1321" s="76" t="str">
        <f>IFERROR(VLOOKUP($A1321,EVENTO!$A$2:$C$4999,3,FALSE),"")</f>
        <v>PREFEITURA MUNICIPAL DE ARACATI - GABINETE DO PREFEITO</v>
      </c>
      <c r="D1321" s="87" t="s">
        <v>1556</v>
      </c>
      <c r="F1321" s="78">
        <v>2.0</v>
      </c>
      <c r="G1321" s="79">
        <v>148.11</v>
      </c>
    </row>
    <row r="1322">
      <c r="A1322" s="6">
        <v>246.0</v>
      </c>
      <c r="B1322" s="76" t="str">
        <f>IFERROR(VLOOKUP($A1322,EVENTO!$A$2:$C$4999,2,FALSE),"")</f>
        <v>ADITIVO DE PRAZO</v>
      </c>
      <c r="C1322" s="76" t="str">
        <f>IFERROR(VLOOKUP($A1322,EVENTO!$A$2:$C$4999,3,FALSE),"")</f>
        <v>PREFEITURA MUNICIPAL DE ARACATI - GABINETE DO PREFEITO</v>
      </c>
      <c r="D1322" s="81" t="s">
        <v>1384</v>
      </c>
      <c r="F1322" s="78">
        <v>1.0</v>
      </c>
      <c r="G1322" s="79">
        <v>1239.56</v>
      </c>
    </row>
    <row r="1323">
      <c r="A1323" s="6">
        <v>246.0</v>
      </c>
      <c r="B1323" s="76" t="str">
        <f>IFERROR(VLOOKUP($A1323,EVENTO!$A$2:$C$4999,2,FALSE),"")</f>
        <v>ADITIVO DE PRAZO</v>
      </c>
      <c r="C1323" s="76" t="str">
        <f>IFERROR(VLOOKUP($A1323,EVENTO!$A$2:$C$4999,3,FALSE),"")</f>
        <v>PREFEITURA MUNICIPAL DE ARACATI - GABINETE DO PREFEITO</v>
      </c>
      <c r="D1323" s="87" t="s">
        <v>1556</v>
      </c>
      <c r="E1323" s="4"/>
      <c r="F1323" s="78">
        <v>2.0</v>
      </c>
      <c r="G1323" s="92">
        <v>148.11</v>
      </c>
    </row>
    <row r="1324">
      <c r="A1324" s="6">
        <v>246.0</v>
      </c>
      <c r="B1324" s="76" t="str">
        <f>IFERROR(VLOOKUP($A1324,EVENTO!$A$2:$C$4999,2,FALSE),"")</f>
        <v>ADITIVO DE PRAZO</v>
      </c>
      <c r="C1324" s="76" t="str">
        <f>IFERROR(VLOOKUP($A1324,EVENTO!$A$2:$C$4999,3,FALSE),"")</f>
        <v>PREFEITURA MUNICIPAL DE ARACATI - GABINETE DO PREFEITO</v>
      </c>
      <c r="D1324" s="87" t="s">
        <v>1650</v>
      </c>
      <c r="E1324" s="4"/>
      <c r="F1324" s="78">
        <v>1.0</v>
      </c>
      <c r="G1324" s="92">
        <v>201.73</v>
      </c>
    </row>
    <row r="1325">
      <c r="A1325" s="6">
        <v>246.0</v>
      </c>
      <c r="B1325" s="76" t="str">
        <f>IFERROR(VLOOKUP($A1325,EVENTO!$A$2:$C$4999,2,FALSE),"")</f>
        <v>ADITIVO DE PRAZO</v>
      </c>
      <c r="C1325" s="76" t="str">
        <f>IFERROR(VLOOKUP($A1325,EVENTO!$A$2:$C$4999,3,FALSE),"")</f>
        <v>PREFEITURA MUNICIPAL DE ARACATI - GABINETE DO PREFEITO</v>
      </c>
      <c r="D1325" s="87" t="s">
        <v>1580</v>
      </c>
      <c r="E1325" s="4"/>
      <c r="F1325" s="78">
        <v>1.0</v>
      </c>
      <c r="G1325" s="92">
        <v>193.47</v>
      </c>
    </row>
    <row r="1326">
      <c r="A1326" s="6">
        <v>246.0</v>
      </c>
      <c r="B1326" s="76" t="str">
        <f>IFERROR(VLOOKUP($A1326,EVENTO!$A$2:$C$4999,2,FALSE),"")</f>
        <v>ADITIVO DE PRAZO</v>
      </c>
      <c r="C1326" s="76" t="str">
        <f>IFERROR(VLOOKUP($A1326,EVENTO!$A$2:$C$4999,3,FALSE),"")</f>
        <v>PREFEITURA MUNICIPAL DE ARACATI - GABINETE DO PREFEITO</v>
      </c>
      <c r="D1326" s="87" t="s">
        <v>1560</v>
      </c>
      <c r="E1326" s="4"/>
      <c r="F1326" s="78">
        <v>2.0</v>
      </c>
      <c r="G1326" s="92">
        <v>50.3</v>
      </c>
    </row>
    <row r="1327">
      <c r="A1327" s="6">
        <v>246.0</v>
      </c>
      <c r="B1327" s="76" t="str">
        <f>IFERROR(VLOOKUP($A1327,EVENTO!$A$2:$C$4999,2,FALSE),"")</f>
        <v>ADITIVO DE PRAZO</v>
      </c>
      <c r="C1327" s="76" t="str">
        <f>IFERROR(VLOOKUP($A1327,EVENTO!$A$2:$C$4999,3,FALSE),"")</f>
        <v>PREFEITURA MUNICIPAL DE ARACATI - GABINETE DO PREFEITO</v>
      </c>
      <c r="D1327" s="87" t="s">
        <v>1575</v>
      </c>
      <c r="E1327" s="4"/>
      <c r="F1327" s="78">
        <v>1.0</v>
      </c>
      <c r="G1327" s="92">
        <v>13.42</v>
      </c>
    </row>
    <row r="1328">
      <c r="A1328" s="6">
        <v>246.0</v>
      </c>
      <c r="B1328" s="76" t="str">
        <f>IFERROR(VLOOKUP($A1328,EVENTO!$A$2:$C$4999,2,FALSE),"")</f>
        <v>ADITIVO DE PRAZO</v>
      </c>
      <c r="C1328" s="76" t="str">
        <f>IFERROR(VLOOKUP($A1328,EVENTO!$A$2:$C$4999,3,FALSE),"")</f>
        <v>PREFEITURA MUNICIPAL DE ARACATI - GABINETE DO PREFEITO</v>
      </c>
      <c r="D1328" s="87" t="s">
        <v>1557</v>
      </c>
      <c r="E1328" s="4"/>
      <c r="F1328" s="78">
        <v>3.0</v>
      </c>
      <c r="G1328" s="92">
        <v>91.18</v>
      </c>
    </row>
    <row r="1329">
      <c r="A1329" s="6">
        <v>246.0</v>
      </c>
      <c r="B1329" s="76" t="str">
        <f>IFERROR(VLOOKUP($A1329,EVENTO!$A$2:$C$4999,2,FALSE),"")</f>
        <v>ADITIVO DE PRAZO</v>
      </c>
      <c r="C1329" s="76" t="str">
        <f>IFERROR(VLOOKUP($A1329,EVENTO!$A$2:$C$4999,3,FALSE),"")</f>
        <v>PREFEITURA MUNICIPAL DE ARACATI - GABINETE DO PREFEITO</v>
      </c>
      <c r="D1329" s="87" t="s">
        <v>1538</v>
      </c>
      <c r="E1329" s="4"/>
      <c r="F1329" s="78">
        <v>1.0</v>
      </c>
      <c r="G1329" s="92">
        <v>199.46</v>
      </c>
    </row>
    <row r="1330">
      <c r="A1330" s="6">
        <v>246.0</v>
      </c>
      <c r="B1330" s="76" t="str">
        <f>IFERROR(VLOOKUP($A1330,EVENTO!$A$2:$C$4999,2,FALSE),"")</f>
        <v>ADITIVO DE PRAZO</v>
      </c>
      <c r="C1330" s="76" t="str">
        <f>IFERROR(VLOOKUP($A1330,EVENTO!$A$2:$C$4999,3,FALSE),"")</f>
        <v>PREFEITURA MUNICIPAL DE ARACATI - GABINETE DO PREFEITO</v>
      </c>
      <c r="D1330" s="87" t="s">
        <v>1644</v>
      </c>
      <c r="E1330" s="4"/>
      <c r="F1330" s="78">
        <v>3.0</v>
      </c>
      <c r="G1330" s="93">
        <v>41.95</v>
      </c>
    </row>
    <row r="1331">
      <c r="A1331" s="6">
        <v>246.0</v>
      </c>
      <c r="B1331" s="76" t="str">
        <f>IFERROR(VLOOKUP($A1331,EVENTO!$A$2:$C$4999,2,FALSE),"")</f>
        <v>ADITIVO DE PRAZO</v>
      </c>
      <c r="C1331" s="76" t="str">
        <f>IFERROR(VLOOKUP($A1331,EVENTO!$A$2:$C$4999,3,FALSE),"")</f>
        <v>PREFEITURA MUNICIPAL DE ARACATI - GABINETE DO PREFEITO</v>
      </c>
      <c r="D1331" s="87" t="s">
        <v>1652</v>
      </c>
      <c r="F1331" s="78">
        <v>3.0</v>
      </c>
      <c r="G1331" s="93">
        <v>169.29</v>
      </c>
    </row>
    <row r="1332">
      <c r="A1332" s="6">
        <v>246.0</v>
      </c>
      <c r="B1332" s="76" t="str">
        <f>IFERROR(VLOOKUP($A1332,EVENTO!$A$2:$C$4999,2,FALSE),"")</f>
        <v>ADITIVO DE PRAZO</v>
      </c>
      <c r="C1332" s="76" t="str">
        <f>IFERROR(VLOOKUP($A1332,EVENTO!$A$2:$C$4999,3,FALSE),"")</f>
        <v>PREFEITURA MUNICIPAL DE ARACATI - GABINETE DO PREFEITO</v>
      </c>
      <c r="D1332" s="87" t="s">
        <v>1653</v>
      </c>
      <c r="F1332" s="78">
        <v>2.0</v>
      </c>
      <c r="G1332" s="93">
        <v>105.09</v>
      </c>
    </row>
    <row r="1333">
      <c r="A1333" s="6">
        <v>252.0</v>
      </c>
      <c r="B1333" s="76" t="str">
        <f>IFERROR(VLOOKUP($A1333,EVENTO!$A$2:$C$4999,2,FALSE),"")</f>
        <v>CADASTRO</v>
      </c>
      <c r="C1333" s="76" t="str">
        <f>IFERROR(VLOOKUP($A1333,EVENTO!$A$2:$C$4999,3,FALSE),"")</f>
        <v>PREFEITURA MUNICIPAL DE CAMOCIM - CONSERVAÇÃO E SERVIÇOS PUBLICOS</v>
      </c>
      <c r="D1333" s="87" t="s">
        <v>1658</v>
      </c>
      <c r="E1333" s="6" t="s">
        <v>1535</v>
      </c>
      <c r="F1333" s="78">
        <v>1.0</v>
      </c>
      <c r="G1333" s="94">
        <v>344.75</v>
      </c>
    </row>
    <row r="1334">
      <c r="A1334" s="6">
        <v>252.0</v>
      </c>
      <c r="B1334" s="76" t="str">
        <f>IFERROR(VLOOKUP($A1334,EVENTO!$A$2:$C$4999,2,FALSE),"")</f>
        <v>CADASTRO</v>
      </c>
      <c r="C1334" s="76" t="str">
        <f>IFERROR(VLOOKUP($A1334,EVENTO!$A$2:$C$4999,3,FALSE),"")</f>
        <v>PREFEITURA MUNICIPAL DE CAMOCIM - CONSERVAÇÃO E SERVIÇOS PUBLICOS</v>
      </c>
      <c r="D1334" s="87" t="s">
        <v>1659</v>
      </c>
      <c r="E1334" s="6" t="s">
        <v>1660</v>
      </c>
      <c r="F1334" s="78">
        <v>1.0</v>
      </c>
      <c r="G1334" s="94">
        <v>387.36</v>
      </c>
    </row>
    <row r="1335">
      <c r="A1335" s="6">
        <v>252.0</v>
      </c>
      <c r="B1335" s="76" t="str">
        <f>IFERROR(VLOOKUP($A1335,EVENTO!$A$2:$C$4999,2,FALSE),"")</f>
        <v>CADASTRO</v>
      </c>
      <c r="C1335" s="76" t="str">
        <f>IFERROR(VLOOKUP($A1335,EVENTO!$A$2:$C$4999,3,FALSE),"")</f>
        <v>PREFEITURA MUNICIPAL DE CAMOCIM - CONSERVAÇÃO E SERVIÇOS PUBLICOS</v>
      </c>
      <c r="D1335" s="87" t="s">
        <v>1549</v>
      </c>
      <c r="E1335" s="6" t="s">
        <v>1661</v>
      </c>
      <c r="F1335" s="78">
        <v>6.0</v>
      </c>
      <c r="G1335" s="94">
        <v>221.78</v>
      </c>
    </row>
    <row r="1336">
      <c r="A1336" s="6">
        <v>252.0</v>
      </c>
      <c r="B1336" s="76" t="str">
        <f>IFERROR(VLOOKUP($A1336,EVENTO!$A$2:$C$4999,2,FALSE),"")</f>
        <v>CADASTRO</v>
      </c>
      <c r="C1336" s="76" t="str">
        <f>IFERROR(VLOOKUP($A1336,EVENTO!$A$2:$C$4999,3,FALSE),"")</f>
        <v>PREFEITURA MUNICIPAL DE CAMOCIM - CONSERVAÇÃO E SERVIÇOS PUBLICOS</v>
      </c>
      <c r="D1336" s="87" t="s">
        <v>1662</v>
      </c>
      <c r="E1336" s="6" t="s">
        <v>1536</v>
      </c>
      <c r="F1336" s="78">
        <v>3.0</v>
      </c>
      <c r="G1336" s="94">
        <v>173.93</v>
      </c>
    </row>
    <row r="1337">
      <c r="A1337" s="6">
        <v>252.0</v>
      </c>
      <c r="B1337" s="76" t="str">
        <f>IFERROR(VLOOKUP($A1337,EVENTO!$A$2:$C$4999,2,FALSE),"")</f>
        <v>CADASTRO</v>
      </c>
      <c r="C1337" s="76" t="str">
        <f>IFERROR(VLOOKUP($A1337,EVENTO!$A$2:$C$4999,3,FALSE),"")</f>
        <v>PREFEITURA MUNICIPAL DE CAMOCIM - CONSERVAÇÃO E SERVIÇOS PUBLICOS</v>
      </c>
      <c r="D1337" s="87" t="s">
        <v>1663</v>
      </c>
      <c r="E1337" s="6" t="s">
        <v>1664</v>
      </c>
      <c r="F1337" s="78">
        <v>3.0</v>
      </c>
      <c r="G1337" s="94">
        <v>286.34</v>
      </c>
    </row>
    <row r="1338">
      <c r="A1338" s="6">
        <v>252.0</v>
      </c>
      <c r="B1338" s="76" t="str">
        <f>IFERROR(VLOOKUP($A1338,EVENTO!$A$2:$C$4999,2,FALSE),"")</f>
        <v>CADASTRO</v>
      </c>
      <c r="C1338" s="76" t="str">
        <f>IFERROR(VLOOKUP($A1338,EVENTO!$A$2:$C$4999,3,FALSE),"")</f>
        <v>PREFEITURA MUNICIPAL DE CAMOCIM - CONSERVAÇÃO E SERVIÇOS PUBLICOS</v>
      </c>
      <c r="D1338" s="87" t="s">
        <v>1665</v>
      </c>
      <c r="E1338" s="6" t="s">
        <v>1666</v>
      </c>
      <c r="F1338" s="78">
        <v>4.0</v>
      </c>
      <c r="G1338" s="94">
        <v>148.11</v>
      </c>
    </row>
    <row r="1339">
      <c r="A1339" s="6">
        <v>252.0</v>
      </c>
      <c r="B1339" s="76" t="str">
        <f>IFERROR(VLOOKUP($A1339,EVENTO!$A$2:$C$4999,2,FALSE),"")</f>
        <v>CADASTRO</v>
      </c>
      <c r="C1339" s="76" t="str">
        <f>IFERROR(VLOOKUP($A1339,EVENTO!$A$2:$C$4999,3,FALSE),"")</f>
        <v>PREFEITURA MUNICIPAL DE CAMOCIM - CONSERVAÇÃO E SERVIÇOS PUBLICOS</v>
      </c>
      <c r="D1339" s="87" t="s">
        <v>1667</v>
      </c>
      <c r="E1339" s="6" t="s">
        <v>1575</v>
      </c>
      <c r="F1339" s="78">
        <v>1.0</v>
      </c>
      <c r="G1339" s="94">
        <v>13.42</v>
      </c>
    </row>
    <row r="1340">
      <c r="A1340" s="6">
        <v>252.0</v>
      </c>
      <c r="B1340" s="76" t="str">
        <f>IFERROR(VLOOKUP($A1340,EVENTO!$A$2:$C$4999,2,FALSE),"")</f>
        <v>CADASTRO</v>
      </c>
      <c r="C1340" s="76" t="str">
        <f>IFERROR(VLOOKUP($A1340,EVENTO!$A$2:$C$4999,3,FALSE),"")</f>
        <v>PREFEITURA MUNICIPAL DE CAMOCIM - CONSERVAÇÃO E SERVIÇOS PUBLICOS</v>
      </c>
      <c r="D1340" s="87" t="s">
        <v>1668</v>
      </c>
      <c r="E1340" s="6" t="s">
        <v>1669</v>
      </c>
      <c r="F1340" s="78">
        <v>1.0</v>
      </c>
      <c r="G1340" s="94">
        <v>36.65</v>
      </c>
    </row>
    <row r="1341">
      <c r="A1341" s="6">
        <v>252.0</v>
      </c>
      <c r="B1341" s="76" t="str">
        <f>IFERROR(VLOOKUP($A1341,EVENTO!$A$2:$C$4999,2,FALSE),"")</f>
        <v>CADASTRO</v>
      </c>
      <c r="C1341" s="76" t="str">
        <f>IFERROR(VLOOKUP($A1341,EVENTO!$A$2:$C$4999,3,FALSE),"")</f>
        <v>PREFEITURA MUNICIPAL DE CAMOCIM - CONSERVAÇÃO E SERVIÇOS PUBLICOS</v>
      </c>
      <c r="D1341" s="87" t="s">
        <v>1670</v>
      </c>
      <c r="E1341" s="6" t="s">
        <v>1671</v>
      </c>
      <c r="F1341" s="78">
        <v>1.0</v>
      </c>
      <c r="G1341" s="94">
        <v>91.18</v>
      </c>
    </row>
    <row r="1342">
      <c r="A1342" s="6">
        <v>252.0</v>
      </c>
      <c r="B1342" s="76" t="str">
        <f>IFERROR(VLOOKUP($A1342,EVENTO!$A$2:$C$4999,2,FALSE),"")</f>
        <v>CADASTRO</v>
      </c>
      <c r="C1342" s="76" t="str">
        <f>IFERROR(VLOOKUP($A1342,EVENTO!$A$2:$C$4999,3,FALSE),"")</f>
        <v>PREFEITURA MUNICIPAL DE CAMOCIM - CONSERVAÇÃO E SERVIÇOS PUBLICOS</v>
      </c>
      <c r="D1342" s="87" t="s">
        <v>1672</v>
      </c>
      <c r="E1342" s="6" t="s">
        <v>1673</v>
      </c>
      <c r="F1342" s="78">
        <v>1.0</v>
      </c>
      <c r="G1342" s="94">
        <v>63.8</v>
      </c>
    </row>
    <row r="1343">
      <c r="A1343" s="6">
        <v>252.0</v>
      </c>
      <c r="B1343" s="76" t="str">
        <f>IFERROR(VLOOKUP($A1343,EVENTO!$A$2:$C$4999,2,FALSE),"")</f>
        <v>CADASTRO</v>
      </c>
      <c r="C1343" s="76" t="str">
        <f>IFERROR(VLOOKUP($A1343,EVENTO!$A$2:$C$4999,3,FALSE),"")</f>
        <v>PREFEITURA MUNICIPAL DE CAMOCIM - CONSERVAÇÃO E SERVIÇOS PUBLICOS</v>
      </c>
      <c r="D1343" s="87" t="s">
        <v>1674</v>
      </c>
      <c r="E1343" s="6" t="s">
        <v>1675</v>
      </c>
      <c r="F1343" s="78">
        <v>1.0</v>
      </c>
      <c r="G1343" s="94">
        <v>41.95</v>
      </c>
    </row>
    <row r="1344">
      <c r="A1344" s="6">
        <v>252.0</v>
      </c>
      <c r="B1344" s="76" t="str">
        <f>IFERROR(VLOOKUP($A1344,EVENTO!$A$2:$C$4999,2,FALSE),"")</f>
        <v>CADASTRO</v>
      </c>
      <c r="C1344" s="76" t="str">
        <f>IFERROR(VLOOKUP($A1344,EVENTO!$A$2:$C$4999,3,FALSE),"")</f>
        <v>PREFEITURA MUNICIPAL DE CAMOCIM - CONSERVAÇÃO E SERVIÇOS PUBLICOS</v>
      </c>
      <c r="D1344" s="87" t="s">
        <v>1676</v>
      </c>
      <c r="E1344" s="6" t="s">
        <v>1677</v>
      </c>
      <c r="F1344" s="78">
        <v>1.0</v>
      </c>
      <c r="G1344" s="94">
        <v>105.09</v>
      </c>
    </row>
    <row r="1345">
      <c r="A1345" s="6">
        <v>255.0</v>
      </c>
      <c r="B1345" s="76" t="str">
        <f>IFERROR(VLOOKUP($A1345,EVENTO!$A$2:$C$4999,2,FALSE),"")</f>
        <v>CADASTRO</v>
      </c>
      <c r="C1345" s="76" t="str">
        <f>IFERROR(VLOOKUP($A1345,EVENTO!$A$2:$C$4999,3,FALSE),"")</f>
        <v>PREFEITURA MUNICIPAL DE CAMOCIM - CULTURA</v>
      </c>
      <c r="D1345" s="87" t="s">
        <v>1658</v>
      </c>
      <c r="E1345" s="6" t="s">
        <v>1535</v>
      </c>
      <c r="F1345" s="78">
        <v>1.0</v>
      </c>
      <c r="G1345" s="94">
        <v>344.75</v>
      </c>
    </row>
    <row r="1346">
      <c r="A1346" s="6">
        <v>258.0</v>
      </c>
      <c r="B1346" s="76" t="str">
        <f>IFERROR(VLOOKUP($A1346,EVENTO!$A$2:$C$4999,2,FALSE),"")</f>
        <v>CADASTRO</v>
      </c>
      <c r="C1346" s="76" t="str">
        <f>IFERROR(VLOOKUP($A1346,EVENTO!$A$2:$C$4999,3,FALSE),"")</f>
        <v>PREFEITURA MUNICIPAL DE CAMOCIM -  DESENVOLVIMENTO SOCIAL E CIDADANIA</v>
      </c>
      <c r="D1346" s="88" t="s">
        <v>1544</v>
      </c>
      <c r="E1346" s="6" t="s">
        <v>1545</v>
      </c>
      <c r="F1346" s="78">
        <v>1.0</v>
      </c>
      <c r="G1346" s="94">
        <v>534.71</v>
      </c>
    </row>
    <row r="1347">
      <c r="A1347" s="6">
        <v>258.0</v>
      </c>
      <c r="B1347" s="76" t="str">
        <f>IFERROR(VLOOKUP($A1347,EVENTO!$A$2:$C$4999,2,FALSE),"")</f>
        <v>CADASTRO</v>
      </c>
      <c r="C1347" s="76" t="str">
        <f>IFERROR(VLOOKUP($A1347,EVENTO!$A$2:$C$4999,3,FALSE),"")</f>
        <v>PREFEITURA MUNICIPAL DE CAMOCIM -  DESENVOLVIMENTO SOCIAL E CIDADANIA</v>
      </c>
      <c r="D1347" s="87" t="s">
        <v>1658</v>
      </c>
      <c r="E1347" s="6" t="s">
        <v>1535</v>
      </c>
      <c r="F1347" s="78">
        <v>3.0</v>
      </c>
      <c r="G1347" s="94">
        <v>344.75</v>
      </c>
    </row>
    <row r="1348">
      <c r="A1348" s="6">
        <v>258.0</v>
      </c>
      <c r="B1348" s="76" t="str">
        <f>IFERROR(VLOOKUP($A1348,EVENTO!$A$2:$C$4999,2,FALSE),"")</f>
        <v>CADASTRO</v>
      </c>
      <c r="C1348" s="76" t="str">
        <f>IFERROR(VLOOKUP($A1348,EVENTO!$A$2:$C$4999,3,FALSE),"")</f>
        <v>PREFEITURA MUNICIPAL DE CAMOCIM -  DESENVOLVIMENTO SOCIAL E CIDADANIA</v>
      </c>
      <c r="D1348" s="88" t="s">
        <v>1546</v>
      </c>
      <c r="E1348" s="6" t="s">
        <v>1547</v>
      </c>
      <c r="F1348" s="78">
        <v>2.0</v>
      </c>
      <c r="G1348" s="94">
        <v>270.39</v>
      </c>
    </row>
    <row r="1349">
      <c r="A1349" s="6">
        <v>258.0</v>
      </c>
      <c r="B1349" s="76" t="str">
        <f>IFERROR(VLOOKUP($A1349,EVENTO!$A$2:$C$4999,2,FALSE),"")</f>
        <v>CADASTRO</v>
      </c>
      <c r="C1349" s="76" t="str">
        <f>IFERROR(VLOOKUP($A1349,EVENTO!$A$2:$C$4999,3,FALSE),"")</f>
        <v>PREFEITURA MUNICIPAL DE CAMOCIM -  DESENVOLVIMENTO SOCIAL E CIDADANIA</v>
      </c>
      <c r="D1349" s="87" t="s">
        <v>1659</v>
      </c>
      <c r="E1349" s="6" t="s">
        <v>1660</v>
      </c>
      <c r="F1349" s="78">
        <v>4.0</v>
      </c>
      <c r="G1349" s="94">
        <v>387.36</v>
      </c>
    </row>
    <row r="1350">
      <c r="A1350" s="6">
        <v>258.0</v>
      </c>
      <c r="B1350" s="76" t="str">
        <f>IFERROR(VLOOKUP($A1350,EVENTO!$A$2:$C$4999,2,FALSE),"")</f>
        <v>CADASTRO</v>
      </c>
      <c r="C1350" s="76" t="str">
        <f>IFERROR(VLOOKUP($A1350,EVENTO!$A$2:$C$4999,3,FALSE),"")</f>
        <v>PREFEITURA MUNICIPAL DE CAMOCIM -  DESENVOLVIMENTO SOCIAL E CIDADANIA</v>
      </c>
      <c r="D1350" s="87" t="s">
        <v>1549</v>
      </c>
      <c r="E1350" s="6" t="s">
        <v>1661</v>
      </c>
      <c r="F1350" s="78">
        <v>29.0</v>
      </c>
      <c r="G1350" s="94">
        <v>221.78</v>
      </c>
    </row>
    <row r="1351">
      <c r="A1351" s="6">
        <v>258.0</v>
      </c>
      <c r="B1351" s="76" t="str">
        <f>IFERROR(VLOOKUP($A1351,EVENTO!$A$2:$C$4999,2,FALSE),"")</f>
        <v>CADASTRO</v>
      </c>
      <c r="C1351" s="76" t="str">
        <f>IFERROR(VLOOKUP($A1351,EVENTO!$A$2:$C$4999,3,FALSE),"")</f>
        <v>PREFEITURA MUNICIPAL DE CAMOCIM -  DESENVOLVIMENTO SOCIAL E CIDADANIA</v>
      </c>
      <c r="D1351" s="87" t="s">
        <v>1662</v>
      </c>
      <c r="E1351" s="6" t="s">
        <v>1536</v>
      </c>
      <c r="F1351" s="78">
        <v>3.0</v>
      </c>
      <c r="G1351" s="94">
        <v>173.93</v>
      </c>
    </row>
    <row r="1352">
      <c r="A1352" s="6">
        <v>258.0</v>
      </c>
      <c r="B1352" s="76" t="str">
        <f>IFERROR(VLOOKUP($A1352,EVENTO!$A$2:$C$4999,2,FALSE),"")</f>
        <v>CADASTRO</v>
      </c>
      <c r="C1352" s="76" t="str">
        <f>IFERROR(VLOOKUP($A1352,EVENTO!$A$2:$C$4999,3,FALSE),"")</f>
        <v>PREFEITURA MUNICIPAL DE CAMOCIM -  DESENVOLVIMENTO SOCIAL E CIDADANIA</v>
      </c>
      <c r="D1352" s="87" t="s">
        <v>1663</v>
      </c>
      <c r="E1352" s="6" t="s">
        <v>1664</v>
      </c>
      <c r="F1352" s="78">
        <v>22.0</v>
      </c>
      <c r="G1352" s="94">
        <v>286.34</v>
      </c>
    </row>
    <row r="1353">
      <c r="A1353" s="6">
        <v>258.0</v>
      </c>
      <c r="B1353" s="76" t="str">
        <f>IFERROR(VLOOKUP($A1353,EVENTO!$A$2:$C$4999,2,FALSE),"")</f>
        <v>CADASTRO</v>
      </c>
      <c r="C1353" s="76" t="str">
        <f>IFERROR(VLOOKUP($A1353,EVENTO!$A$2:$C$4999,3,FALSE),"")</f>
        <v>PREFEITURA MUNICIPAL DE CAMOCIM -  DESENVOLVIMENTO SOCIAL E CIDADANIA</v>
      </c>
      <c r="D1353" s="88" t="s">
        <v>1678</v>
      </c>
      <c r="E1353" s="6" t="s">
        <v>1646</v>
      </c>
      <c r="F1353" s="78">
        <v>4.0</v>
      </c>
      <c r="G1353" s="94">
        <v>234.7</v>
      </c>
    </row>
    <row r="1354">
      <c r="A1354" s="6">
        <v>258.0</v>
      </c>
      <c r="B1354" s="76" t="str">
        <f>IFERROR(VLOOKUP($A1354,EVENTO!$A$2:$C$4999,2,FALSE),"")</f>
        <v>CADASTRO</v>
      </c>
      <c r="C1354" s="76" t="str">
        <f>IFERROR(VLOOKUP($A1354,EVENTO!$A$2:$C$4999,3,FALSE),"")</f>
        <v>PREFEITURA MUNICIPAL DE CAMOCIM -  DESENVOLVIMENTO SOCIAL E CIDADANIA</v>
      </c>
      <c r="D1354" s="87" t="s">
        <v>1679</v>
      </c>
      <c r="E1354" s="6" t="s">
        <v>1680</v>
      </c>
      <c r="F1354" s="78">
        <v>1.0</v>
      </c>
      <c r="G1354" s="94">
        <v>1499.32</v>
      </c>
    </row>
    <row r="1355">
      <c r="A1355" s="6">
        <v>258.0</v>
      </c>
      <c r="B1355" s="76" t="str">
        <f>IFERROR(VLOOKUP($A1355,EVENTO!$A$2:$C$4999,2,FALSE),"")</f>
        <v>CADASTRO</v>
      </c>
      <c r="C1355" s="76" t="str">
        <f>IFERROR(VLOOKUP($A1355,EVENTO!$A$2:$C$4999,3,FALSE),"")</f>
        <v>PREFEITURA MUNICIPAL DE CAMOCIM -  DESENVOLVIMENTO SOCIAL E CIDADANIA</v>
      </c>
      <c r="D1355" s="87" t="s">
        <v>1681</v>
      </c>
      <c r="E1355" s="6" t="s">
        <v>1682</v>
      </c>
      <c r="F1355" s="78">
        <v>2.0</v>
      </c>
      <c r="G1355" s="94">
        <v>90.38</v>
      </c>
    </row>
    <row r="1356">
      <c r="A1356" s="6">
        <v>258.0</v>
      </c>
      <c r="B1356" s="76" t="str">
        <f>IFERROR(VLOOKUP($A1356,EVENTO!$A$2:$C$4999,2,FALSE),"")</f>
        <v>CADASTRO</v>
      </c>
      <c r="C1356" s="76" t="str">
        <f>IFERROR(VLOOKUP($A1356,EVENTO!$A$2:$C$4999,3,FALSE),"")</f>
        <v>PREFEITURA MUNICIPAL DE CAMOCIM -  DESENVOLVIMENTO SOCIAL E CIDADANIA</v>
      </c>
      <c r="D1356" s="87" t="s">
        <v>1683</v>
      </c>
      <c r="E1356" s="6" t="s">
        <v>1684</v>
      </c>
      <c r="F1356" s="78">
        <v>1.0</v>
      </c>
      <c r="G1356" s="94">
        <v>201.73</v>
      </c>
    </row>
    <row r="1357">
      <c r="A1357" s="6">
        <v>258.0</v>
      </c>
      <c r="B1357" s="76" t="str">
        <f>IFERROR(VLOOKUP($A1357,EVENTO!$A$2:$C$4999,2,FALSE),"")</f>
        <v>CADASTRO</v>
      </c>
      <c r="C1357" s="76" t="str">
        <f>IFERROR(VLOOKUP($A1357,EVENTO!$A$2:$C$4999,3,FALSE),"")</f>
        <v>PREFEITURA MUNICIPAL DE CAMOCIM -  DESENVOLVIMENTO SOCIAL E CIDADANIA</v>
      </c>
      <c r="D1357" s="88" t="s">
        <v>1685</v>
      </c>
      <c r="E1357" s="5" t="s">
        <v>1686</v>
      </c>
      <c r="F1357" s="78">
        <v>1.0</v>
      </c>
      <c r="G1357" s="79">
        <v>181.17</v>
      </c>
    </row>
    <row r="1358">
      <c r="A1358" s="6">
        <v>258.0</v>
      </c>
      <c r="B1358" s="76" t="str">
        <f>IFERROR(VLOOKUP($A1358,EVENTO!$A$2:$C$4999,2,FALSE),"")</f>
        <v>CADASTRO</v>
      </c>
      <c r="C1358" s="76" t="str">
        <f>IFERROR(VLOOKUP($A1358,EVENTO!$A$2:$C$4999,3,FALSE),"")</f>
        <v>PREFEITURA MUNICIPAL DE CAMOCIM -  DESENVOLVIMENTO SOCIAL E CIDADANIA</v>
      </c>
      <c r="D1358" s="88" t="s">
        <v>1687</v>
      </c>
      <c r="E1358" s="5" t="s">
        <v>1580</v>
      </c>
      <c r="F1358" s="78">
        <v>1.0</v>
      </c>
      <c r="G1358" s="79">
        <v>193.47</v>
      </c>
    </row>
    <row r="1359">
      <c r="A1359" s="6">
        <v>258.0</v>
      </c>
      <c r="B1359" s="76" t="str">
        <f>IFERROR(VLOOKUP($A1359,EVENTO!$A$2:$C$4999,2,FALSE),"")</f>
        <v>CADASTRO</v>
      </c>
      <c r="C1359" s="76" t="str">
        <f>IFERROR(VLOOKUP($A1359,EVENTO!$A$2:$C$4999,3,FALSE),"")</f>
        <v>PREFEITURA MUNICIPAL DE CAMOCIM -  DESENVOLVIMENTO SOCIAL E CIDADANIA</v>
      </c>
      <c r="D1359" s="88" t="s">
        <v>1688</v>
      </c>
      <c r="E1359" s="5" t="s">
        <v>1560</v>
      </c>
      <c r="F1359" s="78">
        <v>1.0</v>
      </c>
      <c r="G1359" s="79">
        <v>50.3</v>
      </c>
    </row>
    <row r="1360">
      <c r="A1360" s="6">
        <v>258.0</v>
      </c>
      <c r="B1360" s="76" t="str">
        <f>IFERROR(VLOOKUP($A1360,EVENTO!$A$2:$C$4999,2,FALSE),"")</f>
        <v>CADASTRO</v>
      </c>
      <c r="C1360" s="76" t="str">
        <f>IFERROR(VLOOKUP($A1360,EVENTO!$A$2:$C$4999,3,FALSE),"")</f>
        <v>PREFEITURA MUNICIPAL DE CAMOCIM -  DESENVOLVIMENTO SOCIAL E CIDADANIA</v>
      </c>
      <c r="D1360" s="88" t="s">
        <v>1689</v>
      </c>
      <c r="E1360" s="5" t="s">
        <v>1575</v>
      </c>
      <c r="F1360" s="78">
        <v>1.0</v>
      </c>
      <c r="G1360" s="79">
        <v>13.42</v>
      </c>
    </row>
    <row r="1361">
      <c r="A1361" s="6">
        <v>258.0</v>
      </c>
      <c r="B1361" s="76" t="str">
        <f>IFERROR(VLOOKUP($A1361,EVENTO!$A$2:$C$4999,2,FALSE),"")</f>
        <v>CADASTRO</v>
      </c>
      <c r="C1361" s="76" t="str">
        <f>IFERROR(VLOOKUP($A1361,EVENTO!$A$2:$C$4999,3,FALSE),"")</f>
        <v>PREFEITURA MUNICIPAL DE CAMOCIM -  DESENVOLVIMENTO SOCIAL E CIDADANIA</v>
      </c>
      <c r="D1361" s="88" t="s">
        <v>1668</v>
      </c>
      <c r="E1361" s="5" t="s">
        <v>1690</v>
      </c>
      <c r="F1361" s="78">
        <v>1.0</v>
      </c>
      <c r="G1361" s="79">
        <v>36.65</v>
      </c>
    </row>
    <row r="1362">
      <c r="A1362" s="6">
        <v>258.0</v>
      </c>
      <c r="B1362" s="76" t="str">
        <f>IFERROR(VLOOKUP($A1362,EVENTO!$A$2:$C$4999,2,FALSE),"")</f>
        <v>CADASTRO</v>
      </c>
      <c r="C1362" s="76" t="str">
        <f>IFERROR(VLOOKUP($A1362,EVENTO!$A$2:$C$4999,3,FALSE),"")</f>
        <v>PREFEITURA MUNICIPAL DE CAMOCIM -  DESENVOLVIMENTO SOCIAL E CIDADANIA</v>
      </c>
      <c r="D1362" s="88" t="s">
        <v>1670</v>
      </c>
      <c r="E1362" s="5" t="s">
        <v>1691</v>
      </c>
      <c r="F1362" s="78">
        <v>1.0</v>
      </c>
      <c r="G1362" s="79">
        <v>91.18</v>
      </c>
    </row>
    <row r="1363">
      <c r="A1363" s="6">
        <v>258.0</v>
      </c>
      <c r="B1363" s="76" t="str">
        <f>IFERROR(VLOOKUP($A1363,EVENTO!$A$2:$C$4999,2,FALSE),"")</f>
        <v>CADASTRO</v>
      </c>
      <c r="C1363" s="76" t="str">
        <f>IFERROR(VLOOKUP($A1363,EVENTO!$A$2:$C$4999,3,FALSE),"")</f>
        <v>PREFEITURA MUNICIPAL DE CAMOCIM -  DESENVOLVIMENTO SOCIAL E CIDADANIA</v>
      </c>
      <c r="D1363" s="88" t="s">
        <v>1672</v>
      </c>
      <c r="E1363" s="5" t="s">
        <v>1692</v>
      </c>
      <c r="F1363" s="78">
        <v>1.0</v>
      </c>
      <c r="G1363" s="79">
        <v>63.8</v>
      </c>
    </row>
    <row r="1364">
      <c r="A1364" s="6">
        <v>258.0</v>
      </c>
      <c r="B1364" s="76" t="str">
        <f>IFERROR(VLOOKUP($A1364,EVENTO!$A$2:$C$4999,2,FALSE),"")</f>
        <v>CADASTRO</v>
      </c>
      <c r="C1364" s="76" t="str">
        <f>IFERROR(VLOOKUP($A1364,EVENTO!$A$2:$C$4999,3,FALSE),"")</f>
        <v>PREFEITURA MUNICIPAL DE CAMOCIM -  DESENVOLVIMENTO SOCIAL E CIDADANIA</v>
      </c>
      <c r="D1364" s="88" t="s">
        <v>1674</v>
      </c>
      <c r="E1364" s="5" t="s">
        <v>1675</v>
      </c>
      <c r="F1364" s="78">
        <v>2.0</v>
      </c>
      <c r="G1364" s="79">
        <v>41.95</v>
      </c>
    </row>
    <row r="1365">
      <c r="A1365" s="6">
        <v>258.0</v>
      </c>
      <c r="B1365" s="76" t="str">
        <f>IFERROR(VLOOKUP($A1365,EVENTO!$A$2:$C$4999,2,FALSE),"")</f>
        <v>CADASTRO</v>
      </c>
      <c r="C1365" s="76" t="str">
        <f>IFERROR(VLOOKUP($A1365,EVENTO!$A$2:$C$4999,3,FALSE),"")</f>
        <v>PREFEITURA MUNICIPAL DE CAMOCIM -  DESENVOLVIMENTO SOCIAL E CIDADANIA</v>
      </c>
      <c r="D1365" s="88" t="s">
        <v>1693</v>
      </c>
      <c r="E1365" s="5" t="s">
        <v>1694</v>
      </c>
      <c r="F1365" s="78">
        <v>1.0</v>
      </c>
      <c r="G1365" s="79">
        <v>169.29</v>
      </c>
    </row>
    <row r="1366">
      <c r="A1366" s="6">
        <v>258.0</v>
      </c>
      <c r="B1366" s="76" t="str">
        <f>IFERROR(VLOOKUP($A1366,EVENTO!$A$2:$C$4999,2,FALSE),"")</f>
        <v>CADASTRO</v>
      </c>
      <c r="C1366" s="76" t="str">
        <f>IFERROR(VLOOKUP($A1366,EVENTO!$A$2:$C$4999,3,FALSE),"")</f>
        <v>PREFEITURA MUNICIPAL DE CAMOCIM -  DESENVOLVIMENTO SOCIAL E CIDADANIA</v>
      </c>
      <c r="D1366" s="88" t="s">
        <v>1695</v>
      </c>
      <c r="E1366" s="5" t="s">
        <v>1677</v>
      </c>
      <c r="F1366" s="78">
        <v>1.0</v>
      </c>
      <c r="G1366" s="79">
        <v>105.09</v>
      </c>
    </row>
    <row r="1367">
      <c r="A1367" s="6">
        <v>258.0</v>
      </c>
      <c r="B1367" s="76" t="str">
        <f>IFERROR(VLOOKUP($A1367,EVENTO!$A$2:$C$4999,2,FALSE),"")</f>
        <v>CADASTRO</v>
      </c>
      <c r="C1367" s="76" t="str">
        <f>IFERROR(VLOOKUP($A1367,EVENTO!$A$2:$C$4999,3,FALSE),"")</f>
        <v>PREFEITURA MUNICIPAL DE CAMOCIM -  DESENVOLVIMENTO SOCIAL E CIDADANIA</v>
      </c>
      <c r="D1367" s="87" t="s">
        <v>1665</v>
      </c>
      <c r="E1367" s="6" t="s">
        <v>1666</v>
      </c>
      <c r="F1367" s="78">
        <v>8.0</v>
      </c>
      <c r="G1367" s="94">
        <v>148.11</v>
      </c>
    </row>
    <row r="1368">
      <c r="A1368" s="6">
        <v>261.0</v>
      </c>
      <c r="B1368" s="76" t="str">
        <f>IFERROR(VLOOKUP($A1368,EVENTO!$A$2:$C$4999,2,FALSE),"")</f>
        <v>CADASTRO</v>
      </c>
      <c r="C1368" s="76" t="str">
        <f>IFERROR(VLOOKUP($A1368,EVENTO!$A$2:$C$4999,3,FALSE),"")</f>
        <v>PREFEITURA MUNICIPAL DE CAMOCIM - EDUCAÇÃO </v>
      </c>
      <c r="D1368" s="95" t="s">
        <v>1544</v>
      </c>
      <c r="E1368" s="96" t="s">
        <v>1545</v>
      </c>
      <c r="F1368" s="78">
        <v>1.0</v>
      </c>
      <c r="G1368" s="97">
        <v>534.71</v>
      </c>
    </row>
    <row r="1369">
      <c r="A1369" s="6">
        <v>261.0</v>
      </c>
      <c r="B1369" s="76" t="str">
        <f>IFERROR(VLOOKUP($A1369,EVENTO!$A$2:$C$4999,2,FALSE),"")</f>
        <v>CADASTRO</v>
      </c>
      <c r="C1369" s="76" t="str">
        <f>IFERROR(VLOOKUP($A1369,EVENTO!$A$2:$C$4999,3,FALSE),"")</f>
        <v>PREFEITURA MUNICIPAL DE CAMOCIM - EDUCAÇÃO </v>
      </c>
      <c r="D1369" s="95" t="s">
        <v>1458</v>
      </c>
      <c r="E1369" s="96" t="s">
        <v>1535</v>
      </c>
      <c r="F1369" s="78">
        <v>1.0</v>
      </c>
      <c r="G1369" s="97">
        <v>344.75</v>
      </c>
    </row>
    <row r="1370">
      <c r="A1370" s="6">
        <v>261.0</v>
      </c>
      <c r="B1370" s="76" t="str">
        <f>IFERROR(VLOOKUP($A1370,EVENTO!$A$2:$C$4999,2,FALSE),"")</f>
        <v>CADASTRO</v>
      </c>
      <c r="C1370" s="76" t="str">
        <f>IFERROR(VLOOKUP($A1370,EVENTO!$A$2:$C$4999,3,FALSE),"")</f>
        <v>PREFEITURA MUNICIPAL DE CAMOCIM - EDUCAÇÃO </v>
      </c>
      <c r="D1370" s="95" t="s">
        <v>1546</v>
      </c>
      <c r="E1370" s="96" t="s">
        <v>1547</v>
      </c>
      <c r="F1370" s="78">
        <v>2.0</v>
      </c>
      <c r="G1370" s="97">
        <v>270.39</v>
      </c>
    </row>
    <row r="1371">
      <c r="A1371" s="6">
        <v>261.0</v>
      </c>
      <c r="B1371" s="76" t="str">
        <f>IFERROR(VLOOKUP($A1371,EVENTO!$A$2:$C$4999,2,FALSE),"")</f>
        <v>CADASTRO</v>
      </c>
      <c r="C1371" s="76" t="str">
        <f>IFERROR(VLOOKUP($A1371,EVENTO!$A$2:$C$4999,3,FALSE),"")</f>
        <v>PREFEITURA MUNICIPAL DE CAMOCIM - EDUCAÇÃO </v>
      </c>
      <c r="D1371" s="95" t="s">
        <v>1456</v>
      </c>
      <c r="E1371" s="96" t="s">
        <v>1660</v>
      </c>
      <c r="F1371" s="78">
        <v>5.0</v>
      </c>
      <c r="G1371" s="97">
        <v>387.36</v>
      </c>
    </row>
    <row r="1372">
      <c r="A1372" s="6">
        <v>261.0</v>
      </c>
      <c r="B1372" s="76" t="str">
        <f>IFERROR(VLOOKUP($A1372,EVENTO!$A$2:$C$4999,2,FALSE),"")</f>
        <v>CADASTRO</v>
      </c>
      <c r="C1372" s="76" t="str">
        <f>IFERROR(VLOOKUP($A1372,EVENTO!$A$2:$C$4999,3,FALSE),"")</f>
        <v>PREFEITURA MUNICIPAL DE CAMOCIM - EDUCAÇÃO </v>
      </c>
      <c r="D1372" s="95" t="s">
        <v>1696</v>
      </c>
      <c r="E1372" s="96" t="s">
        <v>1661</v>
      </c>
      <c r="F1372" s="78">
        <v>45.0</v>
      </c>
      <c r="G1372" s="97">
        <v>221.78</v>
      </c>
    </row>
    <row r="1373">
      <c r="A1373" s="6">
        <v>261.0</v>
      </c>
      <c r="B1373" s="76" t="str">
        <f>IFERROR(VLOOKUP($A1373,EVENTO!$A$2:$C$4999,2,FALSE),"")</f>
        <v>CADASTRO</v>
      </c>
      <c r="C1373" s="76" t="str">
        <f>IFERROR(VLOOKUP($A1373,EVENTO!$A$2:$C$4999,3,FALSE),"")</f>
        <v>PREFEITURA MUNICIPAL DE CAMOCIM - EDUCAÇÃO </v>
      </c>
      <c r="D1373" s="95" t="s">
        <v>1551</v>
      </c>
      <c r="E1373" s="96" t="s">
        <v>1536</v>
      </c>
      <c r="F1373" s="78">
        <v>4.0</v>
      </c>
      <c r="G1373" s="97">
        <v>173.93</v>
      </c>
    </row>
    <row r="1374">
      <c r="A1374" s="6">
        <v>261.0</v>
      </c>
      <c r="B1374" s="76" t="str">
        <f>IFERROR(VLOOKUP($A1374,EVENTO!$A$2:$C$4999,2,FALSE),"")</f>
        <v>CADASTRO</v>
      </c>
      <c r="C1374" s="76" t="str">
        <f>IFERROR(VLOOKUP($A1374,EVENTO!$A$2:$C$4999,3,FALSE),"")</f>
        <v>PREFEITURA MUNICIPAL DE CAMOCIM - EDUCAÇÃO </v>
      </c>
      <c r="D1374" s="95" t="s">
        <v>1697</v>
      </c>
      <c r="E1374" s="96" t="s">
        <v>1664</v>
      </c>
      <c r="F1374" s="78">
        <v>29.0</v>
      </c>
      <c r="G1374" s="97">
        <v>286.34</v>
      </c>
    </row>
    <row r="1375">
      <c r="A1375" s="6">
        <v>261.0</v>
      </c>
      <c r="B1375" s="76" t="str">
        <f>IFERROR(VLOOKUP($A1375,EVENTO!$A$2:$C$4999,2,FALSE),"")</f>
        <v>CADASTRO</v>
      </c>
      <c r="C1375" s="76" t="str">
        <f>IFERROR(VLOOKUP($A1375,EVENTO!$A$2:$C$4999,3,FALSE),"")</f>
        <v>PREFEITURA MUNICIPAL DE CAMOCIM - EDUCAÇÃO </v>
      </c>
      <c r="D1375" s="95" t="s">
        <v>1678</v>
      </c>
      <c r="E1375" s="96" t="s">
        <v>1646</v>
      </c>
      <c r="F1375" s="78">
        <v>4.0</v>
      </c>
      <c r="G1375" s="97">
        <v>234.7</v>
      </c>
    </row>
    <row r="1376">
      <c r="A1376" s="6">
        <v>261.0</v>
      </c>
      <c r="B1376" s="76" t="str">
        <f>IFERROR(VLOOKUP($A1376,EVENTO!$A$2:$C$4999,2,FALSE),"")</f>
        <v>CADASTRO</v>
      </c>
      <c r="C1376" s="76" t="str">
        <f>IFERROR(VLOOKUP($A1376,EVENTO!$A$2:$C$4999,3,FALSE),"")</f>
        <v>PREFEITURA MUNICIPAL DE CAMOCIM - EDUCAÇÃO </v>
      </c>
      <c r="D1376" s="95" t="s">
        <v>1679</v>
      </c>
      <c r="E1376" s="96" t="s">
        <v>1680</v>
      </c>
      <c r="F1376" s="78">
        <v>1.0</v>
      </c>
      <c r="G1376" s="97">
        <v>1499.32</v>
      </c>
    </row>
    <row r="1377">
      <c r="A1377" s="6">
        <v>261.0</v>
      </c>
      <c r="B1377" s="76" t="str">
        <f>IFERROR(VLOOKUP($A1377,EVENTO!$A$2:$C$4999,2,FALSE),"")</f>
        <v>CADASTRO</v>
      </c>
      <c r="C1377" s="76" t="str">
        <f>IFERROR(VLOOKUP($A1377,EVENTO!$A$2:$C$4999,3,FALSE),"")</f>
        <v>PREFEITURA MUNICIPAL DE CAMOCIM - EDUCAÇÃO </v>
      </c>
      <c r="D1377" s="95" t="s">
        <v>1685</v>
      </c>
      <c r="E1377" s="96" t="s">
        <v>1686</v>
      </c>
      <c r="F1377" s="78">
        <v>1.0</v>
      </c>
      <c r="G1377" s="98">
        <v>181.17</v>
      </c>
    </row>
    <row r="1378">
      <c r="A1378" s="6">
        <v>261.0</v>
      </c>
      <c r="B1378" s="76" t="str">
        <f>IFERROR(VLOOKUP($A1378,EVENTO!$A$2:$C$4999,2,FALSE),"")</f>
        <v>CADASTRO</v>
      </c>
      <c r="C1378" s="76" t="str">
        <f>IFERROR(VLOOKUP($A1378,EVENTO!$A$2:$C$4999,3,FALSE),"")</f>
        <v>PREFEITURA MUNICIPAL DE CAMOCIM - EDUCAÇÃO </v>
      </c>
      <c r="D1378" s="95" t="s">
        <v>1687</v>
      </c>
      <c r="E1378" s="96" t="s">
        <v>1580</v>
      </c>
      <c r="F1378" s="78">
        <v>1.0</v>
      </c>
      <c r="G1378" s="98">
        <v>193.47</v>
      </c>
    </row>
    <row r="1379">
      <c r="A1379" s="6">
        <v>261.0</v>
      </c>
      <c r="B1379" s="76" t="str">
        <f>IFERROR(VLOOKUP($A1379,EVENTO!$A$2:$C$4999,2,FALSE),"")</f>
        <v>CADASTRO</v>
      </c>
      <c r="C1379" s="76" t="str">
        <f>IFERROR(VLOOKUP($A1379,EVENTO!$A$2:$C$4999,3,FALSE),"")</f>
        <v>PREFEITURA MUNICIPAL DE CAMOCIM - EDUCAÇÃO </v>
      </c>
      <c r="D1379" s="95" t="s">
        <v>1688</v>
      </c>
      <c r="E1379" s="96" t="s">
        <v>1560</v>
      </c>
      <c r="F1379" s="78">
        <v>1.0</v>
      </c>
      <c r="G1379" s="98">
        <v>50.3</v>
      </c>
    </row>
    <row r="1380">
      <c r="A1380" s="6">
        <v>261.0</v>
      </c>
      <c r="B1380" s="76" t="str">
        <f>IFERROR(VLOOKUP($A1380,EVENTO!$A$2:$C$4999,2,FALSE),"")</f>
        <v>CADASTRO</v>
      </c>
      <c r="C1380" s="76" t="str">
        <f>IFERROR(VLOOKUP($A1380,EVENTO!$A$2:$C$4999,3,FALSE),"")</f>
        <v>PREFEITURA MUNICIPAL DE CAMOCIM - EDUCAÇÃO </v>
      </c>
      <c r="D1380" s="95" t="s">
        <v>1689</v>
      </c>
      <c r="E1380" s="96" t="s">
        <v>1575</v>
      </c>
      <c r="F1380" s="78">
        <v>1.0</v>
      </c>
      <c r="G1380" s="98">
        <v>13.42</v>
      </c>
    </row>
    <row r="1381">
      <c r="A1381" s="6">
        <v>261.0</v>
      </c>
      <c r="B1381" s="76" t="str">
        <f>IFERROR(VLOOKUP($A1381,EVENTO!$A$2:$C$4999,2,FALSE),"")</f>
        <v>CADASTRO</v>
      </c>
      <c r="C1381" s="76" t="str">
        <f>IFERROR(VLOOKUP($A1381,EVENTO!$A$2:$C$4999,3,FALSE),"")</f>
        <v>PREFEITURA MUNICIPAL DE CAMOCIM - EDUCAÇÃO </v>
      </c>
      <c r="D1381" s="95" t="s">
        <v>1668</v>
      </c>
      <c r="E1381" s="96" t="s">
        <v>1698</v>
      </c>
      <c r="F1381" s="78">
        <v>2.0</v>
      </c>
      <c r="G1381" s="98">
        <v>36.65</v>
      </c>
    </row>
    <row r="1382">
      <c r="A1382" s="6">
        <v>261.0</v>
      </c>
      <c r="B1382" s="76" t="str">
        <f>IFERROR(VLOOKUP($A1382,EVENTO!$A$2:$C$4999,2,FALSE),"")</f>
        <v>CADASTRO</v>
      </c>
      <c r="C1382" s="76" t="str">
        <f>IFERROR(VLOOKUP($A1382,EVENTO!$A$2:$C$4999,3,FALSE),"")</f>
        <v>PREFEITURA MUNICIPAL DE CAMOCIM - EDUCAÇÃO </v>
      </c>
      <c r="D1382" s="95" t="s">
        <v>1670</v>
      </c>
      <c r="E1382" s="96" t="s">
        <v>1691</v>
      </c>
      <c r="F1382" s="78">
        <v>1.0</v>
      </c>
      <c r="G1382" s="98">
        <v>91.18</v>
      </c>
    </row>
    <row r="1383">
      <c r="A1383" s="6">
        <v>261.0</v>
      </c>
      <c r="B1383" s="76" t="str">
        <f>IFERROR(VLOOKUP($A1383,EVENTO!$A$2:$C$4999,2,FALSE),"")</f>
        <v>CADASTRO</v>
      </c>
      <c r="C1383" s="76" t="str">
        <f>IFERROR(VLOOKUP($A1383,EVENTO!$A$2:$C$4999,3,FALSE),"")</f>
        <v>PREFEITURA MUNICIPAL DE CAMOCIM - EDUCAÇÃO </v>
      </c>
      <c r="D1383" s="95" t="s">
        <v>1672</v>
      </c>
      <c r="E1383" s="96" t="s">
        <v>1692</v>
      </c>
      <c r="F1383" s="78">
        <v>1.0</v>
      </c>
      <c r="G1383" s="98">
        <v>63.8</v>
      </c>
    </row>
    <row r="1384">
      <c r="A1384" s="6">
        <v>261.0</v>
      </c>
      <c r="B1384" s="76" t="str">
        <f>IFERROR(VLOOKUP($A1384,EVENTO!$A$2:$C$4999,2,FALSE),"")</f>
        <v>CADASTRO</v>
      </c>
      <c r="C1384" s="76" t="str">
        <f>IFERROR(VLOOKUP($A1384,EVENTO!$A$2:$C$4999,3,FALSE),"")</f>
        <v>PREFEITURA MUNICIPAL DE CAMOCIM - EDUCAÇÃO </v>
      </c>
      <c r="D1384" s="95" t="s">
        <v>1674</v>
      </c>
      <c r="E1384" s="96" t="s">
        <v>1675</v>
      </c>
      <c r="F1384" s="78">
        <v>2.0</v>
      </c>
      <c r="G1384" s="98">
        <v>41.95</v>
      </c>
    </row>
    <row r="1385">
      <c r="A1385" s="6">
        <v>261.0</v>
      </c>
      <c r="B1385" s="76" t="str">
        <f>IFERROR(VLOOKUP($A1385,EVENTO!$A$2:$C$4999,2,FALSE),"")</f>
        <v>CADASTRO</v>
      </c>
      <c r="C1385" s="76" t="str">
        <f>IFERROR(VLOOKUP($A1385,EVENTO!$A$2:$C$4999,3,FALSE),"")</f>
        <v>PREFEITURA MUNICIPAL DE CAMOCIM - EDUCAÇÃO </v>
      </c>
      <c r="D1385" s="95" t="s">
        <v>1695</v>
      </c>
      <c r="E1385" s="96" t="s">
        <v>1677</v>
      </c>
      <c r="F1385" s="78">
        <v>1.0</v>
      </c>
      <c r="G1385" s="98">
        <v>105.09</v>
      </c>
    </row>
    <row r="1386">
      <c r="A1386" s="6">
        <v>261.0</v>
      </c>
      <c r="B1386" s="76" t="str">
        <f>IFERROR(VLOOKUP($A1386,EVENTO!$A$2:$C$4999,2,FALSE),"")</f>
        <v>CADASTRO</v>
      </c>
      <c r="C1386" s="76" t="str">
        <f>IFERROR(VLOOKUP($A1386,EVENTO!$A$2:$C$4999,3,FALSE),"")</f>
        <v>PREFEITURA MUNICIPAL DE CAMOCIM - EDUCAÇÃO </v>
      </c>
      <c r="D1386" s="95" t="s">
        <v>1665</v>
      </c>
      <c r="E1386" s="96" t="s">
        <v>1666</v>
      </c>
      <c r="F1386" s="78">
        <v>7.0</v>
      </c>
      <c r="G1386" s="97">
        <v>148.11</v>
      </c>
    </row>
    <row r="1387">
      <c r="A1387" s="6">
        <v>261.0</v>
      </c>
      <c r="B1387" s="76" t="str">
        <f>IFERROR(VLOOKUP($A1387,EVENTO!$A$2:$C$4999,2,FALSE),"")</f>
        <v>CADASTRO</v>
      </c>
      <c r="C1387" s="76" t="str">
        <f>IFERROR(VLOOKUP($A1387,EVENTO!$A$2:$C$4999,3,FALSE),"")</f>
        <v>PREFEITURA MUNICIPAL DE CAMOCIM - EDUCAÇÃO </v>
      </c>
      <c r="D1387" s="95" t="s">
        <v>1699</v>
      </c>
      <c r="E1387" s="96" t="s">
        <v>1700</v>
      </c>
      <c r="F1387" s="78">
        <v>1.0</v>
      </c>
      <c r="G1387" s="98">
        <v>1239.56</v>
      </c>
    </row>
    <row r="1388">
      <c r="A1388" s="6">
        <v>264.0</v>
      </c>
      <c r="B1388" s="76" t="str">
        <f>IFERROR(VLOOKUP($A1388,EVENTO!$A$2:$C$4999,2,FALSE),"")</f>
        <v>CADASTRO</v>
      </c>
      <c r="C1388" s="76" t="str">
        <f>IFERROR(VLOOKUP($A1388,EVENTO!$A$2:$C$4999,3,FALSE),"")</f>
        <v>PREFEITURA MUNICIPAL DE CAMOCIM - ESPORTE E JUVENTUDE</v>
      </c>
      <c r="D1388" s="95" t="s">
        <v>1458</v>
      </c>
      <c r="E1388" s="96" t="s">
        <v>1535</v>
      </c>
      <c r="F1388" s="78">
        <v>1.0</v>
      </c>
      <c r="G1388" s="97">
        <v>344.75</v>
      </c>
    </row>
    <row r="1389">
      <c r="A1389" s="6">
        <v>264.0</v>
      </c>
      <c r="B1389" s="76" t="str">
        <f>IFERROR(VLOOKUP($A1389,EVENTO!$A$2:$C$4999,2,FALSE),"")</f>
        <v>CADASTRO</v>
      </c>
      <c r="C1389" s="76" t="str">
        <f>IFERROR(VLOOKUP($A1389,EVENTO!$A$2:$C$4999,3,FALSE),"")</f>
        <v>PREFEITURA MUNICIPAL DE CAMOCIM - ESPORTE E JUVENTUDE</v>
      </c>
      <c r="D1389" s="95" t="s">
        <v>1546</v>
      </c>
      <c r="E1389" s="96" t="s">
        <v>1547</v>
      </c>
      <c r="F1389" s="78">
        <v>1.0</v>
      </c>
      <c r="G1389" s="97">
        <v>270.39</v>
      </c>
    </row>
    <row r="1390">
      <c r="A1390" s="6">
        <v>264.0</v>
      </c>
      <c r="B1390" s="76" t="str">
        <f>IFERROR(VLOOKUP($A1390,EVENTO!$A$2:$C$4999,2,FALSE),"")</f>
        <v>CADASTRO</v>
      </c>
      <c r="C1390" s="76" t="str">
        <f>IFERROR(VLOOKUP($A1390,EVENTO!$A$2:$C$4999,3,FALSE),"")</f>
        <v>PREFEITURA MUNICIPAL DE CAMOCIM - ESPORTE E JUVENTUDE</v>
      </c>
      <c r="D1390" s="95" t="s">
        <v>1696</v>
      </c>
      <c r="E1390" s="96" t="s">
        <v>1661</v>
      </c>
      <c r="F1390" s="78">
        <v>6.0</v>
      </c>
      <c r="G1390" s="97">
        <v>221.78</v>
      </c>
    </row>
    <row r="1391">
      <c r="A1391" s="6">
        <v>264.0</v>
      </c>
      <c r="B1391" s="76" t="str">
        <f>IFERROR(VLOOKUP($A1391,EVENTO!$A$2:$C$4999,2,FALSE),"")</f>
        <v>CADASTRO</v>
      </c>
      <c r="C1391" s="76" t="str">
        <f>IFERROR(VLOOKUP($A1391,EVENTO!$A$2:$C$4999,3,FALSE),"")</f>
        <v>PREFEITURA MUNICIPAL DE CAMOCIM - ESPORTE E JUVENTUDE</v>
      </c>
      <c r="D1391" s="95" t="s">
        <v>1551</v>
      </c>
      <c r="E1391" s="96" t="s">
        <v>1536</v>
      </c>
      <c r="F1391" s="78">
        <v>1.0</v>
      </c>
      <c r="G1391" s="97">
        <v>173.93</v>
      </c>
    </row>
    <row r="1392">
      <c r="A1392" s="6">
        <v>264.0</v>
      </c>
      <c r="B1392" s="76" t="str">
        <f>IFERROR(VLOOKUP($A1392,EVENTO!$A$2:$C$4999,2,FALSE),"")</f>
        <v>CADASTRO</v>
      </c>
      <c r="C1392" s="76" t="str">
        <f>IFERROR(VLOOKUP($A1392,EVENTO!$A$2:$C$4999,3,FALSE),"")</f>
        <v>PREFEITURA MUNICIPAL DE CAMOCIM - ESPORTE E JUVENTUDE</v>
      </c>
      <c r="D1392" s="95" t="s">
        <v>1697</v>
      </c>
      <c r="E1392" s="96" t="s">
        <v>1664</v>
      </c>
      <c r="F1392" s="78">
        <v>2.0</v>
      </c>
      <c r="G1392" s="97">
        <v>86.34</v>
      </c>
    </row>
    <row r="1393">
      <c r="A1393" s="6">
        <v>264.0</v>
      </c>
      <c r="B1393" s="76" t="str">
        <f>IFERROR(VLOOKUP($A1393,EVENTO!$A$2:$C$4999,2,FALSE),"")</f>
        <v>CADASTRO</v>
      </c>
      <c r="C1393" s="76" t="str">
        <f>IFERROR(VLOOKUP($A1393,EVENTO!$A$2:$C$4999,3,FALSE),"")</f>
        <v>PREFEITURA MUNICIPAL DE CAMOCIM - ESPORTE E JUVENTUDE</v>
      </c>
      <c r="D1393" s="95" t="s">
        <v>1688</v>
      </c>
      <c r="E1393" s="96" t="s">
        <v>1560</v>
      </c>
      <c r="F1393" s="78">
        <v>1.0</v>
      </c>
      <c r="G1393" s="98">
        <v>50.3</v>
      </c>
    </row>
    <row r="1394">
      <c r="A1394" s="6">
        <v>264.0</v>
      </c>
      <c r="B1394" s="76" t="str">
        <f>IFERROR(VLOOKUP($A1394,EVENTO!$A$2:$C$4999,2,FALSE),"")</f>
        <v>CADASTRO</v>
      </c>
      <c r="C1394" s="76" t="str">
        <f>IFERROR(VLOOKUP($A1394,EVENTO!$A$2:$C$4999,3,FALSE),"")</f>
        <v>PREFEITURA MUNICIPAL DE CAMOCIM - ESPORTE E JUVENTUDE</v>
      </c>
      <c r="D1394" s="95" t="s">
        <v>1668</v>
      </c>
      <c r="E1394" s="96" t="s">
        <v>1698</v>
      </c>
      <c r="F1394" s="78">
        <v>1.0</v>
      </c>
      <c r="G1394" s="98">
        <v>36.65</v>
      </c>
    </row>
    <row r="1395">
      <c r="A1395" s="6">
        <v>264.0</v>
      </c>
      <c r="B1395" s="76" t="str">
        <f>IFERROR(VLOOKUP($A1395,EVENTO!$A$2:$C$4999,2,FALSE),"")</f>
        <v>CADASTRO</v>
      </c>
      <c r="C1395" s="76" t="str">
        <f>IFERROR(VLOOKUP($A1395,EVENTO!$A$2:$C$4999,3,FALSE),"")</f>
        <v>PREFEITURA MUNICIPAL DE CAMOCIM - ESPORTE E JUVENTUDE</v>
      </c>
      <c r="D1395" s="95" t="s">
        <v>1674</v>
      </c>
      <c r="E1395" s="96" t="s">
        <v>1675</v>
      </c>
      <c r="F1395" s="78">
        <v>1.0</v>
      </c>
      <c r="G1395" s="98">
        <v>41.95</v>
      </c>
    </row>
    <row r="1396">
      <c r="A1396" s="6">
        <v>264.0</v>
      </c>
      <c r="B1396" s="76" t="str">
        <f>IFERROR(VLOOKUP($A1396,EVENTO!$A$2:$C$4999,2,FALSE),"")</f>
        <v>CADASTRO</v>
      </c>
      <c r="C1396" s="76" t="str">
        <f>IFERROR(VLOOKUP($A1396,EVENTO!$A$2:$C$4999,3,FALSE),"")</f>
        <v>PREFEITURA MUNICIPAL DE CAMOCIM - ESPORTE E JUVENTUDE</v>
      </c>
      <c r="D1396" s="95" t="s">
        <v>1665</v>
      </c>
      <c r="E1396" s="96" t="s">
        <v>1666</v>
      </c>
      <c r="F1396" s="78">
        <v>2.0</v>
      </c>
      <c r="G1396" s="97">
        <v>148.11</v>
      </c>
    </row>
    <row r="1397">
      <c r="A1397" s="6">
        <v>267.0</v>
      </c>
      <c r="B1397" s="76" t="str">
        <f>IFERROR(VLOOKUP($A1397,EVENTO!$A$2:$C$4999,2,FALSE),"")</f>
        <v>CADASTRO</v>
      </c>
      <c r="C1397" s="76" t="str">
        <f>IFERROR(VLOOKUP($A1397,EVENTO!$A$2:$C$4999,3,FALSE),"")</f>
        <v>PREFEITURA MUNICIPAL DE CAMOCIM - GABINETE DA PREFEITA</v>
      </c>
      <c r="D1397" s="95" t="s">
        <v>1544</v>
      </c>
      <c r="E1397" s="96" t="s">
        <v>1545</v>
      </c>
      <c r="F1397" s="78">
        <v>4.0</v>
      </c>
      <c r="G1397" s="97">
        <v>534.71</v>
      </c>
    </row>
    <row r="1398">
      <c r="A1398" s="6">
        <v>267.0</v>
      </c>
      <c r="B1398" s="76" t="str">
        <f>IFERROR(VLOOKUP($A1398,EVENTO!$A$2:$C$4999,2,FALSE),"")</f>
        <v>CADASTRO</v>
      </c>
      <c r="C1398" s="76" t="str">
        <f>IFERROR(VLOOKUP($A1398,EVENTO!$A$2:$C$4999,3,FALSE),"")</f>
        <v>PREFEITURA MUNICIPAL DE CAMOCIM - GABINETE DA PREFEITA</v>
      </c>
      <c r="D1398" s="95" t="s">
        <v>1458</v>
      </c>
      <c r="E1398" s="96" t="s">
        <v>1535</v>
      </c>
      <c r="F1398" s="78">
        <v>5.0</v>
      </c>
      <c r="G1398" s="97">
        <v>344.75</v>
      </c>
    </row>
    <row r="1399">
      <c r="A1399" s="6">
        <v>267.0</v>
      </c>
      <c r="B1399" s="76" t="str">
        <f>IFERROR(VLOOKUP($A1399,EVENTO!$A$2:$C$4999,2,FALSE),"")</f>
        <v>CADASTRO</v>
      </c>
      <c r="C1399" s="76" t="str">
        <f>IFERROR(VLOOKUP($A1399,EVENTO!$A$2:$C$4999,3,FALSE),"")</f>
        <v>PREFEITURA MUNICIPAL DE CAMOCIM - GABINETE DA PREFEITA</v>
      </c>
      <c r="D1399" s="95" t="s">
        <v>1546</v>
      </c>
      <c r="E1399" s="96" t="s">
        <v>1547</v>
      </c>
      <c r="F1399" s="78">
        <v>3.0</v>
      </c>
      <c r="G1399" s="97">
        <v>270.39</v>
      </c>
    </row>
    <row r="1400">
      <c r="A1400" s="6">
        <v>267.0</v>
      </c>
      <c r="B1400" s="76" t="str">
        <f>IFERROR(VLOOKUP($A1400,EVENTO!$A$2:$C$4999,2,FALSE),"")</f>
        <v>CADASTRO</v>
      </c>
      <c r="C1400" s="76" t="str">
        <f>IFERROR(VLOOKUP($A1400,EVENTO!$A$2:$C$4999,3,FALSE),"")</f>
        <v>PREFEITURA MUNICIPAL DE CAMOCIM - GABINETE DA PREFEITA</v>
      </c>
      <c r="D1400" s="95" t="s">
        <v>1456</v>
      </c>
      <c r="E1400" s="96" t="s">
        <v>1660</v>
      </c>
      <c r="F1400" s="78">
        <v>4.0</v>
      </c>
      <c r="G1400" s="97">
        <v>387.36</v>
      </c>
    </row>
    <row r="1401">
      <c r="A1401" s="6">
        <v>267.0</v>
      </c>
      <c r="B1401" s="76" t="str">
        <f>IFERROR(VLOOKUP($A1401,EVENTO!$A$2:$C$4999,2,FALSE),"")</f>
        <v>CADASTRO</v>
      </c>
      <c r="C1401" s="76" t="str">
        <f>IFERROR(VLOOKUP($A1401,EVENTO!$A$2:$C$4999,3,FALSE),"")</f>
        <v>PREFEITURA MUNICIPAL DE CAMOCIM - GABINETE DA PREFEITA</v>
      </c>
      <c r="D1401" s="95" t="s">
        <v>1696</v>
      </c>
      <c r="E1401" s="96" t="s">
        <v>1661</v>
      </c>
      <c r="F1401" s="78">
        <v>28.0</v>
      </c>
      <c r="G1401" s="97">
        <v>221.78</v>
      </c>
    </row>
    <row r="1402">
      <c r="A1402" s="6">
        <v>267.0</v>
      </c>
      <c r="B1402" s="76" t="str">
        <f>IFERROR(VLOOKUP($A1402,EVENTO!$A$2:$C$4999,2,FALSE),"")</f>
        <v>CADASTRO</v>
      </c>
      <c r="C1402" s="76" t="str">
        <f>IFERROR(VLOOKUP($A1402,EVENTO!$A$2:$C$4999,3,FALSE),"")</f>
        <v>PREFEITURA MUNICIPAL DE CAMOCIM - GABINETE DA PREFEITA</v>
      </c>
      <c r="D1402" s="95" t="s">
        <v>1551</v>
      </c>
      <c r="E1402" s="96" t="s">
        <v>1536</v>
      </c>
      <c r="F1402" s="78">
        <v>2.0</v>
      </c>
      <c r="G1402" s="97">
        <v>173.93</v>
      </c>
    </row>
    <row r="1403">
      <c r="A1403" s="6">
        <v>267.0</v>
      </c>
      <c r="B1403" s="76" t="str">
        <f>IFERROR(VLOOKUP($A1403,EVENTO!$A$2:$C$4999,2,FALSE),"")</f>
        <v>CADASTRO</v>
      </c>
      <c r="C1403" s="76" t="str">
        <f>IFERROR(VLOOKUP($A1403,EVENTO!$A$2:$C$4999,3,FALSE),"")</f>
        <v>PREFEITURA MUNICIPAL DE CAMOCIM - GABINETE DA PREFEITA</v>
      </c>
      <c r="D1403" s="95" t="s">
        <v>1697</v>
      </c>
      <c r="E1403" s="96" t="s">
        <v>1664</v>
      </c>
      <c r="F1403" s="78">
        <v>17.0</v>
      </c>
      <c r="G1403" s="97">
        <v>286.34</v>
      </c>
    </row>
    <row r="1404">
      <c r="A1404" s="6">
        <v>267.0</v>
      </c>
      <c r="B1404" s="76" t="str">
        <f>IFERROR(VLOOKUP($A1404,EVENTO!$A$2:$C$4999,2,FALSE),"")</f>
        <v>CADASTRO</v>
      </c>
      <c r="C1404" s="76" t="str">
        <f>IFERROR(VLOOKUP($A1404,EVENTO!$A$2:$C$4999,3,FALSE),"")</f>
        <v>PREFEITURA MUNICIPAL DE CAMOCIM - GABINETE DA PREFEITA</v>
      </c>
      <c r="D1404" s="95" t="s">
        <v>1678</v>
      </c>
      <c r="E1404" s="96" t="s">
        <v>1646</v>
      </c>
      <c r="F1404" s="78">
        <v>3.0</v>
      </c>
      <c r="G1404" s="97">
        <v>234.7</v>
      </c>
    </row>
    <row r="1405">
      <c r="A1405" s="6">
        <v>267.0</v>
      </c>
      <c r="B1405" s="76" t="str">
        <f>IFERROR(VLOOKUP($A1405,EVENTO!$A$2:$C$4999,2,FALSE),"")</f>
        <v>CADASTRO</v>
      </c>
      <c r="C1405" s="76" t="str">
        <f>IFERROR(VLOOKUP($A1405,EVENTO!$A$2:$C$4999,3,FALSE),"")</f>
        <v>PREFEITURA MUNICIPAL DE CAMOCIM - GABINETE DA PREFEITA</v>
      </c>
      <c r="D1405" s="95" t="s">
        <v>1685</v>
      </c>
      <c r="E1405" s="96" t="s">
        <v>1686</v>
      </c>
      <c r="F1405" s="78">
        <v>1.0</v>
      </c>
      <c r="G1405" s="98">
        <v>181.17</v>
      </c>
    </row>
    <row r="1406">
      <c r="A1406" s="6">
        <v>267.0</v>
      </c>
      <c r="B1406" s="76" t="str">
        <f>IFERROR(VLOOKUP($A1406,EVENTO!$A$2:$C$4999,2,FALSE),"")</f>
        <v>CADASTRO</v>
      </c>
      <c r="C1406" s="76" t="str">
        <f>IFERROR(VLOOKUP($A1406,EVENTO!$A$2:$C$4999,3,FALSE),"")</f>
        <v>PREFEITURA MUNICIPAL DE CAMOCIM - GABINETE DA PREFEITA</v>
      </c>
      <c r="D1406" s="95" t="s">
        <v>1687</v>
      </c>
      <c r="E1406" s="96" t="s">
        <v>1580</v>
      </c>
      <c r="F1406" s="78">
        <v>1.0</v>
      </c>
      <c r="G1406" s="98">
        <v>193.47</v>
      </c>
    </row>
    <row r="1407">
      <c r="A1407" s="6">
        <v>267.0</v>
      </c>
      <c r="B1407" s="76" t="str">
        <f>IFERROR(VLOOKUP($A1407,EVENTO!$A$2:$C$4999,2,FALSE),"")</f>
        <v>CADASTRO</v>
      </c>
      <c r="C1407" s="76" t="str">
        <f>IFERROR(VLOOKUP($A1407,EVENTO!$A$2:$C$4999,3,FALSE),"")</f>
        <v>PREFEITURA MUNICIPAL DE CAMOCIM - GABINETE DA PREFEITA</v>
      </c>
      <c r="D1407" s="95" t="s">
        <v>1688</v>
      </c>
      <c r="E1407" s="96" t="s">
        <v>1560</v>
      </c>
      <c r="F1407" s="78">
        <v>1.0</v>
      </c>
      <c r="G1407" s="98">
        <v>50.3</v>
      </c>
    </row>
    <row r="1408">
      <c r="A1408" s="6">
        <v>267.0</v>
      </c>
      <c r="B1408" s="76" t="str">
        <f>IFERROR(VLOOKUP($A1408,EVENTO!$A$2:$C$4999,2,FALSE),"")</f>
        <v>CADASTRO</v>
      </c>
      <c r="C1408" s="76" t="str">
        <f>IFERROR(VLOOKUP($A1408,EVENTO!$A$2:$C$4999,3,FALSE),"")</f>
        <v>PREFEITURA MUNICIPAL DE CAMOCIM - GABINETE DA PREFEITA</v>
      </c>
      <c r="D1408" s="95" t="s">
        <v>1689</v>
      </c>
      <c r="E1408" s="96" t="s">
        <v>1575</v>
      </c>
      <c r="F1408" s="78">
        <v>1.0</v>
      </c>
      <c r="G1408" s="98">
        <v>13.42</v>
      </c>
    </row>
    <row r="1409">
      <c r="A1409" s="6">
        <v>267.0</v>
      </c>
      <c r="B1409" s="76" t="str">
        <f>IFERROR(VLOOKUP($A1409,EVENTO!$A$2:$C$4999,2,FALSE),"")</f>
        <v>CADASTRO</v>
      </c>
      <c r="C1409" s="76" t="str">
        <f>IFERROR(VLOOKUP($A1409,EVENTO!$A$2:$C$4999,3,FALSE),"")</f>
        <v>PREFEITURA MUNICIPAL DE CAMOCIM - GABINETE DA PREFEITA</v>
      </c>
      <c r="D1409" s="95" t="s">
        <v>1668</v>
      </c>
      <c r="E1409" s="96" t="s">
        <v>1698</v>
      </c>
      <c r="F1409" s="78">
        <v>1.0</v>
      </c>
      <c r="G1409" s="98">
        <v>36.65</v>
      </c>
    </row>
    <row r="1410">
      <c r="A1410" s="6">
        <v>267.0</v>
      </c>
      <c r="B1410" s="76" t="str">
        <f>IFERROR(VLOOKUP($A1410,EVENTO!$A$2:$C$4999,2,FALSE),"")</f>
        <v>CADASTRO</v>
      </c>
      <c r="C1410" s="76" t="str">
        <f>IFERROR(VLOOKUP($A1410,EVENTO!$A$2:$C$4999,3,FALSE),"")</f>
        <v>PREFEITURA MUNICIPAL DE CAMOCIM - GABINETE DA PREFEITA</v>
      </c>
      <c r="D1410" s="95" t="s">
        <v>1670</v>
      </c>
      <c r="E1410" s="96" t="s">
        <v>1691</v>
      </c>
      <c r="F1410" s="78">
        <v>1.0</v>
      </c>
      <c r="G1410" s="98">
        <v>91.18</v>
      </c>
    </row>
    <row r="1411">
      <c r="A1411" s="6">
        <v>267.0</v>
      </c>
      <c r="B1411" s="76" t="str">
        <f>IFERROR(VLOOKUP($A1411,EVENTO!$A$2:$C$4999,2,FALSE),"")</f>
        <v>CADASTRO</v>
      </c>
      <c r="C1411" s="76" t="str">
        <f>IFERROR(VLOOKUP($A1411,EVENTO!$A$2:$C$4999,3,FALSE),"")</f>
        <v>PREFEITURA MUNICIPAL DE CAMOCIM - GABINETE DA PREFEITA</v>
      </c>
      <c r="D1411" s="95" t="s">
        <v>1672</v>
      </c>
      <c r="E1411" s="96" t="s">
        <v>1692</v>
      </c>
      <c r="F1411" s="78">
        <v>2.0</v>
      </c>
      <c r="G1411" s="98">
        <v>63.8</v>
      </c>
    </row>
    <row r="1412">
      <c r="A1412" s="6">
        <v>267.0</v>
      </c>
      <c r="B1412" s="76" t="str">
        <f>IFERROR(VLOOKUP($A1412,EVENTO!$A$2:$C$4999,2,FALSE),"")</f>
        <v>CADASTRO</v>
      </c>
      <c r="C1412" s="76" t="str">
        <f>IFERROR(VLOOKUP($A1412,EVENTO!$A$2:$C$4999,3,FALSE),"")</f>
        <v>PREFEITURA MUNICIPAL DE CAMOCIM - GABINETE DA PREFEITA</v>
      </c>
      <c r="D1412" s="95" t="s">
        <v>1674</v>
      </c>
      <c r="E1412" s="96" t="s">
        <v>1675</v>
      </c>
      <c r="F1412" s="78">
        <v>4.0</v>
      </c>
      <c r="G1412" s="98">
        <v>41.95</v>
      </c>
    </row>
    <row r="1413">
      <c r="A1413" s="6">
        <v>267.0</v>
      </c>
      <c r="B1413" s="76" t="str">
        <f>IFERROR(VLOOKUP($A1413,EVENTO!$A$2:$C$4999,2,FALSE),"")</f>
        <v>CADASTRO</v>
      </c>
      <c r="C1413" s="76" t="str">
        <f>IFERROR(VLOOKUP($A1413,EVENTO!$A$2:$C$4999,3,FALSE),"")</f>
        <v>PREFEITURA MUNICIPAL DE CAMOCIM - GABINETE DA PREFEITA</v>
      </c>
      <c r="D1413" s="95" t="s">
        <v>1695</v>
      </c>
      <c r="E1413" s="96" t="s">
        <v>1677</v>
      </c>
      <c r="F1413" s="78">
        <v>4.0</v>
      </c>
      <c r="G1413" s="98">
        <v>105.09</v>
      </c>
    </row>
    <row r="1414">
      <c r="A1414" s="6">
        <v>267.0</v>
      </c>
      <c r="B1414" s="76" t="str">
        <f>IFERROR(VLOOKUP($A1414,EVENTO!$A$2:$C$4999,2,FALSE),"")</f>
        <v>CADASTRO</v>
      </c>
      <c r="C1414" s="76" t="str">
        <f>IFERROR(VLOOKUP($A1414,EVENTO!$A$2:$C$4999,3,FALSE),"")</f>
        <v>PREFEITURA MUNICIPAL DE CAMOCIM - GABINETE DA PREFEITA</v>
      </c>
      <c r="D1414" s="95" t="s">
        <v>1665</v>
      </c>
      <c r="E1414" s="96" t="s">
        <v>1666</v>
      </c>
      <c r="F1414" s="78">
        <v>14.0</v>
      </c>
      <c r="G1414" s="97">
        <v>148.11</v>
      </c>
    </row>
    <row r="1415">
      <c r="A1415" s="6">
        <v>267.0</v>
      </c>
      <c r="B1415" s="76" t="str">
        <f>IFERROR(VLOOKUP($A1415,EVENTO!$A$2:$C$4999,2,FALSE),"")</f>
        <v>CADASTRO</v>
      </c>
      <c r="C1415" s="76" t="str">
        <f>IFERROR(VLOOKUP($A1415,EVENTO!$A$2:$C$4999,3,FALSE),"")</f>
        <v>PREFEITURA MUNICIPAL DE CAMOCIM - GABINETE DA PREFEITA</v>
      </c>
      <c r="D1415" s="95" t="s">
        <v>1699</v>
      </c>
      <c r="E1415" s="96" t="s">
        <v>1700</v>
      </c>
      <c r="F1415" s="78"/>
      <c r="G1415" s="98">
        <v>1239.56</v>
      </c>
    </row>
    <row r="1416">
      <c r="A1416" s="6">
        <v>267.0</v>
      </c>
      <c r="B1416" s="76" t="str">
        <f>IFERROR(VLOOKUP($A1416,EVENTO!$A$2:$C$4999,2,FALSE),"")</f>
        <v>CADASTRO</v>
      </c>
      <c r="C1416" s="76" t="str">
        <f>IFERROR(VLOOKUP($A1416,EVENTO!$A$2:$C$4999,3,FALSE),"")</f>
        <v>PREFEITURA MUNICIPAL DE CAMOCIM - GABINETE DA PREFEITA</v>
      </c>
      <c r="D1416" s="95" t="s">
        <v>1681</v>
      </c>
      <c r="E1416" s="96" t="s">
        <v>1682</v>
      </c>
      <c r="F1416" s="78">
        <v>2.0</v>
      </c>
      <c r="G1416" s="98">
        <v>90.38</v>
      </c>
    </row>
    <row r="1417">
      <c r="A1417" s="6">
        <v>267.0</v>
      </c>
      <c r="B1417" s="76" t="str">
        <f>IFERROR(VLOOKUP($A1417,EVENTO!$A$2:$C$4999,2,FALSE),"")</f>
        <v>CADASTRO</v>
      </c>
      <c r="C1417" s="76" t="str">
        <f>IFERROR(VLOOKUP($A1417,EVENTO!$A$2:$C$4999,3,FALSE),"")</f>
        <v>PREFEITURA MUNICIPAL DE CAMOCIM - GABINETE DA PREFEITA</v>
      </c>
      <c r="D1417" s="95" t="s">
        <v>1683</v>
      </c>
      <c r="E1417" s="96" t="s">
        <v>1684</v>
      </c>
      <c r="F1417" s="78">
        <v>1.0</v>
      </c>
      <c r="G1417" s="98">
        <v>201.73</v>
      </c>
    </row>
    <row r="1418">
      <c r="A1418" s="6">
        <v>267.0</v>
      </c>
      <c r="B1418" s="76" t="str">
        <f>IFERROR(VLOOKUP($A1418,EVENTO!$A$2:$C$4999,2,FALSE),"")</f>
        <v>CADASTRO</v>
      </c>
      <c r="C1418" s="76" t="str">
        <f>IFERROR(VLOOKUP($A1418,EVENTO!$A$2:$C$4999,3,FALSE),"")</f>
        <v>PREFEITURA MUNICIPAL DE CAMOCIM - GABINETE DA PREFEITA</v>
      </c>
      <c r="D1418" s="95" t="s">
        <v>1693</v>
      </c>
      <c r="E1418" s="96" t="s">
        <v>1701</v>
      </c>
      <c r="F1418" s="78">
        <v>1.0</v>
      </c>
      <c r="G1418" s="98">
        <v>169.29</v>
      </c>
    </row>
    <row r="1419">
      <c r="A1419" s="6">
        <v>270.0</v>
      </c>
      <c r="B1419" s="76" t="str">
        <f>IFERROR(VLOOKUP($A1419,EVENTO!$A$2:$C$4999,2,FALSE),"")</f>
        <v>CADASTRO</v>
      </c>
      <c r="C1419" s="76" t="str">
        <f>IFERROR(VLOOKUP($A1419,EVENTO!$A$2:$C$4999,3,FALSE),"")</f>
        <v>PREFEITURA MUNICIPAL DE CAMOCIM - GESTÃO ADMINISTRATIVA</v>
      </c>
      <c r="D1419" s="95" t="s">
        <v>1544</v>
      </c>
      <c r="E1419" s="96" t="s">
        <v>1545</v>
      </c>
      <c r="F1419" s="78">
        <v>1.0</v>
      </c>
      <c r="G1419" s="97">
        <v>534.71</v>
      </c>
    </row>
    <row r="1420">
      <c r="A1420" s="6">
        <v>270.0</v>
      </c>
      <c r="B1420" s="76" t="str">
        <f>IFERROR(VLOOKUP($A1420,EVENTO!$A$2:$C$4999,2,FALSE),"")</f>
        <v>CADASTRO</v>
      </c>
      <c r="C1420" s="76" t="str">
        <f>IFERROR(VLOOKUP($A1420,EVENTO!$A$2:$C$4999,3,FALSE),"")</f>
        <v>PREFEITURA MUNICIPAL DE CAMOCIM - GESTÃO ADMINISTRATIVA</v>
      </c>
      <c r="D1420" s="95" t="s">
        <v>1458</v>
      </c>
      <c r="E1420" s="96" t="s">
        <v>1535</v>
      </c>
      <c r="F1420" s="78">
        <v>6.0</v>
      </c>
      <c r="G1420" s="97">
        <v>344.75</v>
      </c>
    </row>
    <row r="1421">
      <c r="A1421" s="6">
        <v>270.0</v>
      </c>
      <c r="B1421" s="76" t="str">
        <f>IFERROR(VLOOKUP($A1421,EVENTO!$A$2:$C$4999,2,FALSE),"")</f>
        <v>CADASTRO</v>
      </c>
      <c r="C1421" s="76" t="str">
        <f>IFERROR(VLOOKUP($A1421,EVENTO!$A$2:$C$4999,3,FALSE),"")</f>
        <v>PREFEITURA MUNICIPAL DE CAMOCIM - GESTÃO ADMINISTRATIVA</v>
      </c>
      <c r="D1421" s="95" t="s">
        <v>1546</v>
      </c>
      <c r="E1421" s="96" t="s">
        <v>1547</v>
      </c>
      <c r="F1421" s="78">
        <v>4.0</v>
      </c>
      <c r="G1421" s="97">
        <v>270.39</v>
      </c>
    </row>
    <row r="1422">
      <c r="A1422" s="6">
        <v>270.0</v>
      </c>
      <c r="B1422" s="76" t="str">
        <f>IFERROR(VLOOKUP($A1422,EVENTO!$A$2:$C$4999,2,FALSE),"")</f>
        <v>CADASTRO</v>
      </c>
      <c r="C1422" s="76" t="str">
        <f>IFERROR(VLOOKUP($A1422,EVENTO!$A$2:$C$4999,3,FALSE),"")</f>
        <v>PREFEITURA MUNICIPAL DE CAMOCIM - GESTÃO ADMINISTRATIVA</v>
      </c>
      <c r="D1422" s="95" t="s">
        <v>1456</v>
      </c>
      <c r="E1422" s="96" t="s">
        <v>1660</v>
      </c>
      <c r="F1422" s="78">
        <v>4.0</v>
      </c>
      <c r="G1422" s="97">
        <v>387.36</v>
      </c>
    </row>
    <row r="1423">
      <c r="A1423" s="6">
        <v>270.0</v>
      </c>
      <c r="B1423" s="76" t="str">
        <f>IFERROR(VLOOKUP($A1423,EVENTO!$A$2:$C$4999,2,FALSE),"")</f>
        <v>CADASTRO</v>
      </c>
      <c r="C1423" s="76" t="str">
        <f>IFERROR(VLOOKUP($A1423,EVENTO!$A$2:$C$4999,3,FALSE),"")</f>
        <v>PREFEITURA MUNICIPAL DE CAMOCIM - GESTÃO ADMINISTRATIVA</v>
      </c>
      <c r="D1423" s="95" t="s">
        <v>1696</v>
      </c>
      <c r="E1423" s="96" t="s">
        <v>1661</v>
      </c>
      <c r="F1423" s="78">
        <v>51.0</v>
      </c>
      <c r="G1423" s="97">
        <v>221.78</v>
      </c>
    </row>
    <row r="1424">
      <c r="A1424" s="6">
        <v>270.0</v>
      </c>
      <c r="B1424" s="76" t="str">
        <f>IFERROR(VLOOKUP($A1424,EVENTO!$A$2:$C$4999,2,FALSE),"")</f>
        <v>CADASTRO</v>
      </c>
      <c r="C1424" s="76" t="str">
        <f>IFERROR(VLOOKUP($A1424,EVENTO!$A$2:$C$4999,3,FALSE),"")</f>
        <v>PREFEITURA MUNICIPAL DE CAMOCIM - GESTÃO ADMINISTRATIVA</v>
      </c>
      <c r="D1424" s="95" t="s">
        <v>1551</v>
      </c>
      <c r="E1424" s="96" t="s">
        <v>1536</v>
      </c>
      <c r="F1424" s="78">
        <v>12.0</v>
      </c>
      <c r="G1424" s="97">
        <v>173.93</v>
      </c>
    </row>
    <row r="1425">
      <c r="A1425" s="6">
        <v>270.0</v>
      </c>
      <c r="B1425" s="76" t="str">
        <f>IFERROR(VLOOKUP($A1425,EVENTO!$A$2:$C$4999,2,FALSE),"")</f>
        <v>CADASTRO</v>
      </c>
      <c r="C1425" s="76" t="str">
        <f>IFERROR(VLOOKUP($A1425,EVENTO!$A$2:$C$4999,3,FALSE),"")</f>
        <v>PREFEITURA MUNICIPAL DE CAMOCIM - GESTÃO ADMINISTRATIVA</v>
      </c>
      <c r="D1425" s="95" t="s">
        <v>1697</v>
      </c>
      <c r="E1425" s="96" t="s">
        <v>1664</v>
      </c>
      <c r="F1425" s="78">
        <v>38.0</v>
      </c>
      <c r="G1425" s="97">
        <v>286.34</v>
      </c>
    </row>
    <row r="1426">
      <c r="A1426" s="6">
        <v>270.0</v>
      </c>
      <c r="B1426" s="76" t="str">
        <f>IFERROR(VLOOKUP($A1426,EVENTO!$A$2:$C$4999,2,FALSE),"")</f>
        <v>CADASTRO</v>
      </c>
      <c r="C1426" s="76" t="str">
        <f>IFERROR(VLOOKUP($A1426,EVENTO!$A$2:$C$4999,3,FALSE),"")</f>
        <v>PREFEITURA MUNICIPAL DE CAMOCIM - GESTÃO ADMINISTRATIVA</v>
      </c>
      <c r="D1426" s="95" t="s">
        <v>1678</v>
      </c>
      <c r="E1426" s="96" t="s">
        <v>1646</v>
      </c>
      <c r="F1426" s="78">
        <v>5.0</v>
      </c>
      <c r="G1426" s="97">
        <v>234.7</v>
      </c>
    </row>
    <row r="1427">
      <c r="A1427" s="6">
        <v>270.0</v>
      </c>
      <c r="B1427" s="76" t="str">
        <f>IFERROR(VLOOKUP($A1427,EVENTO!$A$2:$C$4999,2,FALSE),"")</f>
        <v>CADASTRO</v>
      </c>
      <c r="C1427" s="76" t="str">
        <f>IFERROR(VLOOKUP($A1427,EVENTO!$A$2:$C$4999,3,FALSE),"")</f>
        <v>PREFEITURA MUNICIPAL DE CAMOCIM - GESTÃO ADMINISTRATIVA</v>
      </c>
      <c r="D1427" s="95" t="s">
        <v>1685</v>
      </c>
      <c r="E1427" s="96" t="s">
        <v>1686</v>
      </c>
      <c r="F1427" s="78">
        <v>1.0</v>
      </c>
      <c r="G1427" s="98">
        <v>181.17</v>
      </c>
    </row>
    <row r="1428">
      <c r="A1428" s="6">
        <v>270.0</v>
      </c>
      <c r="B1428" s="76" t="str">
        <f>IFERROR(VLOOKUP($A1428,EVENTO!$A$2:$C$4999,2,FALSE),"")</f>
        <v>CADASTRO</v>
      </c>
      <c r="C1428" s="76" t="str">
        <f>IFERROR(VLOOKUP($A1428,EVENTO!$A$2:$C$4999,3,FALSE),"")</f>
        <v>PREFEITURA MUNICIPAL DE CAMOCIM - GESTÃO ADMINISTRATIVA</v>
      </c>
      <c r="D1428" s="95" t="s">
        <v>1687</v>
      </c>
      <c r="E1428" s="96" t="s">
        <v>1580</v>
      </c>
      <c r="F1428" s="78">
        <v>1.0</v>
      </c>
      <c r="G1428" s="98">
        <v>193.47</v>
      </c>
    </row>
    <row r="1429">
      <c r="A1429" s="6">
        <v>270.0</v>
      </c>
      <c r="B1429" s="76" t="str">
        <f>IFERROR(VLOOKUP($A1429,EVENTO!$A$2:$C$4999,2,FALSE),"")</f>
        <v>CADASTRO</v>
      </c>
      <c r="C1429" s="76" t="str">
        <f>IFERROR(VLOOKUP($A1429,EVENTO!$A$2:$C$4999,3,FALSE),"")</f>
        <v>PREFEITURA MUNICIPAL DE CAMOCIM - GESTÃO ADMINISTRATIVA</v>
      </c>
      <c r="D1429" s="95" t="s">
        <v>1688</v>
      </c>
      <c r="E1429" s="96" t="s">
        <v>1560</v>
      </c>
      <c r="F1429" s="78">
        <v>2.0</v>
      </c>
      <c r="G1429" s="98">
        <v>50.3</v>
      </c>
    </row>
    <row r="1430">
      <c r="A1430" s="6">
        <v>270.0</v>
      </c>
      <c r="B1430" s="76" t="str">
        <f>IFERROR(VLOOKUP($A1430,EVENTO!$A$2:$C$4999,2,FALSE),"")</f>
        <v>CADASTRO</v>
      </c>
      <c r="C1430" s="76" t="str">
        <f>IFERROR(VLOOKUP($A1430,EVENTO!$A$2:$C$4999,3,FALSE),"")</f>
        <v>PREFEITURA MUNICIPAL DE CAMOCIM - GESTÃO ADMINISTRATIVA</v>
      </c>
      <c r="D1430" s="95" t="s">
        <v>1689</v>
      </c>
      <c r="E1430" s="96" t="s">
        <v>1575</v>
      </c>
      <c r="F1430" s="78">
        <v>1.0</v>
      </c>
      <c r="G1430" s="98">
        <v>13.42</v>
      </c>
    </row>
    <row r="1431">
      <c r="A1431" s="6">
        <v>270.0</v>
      </c>
      <c r="B1431" s="76" t="str">
        <f>IFERROR(VLOOKUP($A1431,EVENTO!$A$2:$C$4999,2,FALSE),"")</f>
        <v>CADASTRO</v>
      </c>
      <c r="C1431" s="76" t="str">
        <f>IFERROR(VLOOKUP($A1431,EVENTO!$A$2:$C$4999,3,FALSE),"")</f>
        <v>PREFEITURA MUNICIPAL DE CAMOCIM - GESTÃO ADMINISTRATIVA</v>
      </c>
      <c r="D1431" s="95" t="s">
        <v>1668</v>
      </c>
      <c r="E1431" s="96" t="s">
        <v>1698</v>
      </c>
      <c r="F1431" s="78">
        <v>2.0</v>
      </c>
      <c r="G1431" s="98">
        <v>36.65</v>
      </c>
    </row>
    <row r="1432">
      <c r="A1432" s="6">
        <v>270.0</v>
      </c>
      <c r="B1432" s="76" t="str">
        <f>IFERROR(VLOOKUP($A1432,EVENTO!$A$2:$C$4999,2,FALSE),"")</f>
        <v>CADASTRO</v>
      </c>
      <c r="C1432" s="76" t="str">
        <f>IFERROR(VLOOKUP($A1432,EVENTO!$A$2:$C$4999,3,FALSE),"")</f>
        <v>PREFEITURA MUNICIPAL DE CAMOCIM - GESTÃO ADMINISTRATIVA</v>
      </c>
      <c r="D1432" s="95" t="s">
        <v>1670</v>
      </c>
      <c r="E1432" s="96" t="s">
        <v>1691</v>
      </c>
      <c r="F1432" s="78">
        <v>1.0</v>
      </c>
      <c r="G1432" s="98">
        <v>91.18</v>
      </c>
    </row>
    <row r="1433">
      <c r="A1433" s="6">
        <v>270.0</v>
      </c>
      <c r="B1433" s="76" t="str">
        <f>IFERROR(VLOOKUP($A1433,EVENTO!$A$2:$C$4999,2,FALSE),"")</f>
        <v>CADASTRO</v>
      </c>
      <c r="C1433" s="76" t="str">
        <f>IFERROR(VLOOKUP($A1433,EVENTO!$A$2:$C$4999,3,FALSE),"")</f>
        <v>PREFEITURA MUNICIPAL DE CAMOCIM - GESTÃO ADMINISTRATIVA</v>
      </c>
      <c r="D1433" s="95" t="s">
        <v>1674</v>
      </c>
      <c r="E1433" s="96" t="s">
        <v>1675</v>
      </c>
      <c r="F1433" s="78">
        <v>2.0</v>
      </c>
      <c r="G1433" s="98">
        <v>41.95</v>
      </c>
    </row>
    <row r="1434">
      <c r="A1434" s="6">
        <v>270.0</v>
      </c>
      <c r="B1434" s="76" t="str">
        <f>IFERROR(VLOOKUP($A1434,EVENTO!$A$2:$C$4999,2,FALSE),"")</f>
        <v>CADASTRO</v>
      </c>
      <c r="C1434" s="76" t="str">
        <f>IFERROR(VLOOKUP($A1434,EVENTO!$A$2:$C$4999,3,FALSE),"")</f>
        <v>PREFEITURA MUNICIPAL DE CAMOCIM - GESTÃO ADMINISTRATIVA</v>
      </c>
      <c r="D1434" s="95" t="s">
        <v>1695</v>
      </c>
      <c r="E1434" s="96" t="s">
        <v>1677</v>
      </c>
      <c r="F1434" s="78">
        <v>2.0</v>
      </c>
      <c r="G1434" s="98">
        <v>105.09</v>
      </c>
    </row>
    <row r="1435">
      <c r="A1435" s="6">
        <v>270.0</v>
      </c>
      <c r="B1435" s="76" t="str">
        <f>IFERROR(VLOOKUP($A1435,EVENTO!$A$2:$C$4999,2,FALSE),"")</f>
        <v>CADASTRO</v>
      </c>
      <c r="C1435" s="76" t="str">
        <f>IFERROR(VLOOKUP($A1435,EVENTO!$A$2:$C$4999,3,FALSE),"")</f>
        <v>PREFEITURA MUNICIPAL DE CAMOCIM - GESTÃO ADMINISTRATIVA</v>
      </c>
      <c r="D1435" s="95" t="s">
        <v>1665</v>
      </c>
      <c r="E1435" s="96" t="s">
        <v>1666</v>
      </c>
      <c r="F1435" s="78">
        <v>23.0</v>
      </c>
      <c r="G1435" s="97">
        <v>148.11</v>
      </c>
    </row>
    <row r="1436">
      <c r="A1436" s="6">
        <v>270.0</v>
      </c>
      <c r="B1436" s="76" t="str">
        <f>IFERROR(VLOOKUP($A1436,EVENTO!$A$2:$C$4999,2,FALSE),"")</f>
        <v>CADASTRO</v>
      </c>
      <c r="C1436" s="76" t="str">
        <f>IFERROR(VLOOKUP($A1436,EVENTO!$A$2:$C$4999,3,FALSE),"")</f>
        <v>PREFEITURA MUNICIPAL DE CAMOCIM - GESTÃO ADMINISTRATIVA</v>
      </c>
      <c r="D1436" s="95" t="s">
        <v>1699</v>
      </c>
      <c r="E1436" s="96" t="s">
        <v>1700</v>
      </c>
      <c r="F1436" s="78">
        <v>1.0</v>
      </c>
      <c r="G1436" s="98">
        <v>1239.56</v>
      </c>
    </row>
    <row r="1437">
      <c r="A1437" s="6">
        <v>270.0</v>
      </c>
      <c r="B1437" s="76" t="str">
        <f>IFERROR(VLOOKUP($A1437,EVENTO!$A$2:$C$4999,2,FALSE),"")</f>
        <v>CADASTRO</v>
      </c>
      <c r="C1437" s="76" t="str">
        <f>IFERROR(VLOOKUP($A1437,EVENTO!$A$2:$C$4999,3,FALSE),"")</f>
        <v>PREFEITURA MUNICIPAL DE CAMOCIM - GESTÃO ADMINISTRATIVA</v>
      </c>
      <c r="D1437" s="95" t="s">
        <v>1681</v>
      </c>
      <c r="E1437" s="96" t="s">
        <v>1682</v>
      </c>
      <c r="F1437" s="78">
        <v>2.0</v>
      </c>
      <c r="G1437" s="98">
        <v>90.38</v>
      </c>
    </row>
    <row r="1438">
      <c r="A1438" s="6">
        <v>270.0</v>
      </c>
      <c r="B1438" s="76" t="str">
        <f>IFERROR(VLOOKUP($A1438,EVENTO!$A$2:$C$4999,2,FALSE),"")</f>
        <v>CADASTRO</v>
      </c>
      <c r="C1438" s="76" t="str">
        <f>IFERROR(VLOOKUP($A1438,EVENTO!$A$2:$C$4999,3,FALSE),"")</f>
        <v>PREFEITURA MUNICIPAL DE CAMOCIM - GESTÃO ADMINISTRATIVA</v>
      </c>
      <c r="D1438" s="95" t="s">
        <v>1683</v>
      </c>
      <c r="E1438" s="96" t="s">
        <v>1684</v>
      </c>
      <c r="F1438" s="78">
        <v>1.0</v>
      </c>
      <c r="G1438" s="98">
        <v>201.73</v>
      </c>
    </row>
    <row r="1439">
      <c r="A1439" s="6">
        <v>270.0</v>
      </c>
      <c r="B1439" s="76" t="str">
        <f>IFERROR(VLOOKUP($A1439,EVENTO!$A$2:$C$4999,2,FALSE),"")</f>
        <v>CADASTRO</v>
      </c>
      <c r="C1439" s="76" t="str">
        <f>IFERROR(VLOOKUP($A1439,EVENTO!$A$2:$C$4999,3,FALSE),"")</f>
        <v>PREFEITURA MUNICIPAL DE CAMOCIM - GESTÃO ADMINISTRATIVA</v>
      </c>
      <c r="D1439" s="95" t="s">
        <v>1693</v>
      </c>
      <c r="E1439" s="96" t="s">
        <v>1701</v>
      </c>
      <c r="F1439" s="78">
        <v>1.0</v>
      </c>
      <c r="G1439" s="98">
        <v>169.29</v>
      </c>
    </row>
    <row r="1440">
      <c r="A1440" s="6">
        <v>270.0</v>
      </c>
      <c r="B1440" s="76" t="str">
        <f>IFERROR(VLOOKUP($A1440,EVENTO!$A$2:$C$4999,2,FALSE),"")</f>
        <v>CADASTRO</v>
      </c>
      <c r="C1440" s="76" t="str">
        <f>IFERROR(VLOOKUP($A1440,EVENTO!$A$2:$C$4999,3,FALSE),"")</f>
        <v>PREFEITURA MUNICIPAL DE CAMOCIM - GESTÃO ADMINISTRATIVA</v>
      </c>
      <c r="D1440" s="95" t="s">
        <v>1702</v>
      </c>
      <c r="E1440" s="96" t="s">
        <v>1703</v>
      </c>
      <c r="F1440" s="78">
        <v>1.0</v>
      </c>
      <c r="G1440" s="98">
        <v>470.91</v>
      </c>
    </row>
    <row r="1441">
      <c r="A1441" s="6">
        <v>270.0</v>
      </c>
      <c r="B1441" s="76" t="str">
        <f>IFERROR(VLOOKUP($A1441,EVENTO!$A$2:$C$4999,2,FALSE),"")</f>
        <v>CADASTRO</v>
      </c>
      <c r="C1441" s="76" t="str">
        <f>IFERROR(VLOOKUP($A1441,EVENTO!$A$2:$C$4999,3,FALSE),"")</f>
        <v>PREFEITURA MUNICIPAL DE CAMOCIM - GESTÃO ADMINISTRATIVA</v>
      </c>
      <c r="D1441" s="95" t="s">
        <v>1704</v>
      </c>
      <c r="E1441" s="96" t="s">
        <v>1637</v>
      </c>
      <c r="F1441" s="78">
        <v>2.0</v>
      </c>
      <c r="G1441" s="98">
        <v>196.72</v>
      </c>
    </row>
    <row r="1442">
      <c r="A1442" s="6">
        <v>270.0</v>
      </c>
      <c r="B1442" s="76" t="str">
        <f>IFERROR(VLOOKUP($A1442,EVENTO!$A$2:$C$4999,2,FALSE),"")</f>
        <v>CADASTRO</v>
      </c>
      <c r="C1442" s="76" t="str">
        <f>IFERROR(VLOOKUP($A1442,EVENTO!$A$2:$C$4999,3,FALSE),"")</f>
        <v>PREFEITURA MUNICIPAL DE CAMOCIM - GESTÃO ADMINISTRATIVA</v>
      </c>
      <c r="D1442" s="95" t="s">
        <v>1705</v>
      </c>
      <c r="E1442" s="96" t="s">
        <v>1706</v>
      </c>
      <c r="F1442" s="78">
        <v>1.0</v>
      </c>
      <c r="G1442" s="98">
        <v>283.89</v>
      </c>
    </row>
    <row r="1443">
      <c r="A1443" s="6">
        <v>270.0</v>
      </c>
      <c r="B1443" s="76" t="str">
        <f>IFERROR(VLOOKUP($A1443,EVENTO!$A$2:$C$4999,2,FALSE),"")</f>
        <v>CADASTRO</v>
      </c>
      <c r="C1443" s="76" t="str">
        <f>IFERROR(VLOOKUP($A1443,EVENTO!$A$2:$C$4999,3,FALSE),"")</f>
        <v>PREFEITURA MUNICIPAL DE CAMOCIM - GESTÃO ADMINISTRATIVA</v>
      </c>
      <c r="D1443" s="95" t="s">
        <v>1707</v>
      </c>
      <c r="E1443" s="96" t="s">
        <v>1708</v>
      </c>
      <c r="F1443" s="78">
        <v>1.0</v>
      </c>
      <c r="G1443" s="98">
        <v>199.46</v>
      </c>
    </row>
    <row r="1444">
      <c r="A1444" s="6">
        <v>270.0</v>
      </c>
      <c r="B1444" s="76" t="str">
        <f>IFERROR(VLOOKUP($A1444,EVENTO!$A$2:$C$4999,2,FALSE),"")</f>
        <v>CADASTRO</v>
      </c>
      <c r="C1444" s="76" t="str">
        <f>IFERROR(VLOOKUP($A1444,EVENTO!$A$2:$C$4999,3,FALSE),"")</f>
        <v>PREFEITURA MUNICIPAL DE CAMOCIM - GESTÃO ADMINISTRATIVA</v>
      </c>
      <c r="D1444" s="95" t="s">
        <v>1672</v>
      </c>
      <c r="E1444" s="96" t="s">
        <v>1692</v>
      </c>
      <c r="F1444" s="78">
        <v>2.0</v>
      </c>
      <c r="G1444" s="98">
        <v>63.8</v>
      </c>
    </row>
    <row r="1445">
      <c r="A1445" s="6">
        <v>273.0</v>
      </c>
      <c r="B1445" s="76" t="str">
        <f>IFERROR(VLOOKUP($A1445,EVENTO!$A$2:$C$4999,2,FALSE),"")</f>
        <v>CADASTRO</v>
      </c>
      <c r="C1445" s="76" t="str">
        <f>IFERROR(VLOOKUP($A1445,EVENTO!$A$2:$C$4999,3,FALSE),"")</f>
        <v>PREFEITURA MUNICIPAL DE CAMOCIM - INFRAESTRUTURA</v>
      </c>
      <c r="D1445" s="95" t="s">
        <v>1544</v>
      </c>
      <c r="E1445" s="96" t="s">
        <v>1545</v>
      </c>
      <c r="F1445" s="78">
        <v>1.0</v>
      </c>
      <c r="G1445" s="97">
        <v>534.71</v>
      </c>
    </row>
    <row r="1446">
      <c r="A1446" s="6">
        <v>273.0</v>
      </c>
      <c r="B1446" s="76" t="str">
        <f>IFERROR(VLOOKUP($A1446,EVENTO!$A$2:$C$4999,2,FALSE),"")</f>
        <v>CADASTRO</v>
      </c>
      <c r="C1446" s="76" t="str">
        <f>IFERROR(VLOOKUP($A1446,EVENTO!$A$2:$C$4999,3,FALSE),"")</f>
        <v>PREFEITURA MUNICIPAL DE CAMOCIM - INFRAESTRUTURA</v>
      </c>
      <c r="D1446" s="95" t="s">
        <v>1458</v>
      </c>
      <c r="E1446" s="96" t="s">
        <v>1535</v>
      </c>
      <c r="F1446" s="78">
        <v>1.0</v>
      </c>
      <c r="G1446" s="97">
        <v>344.75</v>
      </c>
    </row>
    <row r="1447">
      <c r="A1447" s="6">
        <v>273.0</v>
      </c>
      <c r="B1447" s="76" t="str">
        <f>IFERROR(VLOOKUP($A1447,EVENTO!$A$2:$C$4999,2,FALSE),"")</f>
        <v>CADASTRO</v>
      </c>
      <c r="C1447" s="76" t="str">
        <f>IFERROR(VLOOKUP($A1447,EVENTO!$A$2:$C$4999,3,FALSE),"")</f>
        <v>PREFEITURA MUNICIPAL DE CAMOCIM - INFRAESTRUTURA</v>
      </c>
      <c r="D1447" s="95" t="s">
        <v>1546</v>
      </c>
      <c r="E1447" s="96" t="s">
        <v>1547</v>
      </c>
      <c r="F1447" s="78">
        <v>1.0</v>
      </c>
      <c r="G1447" s="97">
        <v>270.39</v>
      </c>
    </row>
    <row r="1448">
      <c r="A1448" s="6">
        <v>273.0</v>
      </c>
      <c r="B1448" s="76" t="str">
        <f>IFERROR(VLOOKUP($A1448,EVENTO!$A$2:$C$4999,2,FALSE),"")</f>
        <v>CADASTRO</v>
      </c>
      <c r="C1448" s="76" t="str">
        <f>IFERROR(VLOOKUP($A1448,EVENTO!$A$2:$C$4999,3,FALSE),"")</f>
        <v>PREFEITURA MUNICIPAL DE CAMOCIM - INFRAESTRUTURA</v>
      </c>
      <c r="D1448" s="95" t="s">
        <v>1456</v>
      </c>
      <c r="E1448" s="96" t="s">
        <v>1660</v>
      </c>
      <c r="F1448" s="78">
        <v>1.0</v>
      </c>
      <c r="G1448" s="97">
        <v>387.36</v>
      </c>
    </row>
    <row r="1449">
      <c r="A1449" s="6">
        <v>273.0</v>
      </c>
      <c r="B1449" s="76" t="str">
        <f>IFERROR(VLOOKUP($A1449,EVENTO!$A$2:$C$4999,2,FALSE),"")</f>
        <v>CADASTRO</v>
      </c>
      <c r="C1449" s="76" t="str">
        <f>IFERROR(VLOOKUP($A1449,EVENTO!$A$2:$C$4999,3,FALSE),"")</f>
        <v>PREFEITURA MUNICIPAL DE CAMOCIM - INFRAESTRUTURA</v>
      </c>
      <c r="D1449" s="95" t="s">
        <v>1696</v>
      </c>
      <c r="E1449" s="96" t="s">
        <v>1661</v>
      </c>
      <c r="F1449" s="78">
        <v>6.0</v>
      </c>
      <c r="G1449" s="97">
        <v>221.78</v>
      </c>
    </row>
    <row r="1450">
      <c r="A1450" s="6">
        <v>273.0</v>
      </c>
      <c r="B1450" s="76" t="str">
        <f>IFERROR(VLOOKUP($A1450,EVENTO!$A$2:$C$4999,2,FALSE),"")</f>
        <v>CADASTRO</v>
      </c>
      <c r="C1450" s="76" t="str">
        <f>IFERROR(VLOOKUP($A1450,EVENTO!$A$2:$C$4999,3,FALSE),"")</f>
        <v>PREFEITURA MUNICIPAL DE CAMOCIM - INFRAESTRUTURA</v>
      </c>
      <c r="D1450" s="95" t="s">
        <v>1551</v>
      </c>
      <c r="E1450" s="96" t="s">
        <v>1536</v>
      </c>
      <c r="F1450" s="78">
        <v>1.0</v>
      </c>
      <c r="G1450" s="97">
        <v>173.93</v>
      </c>
    </row>
    <row r="1451">
      <c r="A1451" s="6">
        <v>273.0</v>
      </c>
      <c r="B1451" s="76" t="str">
        <f>IFERROR(VLOOKUP($A1451,EVENTO!$A$2:$C$4999,2,FALSE),"")</f>
        <v>CADASTRO</v>
      </c>
      <c r="C1451" s="76" t="str">
        <f>IFERROR(VLOOKUP($A1451,EVENTO!$A$2:$C$4999,3,FALSE),"")</f>
        <v>PREFEITURA MUNICIPAL DE CAMOCIM - INFRAESTRUTURA</v>
      </c>
      <c r="D1451" s="95" t="s">
        <v>1697</v>
      </c>
      <c r="E1451" s="96" t="s">
        <v>1664</v>
      </c>
      <c r="F1451" s="78">
        <v>2.0</v>
      </c>
      <c r="G1451" s="97">
        <v>286.34</v>
      </c>
    </row>
    <row r="1452">
      <c r="A1452" s="6">
        <v>273.0</v>
      </c>
      <c r="B1452" s="76" t="str">
        <f>IFERROR(VLOOKUP($A1452,EVENTO!$A$2:$C$4999,2,FALSE),"")</f>
        <v>CADASTRO</v>
      </c>
      <c r="C1452" s="76" t="str">
        <f>IFERROR(VLOOKUP($A1452,EVENTO!$A$2:$C$4999,3,FALSE),"")</f>
        <v>PREFEITURA MUNICIPAL DE CAMOCIM - INFRAESTRUTURA</v>
      </c>
      <c r="D1452" s="95" t="s">
        <v>1687</v>
      </c>
      <c r="E1452" s="96" t="s">
        <v>1580</v>
      </c>
      <c r="F1452" s="78">
        <v>1.0</v>
      </c>
      <c r="G1452" s="98">
        <v>193.47</v>
      </c>
    </row>
    <row r="1453">
      <c r="A1453" s="6">
        <v>273.0</v>
      </c>
      <c r="B1453" s="76" t="str">
        <f>IFERROR(VLOOKUP($A1453,EVENTO!$A$2:$C$4999,2,FALSE),"")</f>
        <v>CADASTRO</v>
      </c>
      <c r="C1453" s="76" t="str">
        <f>IFERROR(VLOOKUP($A1453,EVENTO!$A$2:$C$4999,3,FALSE),"")</f>
        <v>PREFEITURA MUNICIPAL DE CAMOCIM - INFRAESTRUTURA</v>
      </c>
      <c r="D1453" s="95" t="s">
        <v>1689</v>
      </c>
      <c r="E1453" s="96" t="s">
        <v>1575</v>
      </c>
      <c r="F1453" s="78">
        <v>1.0</v>
      </c>
      <c r="G1453" s="98">
        <v>13.42</v>
      </c>
    </row>
    <row r="1454">
      <c r="A1454" s="6">
        <v>273.0</v>
      </c>
      <c r="B1454" s="76" t="str">
        <f>IFERROR(VLOOKUP($A1454,EVENTO!$A$2:$C$4999,2,FALSE),"")</f>
        <v>CADASTRO</v>
      </c>
      <c r="C1454" s="76" t="str">
        <f>IFERROR(VLOOKUP($A1454,EVENTO!$A$2:$C$4999,3,FALSE),"")</f>
        <v>PREFEITURA MUNICIPAL DE CAMOCIM - INFRAESTRUTURA</v>
      </c>
      <c r="D1454" s="95" t="s">
        <v>1668</v>
      </c>
      <c r="E1454" s="96" t="s">
        <v>1698</v>
      </c>
      <c r="F1454" s="78">
        <v>1.0</v>
      </c>
      <c r="G1454" s="98">
        <v>36.65</v>
      </c>
    </row>
    <row r="1455">
      <c r="A1455" s="6">
        <v>273.0</v>
      </c>
      <c r="B1455" s="76" t="str">
        <f>IFERROR(VLOOKUP($A1455,EVENTO!$A$2:$C$4999,2,FALSE),"")</f>
        <v>CADASTRO</v>
      </c>
      <c r="C1455" s="76" t="str">
        <f>IFERROR(VLOOKUP($A1455,EVENTO!$A$2:$C$4999,3,FALSE),"")</f>
        <v>PREFEITURA MUNICIPAL DE CAMOCIM - INFRAESTRUTURA</v>
      </c>
      <c r="D1455" s="95" t="s">
        <v>1670</v>
      </c>
      <c r="E1455" s="96" t="s">
        <v>1691</v>
      </c>
      <c r="F1455" s="78">
        <v>1.0</v>
      </c>
      <c r="G1455" s="98">
        <v>91.18</v>
      </c>
    </row>
    <row r="1456">
      <c r="A1456" s="6">
        <v>273.0</v>
      </c>
      <c r="B1456" s="76" t="str">
        <f>IFERROR(VLOOKUP($A1456,EVENTO!$A$2:$C$4999,2,FALSE),"")</f>
        <v>CADASTRO</v>
      </c>
      <c r="C1456" s="76" t="str">
        <f>IFERROR(VLOOKUP($A1456,EVENTO!$A$2:$C$4999,3,FALSE),"")</f>
        <v>PREFEITURA MUNICIPAL DE CAMOCIM - INFRAESTRUTURA</v>
      </c>
      <c r="D1456" s="95" t="s">
        <v>1674</v>
      </c>
      <c r="E1456" s="96" t="s">
        <v>1675</v>
      </c>
      <c r="F1456" s="78">
        <v>1.0</v>
      </c>
      <c r="G1456" s="98">
        <v>41.95</v>
      </c>
    </row>
    <row r="1457">
      <c r="A1457" s="6">
        <v>273.0</v>
      </c>
      <c r="B1457" s="76" t="str">
        <f>IFERROR(VLOOKUP($A1457,EVENTO!$A$2:$C$4999,2,FALSE),"")</f>
        <v>CADASTRO</v>
      </c>
      <c r="C1457" s="76" t="str">
        <f>IFERROR(VLOOKUP($A1457,EVENTO!$A$2:$C$4999,3,FALSE),"")</f>
        <v>PREFEITURA MUNICIPAL DE CAMOCIM - INFRAESTRUTURA</v>
      </c>
      <c r="D1457" s="95" t="s">
        <v>1665</v>
      </c>
      <c r="E1457" s="96" t="s">
        <v>1666</v>
      </c>
      <c r="F1457" s="78">
        <v>4.0</v>
      </c>
      <c r="G1457" s="97">
        <v>148.11</v>
      </c>
    </row>
    <row r="1458">
      <c r="A1458" s="6">
        <v>273.0</v>
      </c>
      <c r="B1458" s="76" t="str">
        <f>IFERROR(VLOOKUP($A1458,EVENTO!$A$2:$C$4999,2,FALSE),"")</f>
        <v>CADASTRO</v>
      </c>
      <c r="C1458" s="76" t="str">
        <f>IFERROR(VLOOKUP($A1458,EVENTO!$A$2:$C$4999,3,FALSE),"")</f>
        <v>PREFEITURA MUNICIPAL DE CAMOCIM - INFRAESTRUTURA</v>
      </c>
      <c r="D1458" s="95" t="s">
        <v>1681</v>
      </c>
      <c r="E1458" s="96" t="s">
        <v>1682</v>
      </c>
      <c r="F1458" s="78">
        <v>2.0</v>
      </c>
      <c r="G1458" s="98">
        <v>90.38</v>
      </c>
    </row>
    <row r="1459">
      <c r="A1459" s="6">
        <v>273.0</v>
      </c>
      <c r="B1459" s="76" t="str">
        <f>IFERROR(VLOOKUP($A1459,EVENTO!$A$2:$C$4999,2,FALSE),"")</f>
        <v>CADASTRO</v>
      </c>
      <c r="C1459" s="76" t="str">
        <f>IFERROR(VLOOKUP($A1459,EVENTO!$A$2:$C$4999,3,FALSE),"")</f>
        <v>PREFEITURA MUNICIPAL DE CAMOCIM - INFRAESTRUTURA</v>
      </c>
      <c r="D1459" s="95" t="s">
        <v>1705</v>
      </c>
      <c r="E1459" s="96" t="s">
        <v>1706</v>
      </c>
      <c r="F1459" s="78">
        <v>1.0</v>
      </c>
      <c r="G1459" s="98">
        <v>283.89</v>
      </c>
    </row>
    <row r="1460">
      <c r="A1460" s="6">
        <v>273.0</v>
      </c>
      <c r="B1460" s="76" t="str">
        <f>IFERROR(VLOOKUP($A1460,EVENTO!$A$2:$C$4999,2,FALSE),"")</f>
        <v>CADASTRO</v>
      </c>
      <c r="C1460" s="76" t="str">
        <f>IFERROR(VLOOKUP($A1460,EVENTO!$A$2:$C$4999,3,FALSE),"")</f>
        <v>PREFEITURA MUNICIPAL DE CAMOCIM - INFRAESTRUTURA</v>
      </c>
      <c r="D1460" s="95" t="s">
        <v>1709</v>
      </c>
      <c r="E1460" s="96" t="s">
        <v>1710</v>
      </c>
      <c r="F1460" s="78">
        <v>1.0</v>
      </c>
      <c r="G1460" s="98">
        <v>1363.36</v>
      </c>
    </row>
    <row r="1461">
      <c r="A1461" s="6">
        <v>273.0</v>
      </c>
      <c r="B1461" s="76" t="str">
        <f>IFERROR(VLOOKUP($A1461,EVENTO!$A$2:$C$4999,2,FALSE),"")</f>
        <v>CADASTRO</v>
      </c>
      <c r="C1461" s="76" t="str">
        <f>IFERROR(VLOOKUP($A1461,EVENTO!$A$2:$C$4999,3,FALSE),"")</f>
        <v>PREFEITURA MUNICIPAL DE CAMOCIM - INFRAESTRUTURA</v>
      </c>
      <c r="D1461" s="95" t="s">
        <v>1711</v>
      </c>
      <c r="E1461" s="99" t="s">
        <v>1712</v>
      </c>
      <c r="F1461" s="78">
        <v>1.0</v>
      </c>
      <c r="G1461" s="98">
        <v>1325.36</v>
      </c>
    </row>
    <row r="1462">
      <c r="A1462" s="6">
        <v>276.0</v>
      </c>
      <c r="B1462" s="76" t="str">
        <f>IFERROR(VLOOKUP($A1462,EVENTO!$A$2:$C$4999,2,FALSE),"")</f>
        <v>CADASTRO</v>
      </c>
      <c r="C1462" s="76" t="str">
        <f>IFERROR(VLOOKUP($A1462,EVENTO!$A$2:$C$4999,3,FALSE),"")</f>
        <v>PREFEITURA MUNICIPAL DE CAMOCIM - PESCA, AGRICULTURA, RECURSOS HÍDRICOS E MEIO AMBIENTE</v>
      </c>
      <c r="D1462" s="96" t="s">
        <v>1458</v>
      </c>
      <c r="E1462" s="96" t="s">
        <v>1535</v>
      </c>
      <c r="F1462" s="78">
        <v>1.0</v>
      </c>
      <c r="G1462" s="97">
        <v>344.75</v>
      </c>
    </row>
    <row r="1463">
      <c r="A1463" s="6">
        <v>276.0</v>
      </c>
      <c r="B1463" s="76" t="str">
        <f>IFERROR(VLOOKUP($A1463,EVENTO!$A$2:$C$4999,2,FALSE),"")</f>
        <v>CADASTRO</v>
      </c>
      <c r="C1463" s="76" t="str">
        <f>IFERROR(VLOOKUP($A1463,EVENTO!$A$2:$C$4999,3,FALSE),"")</f>
        <v>PREFEITURA MUNICIPAL DE CAMOCIM - PESCA, AGRICULTURA, RECURSOS HÍDRICOS E MEIO AMBIENTE</v>
      </c>
      <c r="D1463" s="96" t="s">
        <v>1546</v>
      </c>
      <c r="E1463" s="96" t="s">
        <v>1547</v>
      </c>
      <c r="F1463" s="78">
        <v>1.0</v>
      </c>
      <c r="G1463" s="97">
        <v>270.39</v>
      </c>
    </row>
    <row r="1464">
      <c r="A1464" s="6">
        <v>276.0</v>
      </c>
      <c r="B1464" s="76" t="str">
        <f>IFERROR(VLOOKUP($A1464,EVENTO!$A$2:$C$4999,2,FALSE),"")</f>
        <v>CADASTRO</v>
      </c>
      <c r="C1464" s="76" t="str">
        <f>IFERROR(VLOOKUP($A1464,EVENTO!$A$2:$C$4999,3,FALSE),"")</f>
        <v>PREFEITURA MUNICIPAL DE CAMOCIM - PESCA, AGRICULTURA, RECURSOS HÍDRICOS E MEIO AMBIENTE</v>
      </c>
      <c r="D1464" s="96" t="s">
        <v>1456</v>
      </c>
      <c r="E1464" s="96" t="s">
        <v>1660</v>
      </c>
      <c r="F1464" s="78">
        <v>1.0</v>
      </c>
      <c r="G1464" s="97">
        <v>387.36</v>
      </c>
    </row>
    <row r="1465">
      <c r="A1465" s="6">
        <v>276.0</v>
      </c>
      <c r="B1465" s="76" t="str">
        <f>IFERROR(VLOOKUP($A1465,EVENTO!$A$2:$C$4999,2,FALSE),"")</f>
        <v>CADASTRO</v>
      </c>
      <c r="C1465" s="76" t="str">
        <f>IFERROR(VLOOKUP($A1465,EVENTO!$A$2:$C$4999,3,FALSE),"")</f>
        <v>PREFEITURA MUNICIPAL DE CAMOCIM - PESCA, AGRICULTURA, RECURSOS HÍDRICOS E MEIO AMBIENTE</v>
      </c>
      <c r="D1465" s="96" t="s">
        <v>1696</v>
      </c>
      <c r="E1465" s="96" t="s">
        <v>1661</v>
      </c>
      <c r="F1465" s="78">
        <v>6.0</v>
      </c>
      <c r="G1465" s="97">
        <v>221.78</v>
      </c>
    </row>
    <row r="1466">
      <c r="A1466" s="6">
        <v>276.0</v>
      </c>
      <c r="B1466" s="76" t="str">
        <f>IFERROR(VLOOKUP($A1466,EVENTO!$A$2:$C$4999,2,FALSE),"")</f>
        <v>CADASTRO</v>
      </c>
      <c r="C1466" s="76" t="str">
        <f>IFERROR(VLOOKUP($A1466,EVENTO!$A$2:$C$4999,3,FALSE),"")</f>
        <v>PREFEITURA MUNICIPAL DE CAMOCIM - PESCA, AGRICULTURA, RECURSOS HÍDRICOS E MEIO AMBIENTE</v>
      </c>
      <c r="D1466" s="96" t="s">
        <v>1551</v>
      </c>
      <c r="E1466" s="96" t="s">
        <v>1536</v>
      </c>
      <c r="F1466" s="78">
        <v>3.0</v>
      </c>
      <c r="G1466" s="97">
        <v>173.93</v>
      </c>
    </row>
    <row r="1467">
      <c r="A1467" s="6">
        <v>276.0</v>
      </c>
      <c r="B1467" s="76" t="str">
        <f>IFERROR(VLOOKUP($A1467,EVENTO!$A$2:$C$4999,2,FALSE),"")</f>
        <v>CADASTRO</v>
      </c>
      <c r="C1467" s="76" t="str">
        <f>IFERROR(VLOOKUP($A1467,EVENTO!$A$2:$C$4999,3,FALSE),"")</f>
        <v>PREFEITURA MUNICIPAL DE CAMOCIM - PESCA, AGRICULTURA, RECURSOS HÍDRICOS E MEIO AMBIENTE</v>
      </c>
      <c r="D1467" s="96" t="s">
        <v>1697</v>
      </c>
      <c r="E1467" s="96" t="s">
        <v>1664</v>
      </c>
      <c r="F1467" s="78">
        <v>3.0</v>
      </c>
      <c r="G1467" s="97">
        <v>286.34</v>
      </c>
    </row>
    <row r="1468">
      <c r="A1468" s="6">
        <v>276.0</v>
      </c>
      <c r="B1468" s="76" t="str">
        <f>IFERROR(VLOOKUP($A1468,EVENTO!$A$2:$C$4999,2,FALSE),"")</f>
        <v>CADASTRO</v>
      </c>
      <c r="C1468" s="76" t="str">
        <f>IFERROR(VLOOKUP($A1468,EVENTO!$A$2:$C$4999,3,FALSE),"")</f>
        <v>PREFEITURA MUNICIPAL DE CAMOCIM - PESCA, AGRICULTURA, RECURSOS HÍDRICOS E MEIO AMBIENTE</v>
      </c>
      <c r="D1468" s="96" t="s">
        <v>1688</v>
      </c>
      <c r="E1468" s="96" t="s">
        <v>1560</v>
      </c>
      <c r="F1468" s="78">
        <v>1.0</v>
      </c>
      <c r="G1468" s="98">
        <v>50.3</v>
      </c>
    </row>
    <row r="1469">
      <c r="A1469" s="6">
        <v>276.0</v>
      </c>
      <c r="B1469" s="76" t="str">
        <f>IFERROR(VLOOKUP($A1469,EVENTO!$A$2:$C$4999,2,FALSE),"")</f>
        <v>CADASTRO</v>
      </c>
      <c r="C1469" s="76" t="str">
        <f>IFERROR(VLOOKUP($A1469,EVENTO!$A$2:$C$4999,3,FALSE),"")</f>
        <v>PREFEITURA MUNICIPAL DE CAMOCIM - PESCA, AGRICULTURA, RECURSOS HÍDRICOS E MEIO AMBIENTE</v>
      </c>
      <c r="D1469" s="96" t="s">
        <v>1668</v>
      </c>
      <c r="E1469" s="96" t="s">
        <v>1698</v>
      </c>
      <c r="F1469" s="78">
        <v>1.0</v>
      </c>
      <c r="G1469" s="98">
        <v>36.65</v>
      </c>
    </row>
    <row r="1470">
      <c r="A1470" s="6">
        <v>276.0</v>
      </c>
      <c r="B1470" s="76" t="str">
        <f>IFERROR(VLOOKUP($A1470,EVENTO!$A$2:$C$4999,2,FALSE),"")</f>
        <v>CADASTRO</v>
      </c>
      <c r="C1470" s="76" t="str">
        <f>IFERROR(VLOOKUP($A1470,EVENTO!$A$2:$C$4999,3,FALSE),"")</f>
        <v>PREFEITURA MUNICIPAL DE CAMOCIM - PESCA, AGRICULTURA, RECURSOS HÍDRICOS E MEIO AMBIENTE</v>
      </c>
      <c r="D1470" s="96" t="s">
        <v>1674</v>
      </c>
      <c r="E1470" s="96" t="s">
        <v>1675</v>
      </c>
      <c r="F1470" s="78">
        <v>1.0</v>
      </c>
      <c r="G1470" s="98">
        <v>41.95</v>
      </c>
    </row>
    <row r="1471">
      <c r="A1471" s="6">
        <v>276.0</v>
      </c>
      <c r="B1471" s="76" t="str">
        <f>IFERROR(VLOOKUP($A1471,EVENTO!$A$2:$C$4999,2,FALSE),"")</f>
        <v>CADASTRO</v>
      </c>
      <c r="C1471" s="76" t="str">
        <f>IFERROR(VLOOKUP($A1471,EVENTO!$A$2:$C$4999,3,FALSE),"")</f>
        <v>PREFEITURA MUNICIPAL DE CAMOCIM - PESCA, AGRICULTURA, RECURSOS HÍDRICOS E MEIO AMBIENTE</v>
      </c>
      <c r="D1471" s="96" t="s">
        <v>1665</v>
      </c>
      <c r="E1471" s="96" t="s">
        <v>1666</v>
      </c>
      <c r="F1471" s="78">
        <v>2.0</v>
      </c>
      <c r="G1471" s="97">
        <v>148.11</v>
      </c>
    </row>
    <row r="1472">
      <c r="A1472" s="6">
        <v>279.0</v>
      </c>
      <c r="B1472" s="76" t="str">
        <f>IFERROR(VLOOKUP($A1472,EVENTO!$A$2:$C$4999,2,FALSE),"")</f>
        <v>CADASTRO</v>
      </c>
      <c r="C1472" s="76" t="str">
        <f>IFERROR(VLOOKUP($A1472,EVENTO!$A$2:$C$4999,3,FALSE),"")</f>
        <v>PREFEITURA MUNICIPAL DE CAMOCIM - PROCURADORIA GERAL DO MUNICÍPIO</v>
      </c>
      <c r="D1472" s="96" t="s">
        <v>1544</v>
      </c>
      <c r="E1472" s="96" t="s">
        <v>1545</v>
      </c>
      <c r="F1472" s="78">
        <v>1.0</v>
      </c>
      <c r="G1472" s="97">
        <v>534.71</v>
      </c>
    </row>
    <row r="1473">
      <c r="A1473" s="6">
        <v>279.0</v>
      </c>
      <c r="B1473" s="76" t="str">
        <f>IFERROR(VLOOKUP($A1473,EVENTO!$A$2:$C$4999,2,FALSE),"")</f>
        <v>CADASTRO</v>
      </c>
      <c r="C1473" s="76" t="str">
        <f>IFERROR(VLOOKUP($A1473,EVENTO!$A$2:$C$4999,3,FALSE),"")</f>
        <v>PREFEITURA MUNICIPAL DE CAMOCIM - PROCURADORIA GERAL DO MUNICÍPIO</v>
      </c>
      <c r="D1473" s="96" t="s">
        <v>1458</v>
      </c>
      <c r="E1473" s="96" t="s">
        <v>1535</v>
      </c>
      <c r="F1473" s="78">
        <v>3.0</v>
      </c>
      <c r="G1473" s="97">
        <v>344.75</v>
      </c>
    </row>
    <row r="1474">
      <c r="A1474" s="6">
        <v>279.0</v>
      </c>
      <c r="B1474" s="76" t="str">
        <f>IFERROR(VLOOKUP($A1474,EVENTO!$A$2:$C$4999,2,FALSE),"")</f>
        <v>CADASTRO</v>
      </c>
      <c r="C1474" s="76" t="str">
        <f>IFERROR(VLOOKUP($A1474,EVENTO!$A$2:$C$4999,3,FALSE),"")</f>
        <v>PREFEITURA MUNICIPAL DE CAMOCIM - PROCURADORIA GERAL DO MUNICÍPIO</v>
      </c>
      <c r="D1474" s="96" t="s">
        <v>1456</v>
      </c>
      <c r="E1474" s="96" t="s">
        <v>1660</v>
      </c>
      <c r="F1474" s="78">
        <v>1.0</v>
      </c>
      <c r="G1474" s="97">
        <v>387.36</v>
      </c>
    </row>
    <row r="1475">
      <c r="A1475" s="6">
        <v>279.0</v>
      </c>
      <c r="B1475" s="76" t="str">
        <f>IFERROR(VLOOKUP($A1475,EVENTO!$A$2:$C$4999,2,FALSE),"")</f>
        <v>CADASTRO</v>
      </c>
      <c r="C1475" s="76" t="str">
        <f>IFERROR(VLOOKUP($A1475,EVENTO!$A$2:$C$4999,3,FALSE),"")</f>
        <v>PREFEITURA MUNICIPAL DE CAMOCIM - PROCURADORIA GERAL DO MUNICÍPIO</v>
      </c>
      <c r="D1475" s="96" t="s">
        <v>1696</v>
      </c>
      <c r="E1475" s="96" t="s">
        <v>1661</v>
      </c>
      <c r="F1475" s="78">
        <v>6.0</v>
      </c>
      <c r="G1475" s="97">
        <v>221.78</v>
      </c>
    </row>
    <row r="1476">
      <c r="A1476" s="6">
        <v>279.0</v>
      </c>
      <c r="B1476" s="76" t="str">
        <f>IFERROR(VLOOKUP($A1476,EVENTO!$A$2:$C$4999,2,FALSE),"")</f>
        <v>CADASTRO</v>
      </c>
      <c r="C1476" s="76" t="str">
        <f>IFERROR(VLOOKUP($A1476,EVENTO!$A$2:$C$4999,3,FALSE),"")</f>
        <v>PREFEITURA MUNICIPAL DE CAMOCIM - PROCURADORIA GERAL DO MUNICÍPIO</v>
      </c>
      <c r="D1476" s="96" t="s">
        <v>1551</v>
      </c>
      <c r="E1476" s="96" t="s">
        <v>1536</v>
      </c>
      <c r="F1476" s="78">
        <v>1.0</v>
      </c>
      <c r="G1476" s="97">
        <v>173.93</v>
      </c>
    </row>
    <row r="1477">
      <c r="A1477" s="6">
        <v>279.0</v>
      </c>
      <c r="B1477" s="76" t="str">
        <f>IFERROR(VLOOKUP($A1477,EVENTO!$A$2:$C$4999,2,FALSE),"")</f>
        <v>CADASTRO</v>
      </c>
      <c r="C1477" s="76" t="str">
        <f>IFERROR(VLOOKUP($A1477,EVENTO!$A$2:$C$4999,3,FALSE),"")</f>
        <v>PREFEITURA MUNICIPAL DE CAMOCIM - PROCURADORIA GERAL DO MUNICÍPIO</v>
      </c>
      <c r="D1477" s="96" t="s">
        <v>1697</v>
      </c>
      <c r="E1477" s="96" t="s">
        <v>1664</v>
      </c>
      <c r="F1477" s="78">
        <v>2.0</v>
      </c>
      <c r="G1477" s="97">
        <v>286.34</v>
      </c>
    </row>
    <row r="1478">
      <c r="A1478" s="6">
        <v>279.0</v>
      </c>
      <c r="B1478" s="76" t="str">
        <f>IFERROR(VLOOKUP($A1478,EVENTO!$A$2:$C$4999,2,FALSE),"")</f>
        <v>CADASTRO</v>
      </c>
      <c r="C1478" s="76" t="str">
        <f>IFERROR(VLOOKUP($A1478,EVENTO!$A$2:$C$4999,3,FALSE),"")</f>
        <v>PREFEITURA MUNICIPAL DE CAMOCIM - PROCURADORIA GERAL DO MUNICÍPIO</v>
      </c>
      <c r="D1478" s="96" t="s">
        <v>1688</v>
      </c>
      <c r="E1478" s="96" t="s">
        <v>1560</v>
      </c>
      <c r="F1478" s="78">
        <v>1.0</v>
      </c>
      <c r="G1478" s="98">
        <v>50.3</v>
      </c>
    </row>
    <row r="1479">
      <c r="A1479" s="6">
        <v>279.0</v>
      </c>
      <c r="B1479" s="76" t="str">
        <f>IFERROR(VLOOKUP($A1479,EVENTO!$A$2:$C$4999,2,FALSE),"")</f>
        <v>CADASTRO</v>
      </c>
      <c r="C1479" s="76" t="str">
        <f>IFERROR(VLOOKUP($A1479,EVENTO!$A$2:$C$4999,3,FALSE),"")</f>
        <v>PREFEITURA MUNICIPAL DE CAMOCIM - PROCURADORIA GERAL DO MUNICÍPIO</v>
      </c>
      <c r="D1479" s="96" t="s">
        <v>1689</v>
      </c>
      <c r="E1479" s="96" t="s">
        <v>1575</v>
      </c>
      <c r="F1479" s="78">
        <v>1.0</v>
      </c>
      <c r="G1479" s="98">
        <v>13.42</v>
      </c>
    </row>
    <row r="1480">
      <c r="A1480" s="6">
        <v>279.0</v>
      </c>
      <c r="B1480" s="76" t="str">
        <f>IFERROR(VLOOKUP($A1480,EVENTO!$A$2:$C$4999,2,FALSE),"")</f>
        <v>CADASTRO</v>
      </c>
      <c r="C1480" s="76" t="str">
        <f>IFERROR(VLOOKUP($A1480,EVENTO!$A$2:$C$4999,3,FALSE),"")</f>
        <v>PREFEITURA MUNICIPAL DE CAMOCIM - PROCURADORIA GERAL DO MUNICÍPIO</v>
      </c>
      <c r="D1480" s="96" t="s">
        <v>1668</v>
      </c>
      <c r="E1480" s="96" t="s">
        <v>1698</v>
      </c>
      <c r="F1480" s="78">
        <v>1.0</v>
      </c>
      <c r="G1480" s="98">
        <v>36.65</v>
      </c>
    </row>
    <row r="1481">
      <c r="A1481" s="6">
        <v>279.0</v>
      </c>
      <c r="B1481" s="76" t="str">
        <f>IFERROR(VLOOKUP($A1481,EVENTO!$A$2:$C$4999,2,FALSE),"")</f>
        <v>CADASTRO</v>
      </c>
      <c r="C1481" s="76" t="str">
        <f>IFERROR(VLOOKUP($A1481,EVENTO!$A$2:$C$4999,3,FALSE),"")</f>
        <v>PREFEITURA MUNICIPAL DE CAMOCIM - PROCURADORIA GERAL DO MUNICÍPIO</v>
      </c>
      <c r="D1481" s="96" t="s">
        <v>1670</v>
      </c>
      <c r="E1481" s="96" t="s">
        <v>1691</v>
      </c>
      <c r="F1481" s="78">
        <v>1.0</v>
      </c>
      <c r="G1481" s="98">
        <v>91.18</v>
      </c>
    </row>
    <row r="1482">
      <c r="A1482" s="6">
        <v>279.0</v>
      </c>
      <c r="B1482" s="76" t="str">
        <f>IFERROR(VLOOKUP($A1482,EVENTO!$A$2:$C$4999,2,FALSE),"")</f>
        <v>CADASTRO</v>
      </c>
      <c r="C1482" s="76" t="str">
        <f>IFERROR(VLOOKUP($A1482,EVENTO!$A$2:$C$4999,3,FALSE),"")</f>
        <v>PREFEITURA MUNICIPAL DE CAMOCIM - PROCURADORIA GERAL DO MUNICÍPIO</v>
      </c>
      <c r="D1482" s="96" t="s">
        <v>1672</v>
      </c>
      <c r="E1482" s="96" t="s">
        <v>1692</v>
      </c>
      <c r="F1482" s="78"/>
      <c r="G1482" s="98">
        <v>63.8</v>
      </c>
    </row>
    <row r="1483">
      <c r="A1483" s="6">
        <v>279.0</v>
      </c>
      <c r="B1483" s="76" t="str">
        <f>IFERROR(VLOOKUP($A1483,EVENTO!$A$2:$C$4999,2,FALSE),"")</f>
        <v>CADASTRO</v>
      </c>
      <c r="C1483" s="76" t="str">
        <f>IFERROR(VLOOKUP($A1483,EVENTO!$A$2:$C$4999,3,FALSE),"")</f>
        <v>PREFEITURA MUNICIPAL DE CAMOCIM - PROCURADORIA GERAL DO MUNICÍPIO</v>
      </c>
      <c r="D1483" s="96" t="s">
        <v>1674</v>
      </c>
      <c r="E1483" s="96" t="s">
        <v>1675</v>
      </c>
      <c r="F1483" s="78">
        <v>1.0</v>
      </c>
      <c r="G1483" s="98">
        <v>41.95</v>
      </c>
    </row>
    <row r="1484">
      <c r="A1484" s="6">
        <v>279.0</v>
      </c>
      <c r="B1484" s="76" t="str">
        <f>IFERROR(VLOOKUP($A1484,EVENTO!$A$2:$C$4999,2,FALSE),"")</f>
        <v>CADASTRO</v>
      </c>
      <c r="C1484" s="76" t="str">
        <f>IFERROR(VLOOKUP($A1484,EVENTO!$A$2:$C$4999,3,FALSE),"")</f>
        <v>PREFEITURA MUNICIPAL DE CAMOCIM - PROCURADORIA GERAL DO MUNICÍPIO</v>
      </c>
      <c r="D1484" s="96" t="s">
        <v>1695</v>
      </c>
      <c r="E1484" s="96" t="s">
        <v>1677</v>
      </c>
      <c r="F1484" s="78">
        <v>1.0</v>
      </c>
      <c r="G1484" s="98">
        <v>105.09</v>
      </c>
    </row>
    <row r="1485">
      <c r="A1485" s="6">
        <v>279.0</v>
      </c>
      <c r="B1485" s="76" t="str">
        <f>IFERROR(VLOOKUP($A1485,EVENTO!$A$2:$C$4999,2,FALSE),"")</f>
        <v>CADASTRO</v>
      </c>
      <c r="C1485" s="76" t="str">
        <f>IFERROR(VLOOKUP($A1485,EVENTO!$A$2:$C$4999,3,FALSE),"")</f>
        <v>PREFEITURA MUNICIPAL DE CAMOCIM - PROCURADORIA GERAL DO MUNICÍPIO</v>
      </c>
      <c r="D1485" s="96" t="s">
        <v>1665</v>
      </c>
      <c r="E1485" s="96" t="s">
        <v>1666</v>
      </c>
      <c r="F1485" s="78">
        <v>2.0</v>
      </c>
      <c r="G1485" s="97">
        <v>148.11</v>
      </c>
    </row>
    <row r="1486">
      <c r="A1486" s="6">
        <v>279.0</v>
      </c>
      <c r="B1486" s="76" t="str">
        <f>IFERROR(VLOOKUP($A1486,EVENTO!$A$2:$C$4999,2,FALSE),"")</f>
        <v>CADASTRO</v>
      </c>
      <c r="C1486" s="76" t="str">
        <f>IFERROR(VLOOKUP($A1486,EVENTO!$A$2:$C$4999,3,FALSE),"")</f>
        <v>PREFEITURA MUNICIPAL DE CAMOCIM - PROCURADORIA GERAL DO MUNICÍPIO</v>
      </c>
      <c r="D1486" s="96" t="s">
        <v>1699</v>
      </c>
      <c r="E1486" s="96" t="s">
        <v>1700</v>
      </c>
      <c r="F1486" s="78"/>
      <c r="G1486" s="98">
        <v>1239.56</v>
      </c>
    </row>
    <row r="1487">
      <c r="A1487" s="6">
        <v>279.0</v>
      </c>
      <c r="B1487" s="76" t="str">
        <f>IFERROR(VLOOKUP($A1487,EVENTO!$A$2:$C$4999,2,FALSE),"")</f>
        <v>CADASTRO</v>
      </c>
      <c r="C1487" s="76" t="str">
        <f>IFERROR(VLOOKUP($A1487,EVENTO!$A$2:$C$4999,3,FALSE),"")</f>
        <v>PREFEITURA MUNICIPAL DE CAMOCIM - PROCURADORIA GERAL DO MUNICÍPIO</v>
      </c>
      <c r="D1487" s="96" t="s">
        <v>1681</v>
      </c>
      <c r="E1487" s="96" t="s">
        <v>1682</v>
      </c>
      <c r="F1487" s="78">
        <v>2.0</v>
      </c>
      <c r="G1487" s="98">
        <v>90.38</v>
      </c>
    </row>
    <row r="1488">
      <c r="A1488" s="6">
        <v>279.0</v>
      </c>
      <c r="B1488" s="76" t="str">
        <f>IFERROR(VLOOKUP($A1488,EVENTO!$A$2:$C$4999,2,FALSE),"")</f>
        <v>CADASTRO</v>
      </c>
      <c r="C1488" s="76" t="str">
        <f>IFERROR(VLOOKUP($A1488,EVENTO!$A$2:$C$4999,3,FALSE),"")</f>
        <v>PREFEITURA MUNICIPAL DE CAMOCIM - PROCURADORIA GERAL DO MUNICÍPIO</v>
      </c>
      <c r="D1488" s="96" t="s">
        <v>1693</v>
      </c>
      <c r="E1488" s="96" t="s">
        <v>1701</v>
      </c>
      <c r="F1488" s="78">
        <v>1.0</v>
      </c>
      <c r="G1488" s="98">
        <v>105.09</v>
      </c>
    </row>
    <row r="1489">
      <c r="A1489" s="6">
        <v>282.0</v>
      </c>
      <c r="B1489" s="76" t="str">
        <f>IFERROR(VLOOKUP($A1489,EVENTO!$A$2:$C$4999,2,FALSE),"")</f>
        <v>CADASTRO</v>
      </c>
      <c r="C1489" s="76" t="str">
        <f>IFERROR(VLOOKUP($A1489,EVENTO!$A$2:$C$4999,3,FALSE),"")</f>
        <v>PREFEITURA MUNICIPAL DE CAMOCIM - SAÚDE</v>
      </c>
      <c r="D1489" s="96" t="s">
        <v>1544</v>
      </c>
      <c r="E1489" s="96" t="s">
        <v>1545</v>
      </c>
      <c r="F1489" s="78">
        <v>1.0</v>
      </c>
      <c r="G1489" s="97">
        <v>534.71</v>
      </c>
    </row>
    <row r="1490">
      <c r="A1490" s="6">
        <v>282.0</v>
      </c>
      <c r="B1490" s="76" t="str">
        <f>IFERROR(VLOOKUP($A1490,EVENTO!$A$2:$C$4999,2,FALSE),"")</f>
        <v>CADASTRO</v>
      </c>
      <c r="C1490" s="76" t="str">
        <f>IFERROR(VLOOKUP($A1490,EVENTO!$A$2:$C$4999,3,FALSE),"")</f>
        <v>PREFEITURA MUNICIPAL DE CAMOCIM - SAÚDE</v>
      </c>
      <c r="D1490" s="96" t="s">
        <v>1458</v>
      </c>
      <c r="E1490" s="96" t="s">
        <v>1535</v>
      </c>
      <c r="F1490" s="78">
        <v>5.0</v>
      </c>
      <c r="G1490" s="97">
        <v>344.75</v>
      </c>
    </row>
    <row r="1491">
      <c r="A1491" s="6">
        <v>282.0</v>
      </c>
      <c r="B1491" s="76" t="str">
        <f>IFERROR(VLOOKUP($A1491,EVENTO!$A$2:$C$4999,2,FALSE),"")</f>
        <v>CADASTRO</v>
      </c>
      <c r="C1491" s="76" t="str">
        <f>IFERROR(VLOOKUP($A1491,EVENTO!$A$2:$C$4999,3,FALSE),"")</f>
        <v>PREFEITURA MUNICIPAL DE CAMOCIM - SAÚDE</v>
      </c>
      <c r="D1491" s="96" t="s">
        <v>1546</v>
      </c>
      <c r="E1491" s="96" t="s">
        <v>1547</v>
      </c>
      <c r="F1491" s="78">
        <v>5.0</v>
      </c>
      <c r="G1491" s="97">
        <v>270.39</v>
      </c>
    </row>
    <row r="1492">
      <c r="A1492" s="6">
        <v>282.0</v>
      </c>
      <c r="B1492" s="76" t="str">
        <f>IFERROR(VLOOKUP($A1492,EVENTO!$A$2:$C$4999,2,FALSE),"")</f>
        <v>CADASTRO</v>
      </c>
      <c r="C1492" s="76" t="str">
        <f>IFERROR(VLOOKUP($A1492,EVENTO!$A$2:$C$4999,3,FALSE),"")</f>
        <v>PREFEITURA MUNICIPAL DE CAMOCIM - SAÚDE</v>
      </c>
      <c r="D1492" s="96" t="s">
        <v>1456</v>
      </c>
      <c r="E1492" s="96" t="s">
        <v>1660</v>
      </c>
      <c r="F1492" s="78">
        <v>6.0</v>
      </c>
      <c r="G1492" s="97">
        <v>387.36</v>
      </c>
    </row>
    <row r="1493">
      <c r="A1493" s="6">
        <v>282.0</v>
      </c>
      <c r="B1493" s="76" t="str">
        <f>IFERROR(VLOOKUP($A1493,EVENTO!$A$2:$C$4999,2,FALSE),"")</f>
        <v>CADASTRO</v>
      </c>
      <c r="C1493" s="76" t="str">
        <f>IFERROR(VLOOKUP($A1493,EVENTO!$A$2:$C$4999,3,FALSE),"")</f>
        <v>PREFEITURA MUNICIPAL DE CAMOCIM - SAÚDE</v>
      </c>
      <c r="D1493" s="96" t="s">
        <v>1696</v>
      </c>
      <c r="E1493" s="96" t="s">
        <v>1661</v>
      </c>
      <c r="F1493" s="78">
        <v>50.0</v>
      </c>
      <c r="G1493" s="97">
        <v>221.78</v>
      </c>
    </row>
    <row r="1494">
      <c r="A1494" s="6">
        <v>282.0</v>
      </c>
      <c r="B1494" s="76" t="str">
        <f>IFERROR(VLOOKUP($A1494,EVENTO!$A$2:$C$4999,2,FALSE),"")</f>
        <v>CADASTRO</v>
      </c>
      <c r="C1494" s="76" t="str">
        <f>IFERROR(VLOOKUP($A1494,EVENTO!$A$2:$C$4999,3,FALSE),"")</f>
        <v>PREFEITURA MUNICIPAL DE CAMOCIM - SAÚDE</v>
      </c>
      <c r="D1494" s="96" t="s">
        <v>1551</v>
      </c>
      <c r="E1494" s="96" t="s">
        <v>1536</v>
      </c>
      <c r="F1494" s="78">
        <v>17.0</v>
      </c>
      <c r="G1494" s="97">
        <v>173.93</v>
      </c>
    </row>
    <row r="1495">
      <c r="A1495" s="6">
        <v>282.0</v>
      </c>
      <c r="B1495" s="76" t="str">
        <f>IFERROR(VLOOKUP($A1495,EVENTO!$A$2:$C$4999,2,FALSE),"")</f>
        <v>CADASTRO</v>
      </c>
      <c r="C1495" s="76" t="str">
        <f>IFERROR(VLOOKUP($A1495,EVENTO!$A$2:$C$4999,3,FALSE),"")</f>
        <v>PREFEITURA MUNICIPAL DE CAMOCIM - SAÚDE</v>
      </c>
      <c r="D1495" s="96" t="s">
        <v>1697</v>
      </c>
      <c r="E1495" s="96" t="s">
        <v>1664</v>
      </c>
      <c r="F1495" s="78">
        <v>26.0</v>
      </c>
      <c r="G1495" s="97">
        <v>286.34</v>
      </c>
    </row>
    <row r="1496">
      <c r="A1496" s="6">
        <v>282.0</v>
      </c>
      <c r="B1496" s="76" t="str">
        <f>IFERROR(VLOOKUP($A1496,EVENTO!$A$2:$C$4999,2,FALSE),"")</f>
        <v>CADASTRO</v>
      </c>
      <c r="C1496" s="76" t="str">
        <f>IFERROR(VLOOKUP($A1496,EVENTO!$A$2:$C$4999,3,FALSE),"")</f>
        <v>PREFEITURA MUNICIPAL DE CAMOCIM - SAÚDE</v>
      </c>
      <c r="D1496" s="96" t="s">
        <v>1678</v>
      </c>
      <c r="E1496" s="96" t="s">
        <v>1646</v>
      </c>
      <c r="F1496" s="78">
        <v>21.0</v>
      </c>
      <c r="G1496" s="97">
        <v>234.7</v>
      </c>
    </row>
    <row r="1497">
      <c r="A1497" s="6">
        <v>282.0</v>
      </c>
      <c r="B1497" s="76" t="str">
        <f>IFERROR(VLOOKUP($A1497,EVENTO!$A$2:$C$4999,2,FALSE),"")</f>
        <v>CADASTRO</v>
      </c>
      <c r="C1497" s="76" t="str">
        <f>IFERROR(VLOOKUP($A1497,EVENTO!$A$2:$C$4999,3,FALSE),"")</f>
        <v>PREFEITURA MUNICIPAL DE CAMOCIM - SAÚDE</v>
      </c>
      <c r="D1497" s="96" t="s">
        <v>1687</v>
      </c>
      <c r="E1497" s="96" t="s">
        <v>1580</v>
      </c>
      <c r="F1497" s="78">
        <v>1.0</v>
      </c>
      <c r="G1497" s="98">
        <v>193.47</v>
      </c>
    </row>
    <row r="1498">
      <c r="A1498" s="6">
        <v>282.0</v>
      </c>
      <c r="B1498" s="76" t="str">
        <f>IFERROR(VLOOKUP($A1498,EVENTO!$A$2:$C$4999,2,FALSE),"")</f>
        <v>CADASTRO</v>
      </c>
      <c r="C1498" s="76" t="str">
        <f>IFERROR(VLOOKUP($A1498,EVENTO!$A$2:$C$4999,3,FALSE),"")</f>
        <v>PREFEITURA MUNICIPAL DE CAMOCIM - SAÚDE</v>
      </c>
      <c r="D1498" s="96" t="s">
        <v>1688</v>
      </c>
      <c r="E1498" s="96" t="s">
        <v>1560</v>
      </c>
      <c r="F1498" s="78">
        <v>1.0</v>
      </c>
      <c r="G1498" s="98">
        <v>50.3</v>
      </c>
    </row>
    <row r="1499">
      <c r="A1499" s="6">
        <v>282.0</v>
      </c>
      <c r="B1499" s="76" t="str">
        <f>IFERROR(VLOOKUP($A1499,EVENTO!$A$2:$C$4999,2,FALSE),"")</f>
        <v>CADASTRO</v>
      </c>
      <c r="C1499" s="76" t="str">
        <f>IFERROR(VLOOKUP($A1499,EVENTO!$A$2:$C$4999,3,FALSE),"")</f>
        <v>PREFEITURA MUNICIPAL DE CAMOCIM - SAÚDE</v>
      </c>
      <c r="D1499" s="96" t="s">
        <v>1689</v>
      </c>
      <c r="E1499" s="96" t="s">
        <v>1575</v>
      </c>
      <c r="F1499" s="78">
        <v>1.0</v>
      </c>
      <c r="G1499" s="98">
        <v>13.42</v>
      </c>
    </row>
    <row r="1500">
      <c r="A1500" s="6">
        <v>282.0</v>
      </c>
      <c r="B1500" s="76" t="str">
        <f>IFERROR(VLOOKUP($A1500,EVENTO!$A$2:$C$4999,2,FALSE),"")</f>
        <v>CADASTRO</v>
      </c>
      <c r="C1500" s="76" t="str">
        <f>IFERROR(VLOOKUP($A1500,EVENTO!$A$2:$C$4999,3,FALSE),"")</f>
        <v>PREFEITURA MUNICIPAL DE CAMOCIM - SAÚDE</v>
      </c>
      <c r="D1500" s="96" t="s">
        <v>1668</v>
      </c>
      <c r="E1500" s="96" t="s">
        <v>1698</v>
      </c>
      <c r="F1500" s="78">
        <v>2.0</v>
      </c>
      <c r="G1500" s="98">
        <v>36.65</v>
      </c>
    </row>
    <row r="1501">
      <c r="A1501" s="6">
        <v>282.0</v>
      </c>
      <c r="B1501" s="76" t="str">
        <f>IFERROR(VLOOKUP($A1501,EVENTO!$A$2:$C$4999,2,FALSE),"")</f>
        <v>CADASTRO</v>
      </c>
      <c r="C1501" s="76" t="str">
        <f>IFERROR(VLOOKUP($A1501,EVENTO!$A$2:$C$4999,3,FALSE),"")</f>
        <v>PREFEITURA MUNICIPAL DE CAMOCIM - SAÚDE</v>
      </c>
      <c r="D1501" s="96" t="s">
        <v>1670</v>
      </c>
      <c r="E1501" s="96" t="s">
        <v>1691</v>
      </c>
      <c r="F1501" s="78">
        <v>1.0</v>
      </c>
      <c r="G1501" s="98">
        <v>91.18</v>
      </c>
    </row>
    <row r="1502">
      <c r="A1502" s="6">
        <v>282.0</v>
      </c>
      <c r="B1502" s="76" t="str">
        <f>IFERROR(VLOOKUP($A1502,EVENTO!$A$2:$C$4999,2,FALSE),"")</f>
        <v>CADASTRO</v>
      </c>
      <c r="C1502" s="76" t="str">
        <f>IFERROR(VLOOKUP($A1502,EVENTO!$A$2:$C$4999,3,FALSE),"")</f>
        <v>PREFEITURA MUNICIPAL DE CAMOCIM - SAÚDE</v>
      </c>
      <c r="D1502" s="96" t="s">
        <v>1674</v>
      </c>
      <c r="E1502" s="96" t="s">
        <v>1675</v>
      </c>
      <c r="F1502" s="78">
        <v>2.0</v>
      </c>
      <c r="G1502" s="98">
        <v>41.95</v>
      </c>
    </row>
    <row r="1503">
      <c r="A1503" s="6">
        <v>282.0</v>
      </c>
      <c r="B1503" s="76" t="str">
        <f>IFERROR(VLOOKUP($A1503,EVENTO!$A$2:$C$4999,2,FALSE),"")</f>
        <v>CADASTRO</v>
      </c>
      <c r="C1503" s="76" t="str">
        <f>IFERROR(VLOOKUP($A1503,EVENTO!$A$2:$C$4999,3,FALSE),"")</f>
        <v>PREFEITURA MUNICIPAL DE CAMOCIM - SAÚDE</v>
      </c>
      <c r="D1503" s="96" t="s">
        <v>1695</v>
      </c>
      <c r="E1503" s="96" t="s">
        <v>1677</v>
      </c>
      <c r="F1503" s="78">
        <v>2.0</v>
      </c>
      <c r="G1503" s="98">
        <v>105.09</v>
      </c>
    </row>
    <row r="1504">
      <c r="A1504" s="6">
        <v>282.0</v>
      </c>
      <c r="B1504" s="76" t="str">
        <f>IFERROR(VLOOKUP($A1504,EVENTO!$A$2:$C$4999,2,FALSE),"")</f>
        <v>CADASTRO</v>
      </c>
      <c r="C1504" s="76" t="str">
        <f>IFERROR(VLOOKUP($A1504,EVENTO!$A$2:$C$4999,3,FALSE),"")</f>
        <v>PREFEITURA MUNICIPAL DE CAMOCIM - SAÚDE</v>
      </c>
      <c r="D1504" s="96" t="s">
        <v>1665</v>
      </c>
      <c r="E1504" s="96" t="s">
        <v>1666</v>
      </c>
      <c r="F1504" s="78">
        <v>10.0</v>
      </c>
      <c r="G1504" s="97">
        <v>148.11</v>
      </c>
    </row>
    <row r="1505">
      <c r="A1505" s="6">
        <v>282.0</v>
      </c>
      <c r="B1505" s="76" t="str">
        <f>IFERROR(VLOOKUP($A1505,EVENTO!$A$2:$C$4999,2,FALSE),"")</f>
        <v>CADASTRO</v>
      </c>
      <c r="C1505" s="76" t="str">
        <f>IFERROR(VLOOKUP($A1505,EVENTO!$A$2:$C$4999,3,FALSE),"")</f>
        <v>PREFEITURA MUNICIPAL DE CAMOCIM - SAÚDE</v>
      </c>
      <c r="D1505" s="96" t="s">
        <v>1683</v>
      </c>
      <c r="E1505" s="96" t="s">
        <v>1684</v>
      </c>
      <c r="F1505" s="78">
        <v>1.0</v>
      </c>
      <c r="G1505" s="98">
        <v>201.73</v>
      </c>
    </row>
    <row r="1506">
      <c r="A1506" s="6">
        <v>282.0</v>
      </c>
      <c r="B1506" s="76" t="str">
        <f>IFERROR(VLOOKUP($A1506,EVENTO!$A$2:$C$4999,2,FALSE),"")</f>
        <v>CADASTRO</v>
      </c>
      <c r="C1506" s="76" t="str">
        <f>IFERROR(VLOOKUP($A1506,EVENTO!$A$2:$C$4999,3,FALSE),"")</f>
        <v>PREFEITURA MUNICIPAL DE CAMOCIM - SAÚDE</v>
      </c>
      <c r="D1506" s="96" t="s">
        <v>1707</v>
      </c>
      <c r="E1506" s="96" t="s">
        <v>1708</v>
      </c>
      <c r="F1506" s="78">
        <v>1.0</v>
      </c>
      <c r="G1506" s="98">
        <v>199.46</v>
      </c>
    </row>
    <row r="1507">
      <c r="A1507" s="6">
        <v>282.0</v>
      </c>
      <c r="B1507" s="76" t="str">
        <f>IFERROR(VLOOKUP($A1507,EVENTO!$A$2:$C$4999,2,FALSE),"")</f>
        <v>CADASTRO</v>
      </c>
      <c r="C1507" s="76" t="str">
        <f>IFERROR(VLOOKUP($A1507,EVENTO!$A$2:$C$4999,3,FALSE),"")</f>
        <v>PREFEITURA MUNICIPAL DE CAMOCIM - SAÚDE</v>
      </c>
      <c r="D1507" s="96" t="s">
        <v>1672</v>
      </c>
      <c r="E1507" s="96" t="s">
        <v>1692</v>
      </c>
      <c r="F1507" s="78">
        <v>1.0</v>
      </c>
      <c r="G1507" s="98">
        <v>63.8</v>
      </c>
    </row>
    <row r="1508">
      <c r="A1508" s="6">
        <v>282.0</v>
      </c>
      <c r="B1508" s="76" t="str">
        <f>IFERROR(VLOOKUP($A1508,EVENTO!$A$2:$C$4999,2,FALSE),"")</f>
        <v>CADASTRO</v>
      </c>
      <c r="C1508" s="76" t="str">
        <f>IFERROR(VLOOKUP($A1508,EVENTO!$A$2:$C$4999,3,FALSE),"")</f>
        <v>PREFEITURA MUNICIPAL DE CAMOCIM - SAÚDE</v>
      </c>
      <c r="D1508" s="96" t="s">
        <v>1713</v>
      </c>
      <c r="E1508" s="96" t="s">
        <v>1635</v>
      </c>
      <c r="F1508" s="78">
        <v>2.0</v>
      </c>
      <c r="G1508" s="98">
        <v>294.69</v>
      </c>
    </row>
    <row r="1509">
      <c r="A1509" s="6">
        <v>282.0</v>
      </c>
      <c r="B1509" s="76" t="str">
        <f>IFERROR(VLOOKUP($A1509,EVENTO!$A$2:$C$4999,2,FALSE),"")</f>
        <v>CADASTRO</v>
      </c>
      <c r="C1509" s="76" t="str">
        <f>IFERROR(VLOOKUP($A1509,EVENTO!$A$2:$C$4999,3,FALSE),"")</f>
        <v>PREFEITURA MUNICIPAL DE CAMOCIM - SAÚDE</v>
      </c>
      <c r="D1509" s="96" t="s">
        <v>1714</v>
      </c>
      <c r="E1509" s="96" t="s">
        <v>1715</v>
      </c>
      <c r="F1509" s="78">
        <v>4.0</v>
      </c>
      <c r="G1509" s="98">
        <v>80.51</v>
      </c>
    </row>
    <row r="1510">
      <c r="A1510" s="6">
        <v>285.0</v>
      </c>
      <c r="B1510" s="76" t="str">
        <f>IFERROR(VLOOKUP($A1510,EVENTO!$A$2:$C$4999,2,FALSE),"")</f>
        <v>CADASTRO</v>
      </c>
      <c r="C1510" s="76" t="str">
        <f>IFERROR(VLOOKUP($A1510,EVENTO!$A$2:$C$4999,3,FALSE),"")</f>
        <v>PREFEITURA  MUNICIPAL DE CAUCAIA - CONTROLADORIA</v>
      </c>
      <c r="D1510" s="78" t="s">
        <v>1593</v>
      </c>
      <c r="F1510" s="78">
        <v>2.0</v>
      </c>
      <c r="G1510" s="89">
        <v>534.71</v>
      </c>
    </row>
    <row r="1511">
      <c r="A1511" s="6">
        <v>285.0</v>
      </c>
      <c r="B1511" s="76" t="str">
        <f>IFERROR(VLOOKUP($A1511,EVENTO!$A$2:$C$4999,2,FALSE),"")</f>
        <v>CADASTRO</v>
      </c>
      <c r="C1511" s="76" t="str">
        <f>IFERROR(VLOOKUP($A1511,EVENTO!$A$2:$C$4999,3,FALSE),"")</f>
        <v>PREFEITURA  MUNICIPAL DE CAUCAIA - CONTROLADORIA</v>
      </c>
      <c r="D1511" s="78" t="s">
        <v>1594</v>
      </c>
      <c r="F1511" s="78">
        <v>8.0</v>
      </c>
      <c r="G1511" s="90">
        <v>344.75</v>
      </c>
    </row>
    <row r="1512">
      <c r="A1512" s="6">
        <v>285.0</v>
      </c>
      <c r="B1512" s="76" t="str">
        <f>IFERROR(VLOOKUP($A1512,EVENTO!$A$2:$C$4999,2,FALSE),"")</f>
        <v>CADASTRO</v>
      </c>
      <c r="C1512" s="76" t="str">
        <f>IFERROR(VLOOKUP($A1512,EVENTO!$A$2:$C$4999,3,FALSE),"")</f>
        <v>PREFEITURA  MUNICIPAL DE CAUCAIA - CONTROLADORIA</v>
      </c>
      <c r="D1512" s="78" t="s">
        <v>1595</v>
      </c>
      <c r="F1512" s="78">
        <v>2.0</v>
      </c>
      <c r="G1512" s="90">
        <v>270.39</v>
      </c>
    </row>
    <row r="1513">
      <c r="A1513" s="6">
        <v>285.0</v>
      </c>
      <c r="B1513" s="76" t="str">
        <f>IFERROR(VLOOKUP($A1513,EVENTO!$A$2:$C$4999,2,FALSE),"")</f>
        <v>CADASTRO</v>
      </c>
      <c r="C1513" s="76" t="str">
        <f>IFERROR(VLOOKUP($A1513,EVENTO!$A$2:$C$4999,3,FALSE),"")</f>
        <v>PREFEITURA  MUNICIPAL DE CAUCAIA - CONTROLADORIA</v>
      </c>
      <c r="D1513" s="78" t="s">
        <v>1660</v>
      </c>
      <c r="F1513" s="78">
        <v>10.0</v>
      </c>
      <c r="G1513" s="90">
        <v>387.36</v>
      </c>
    </row>
    <row r="1514">
      <c r="A1514" s="6">
        <v>285.0</v>
      </c>
      <c r="B1514" s="76" t="str">
        <f>IFERROR(VLOOKUP($A1514,EVENTO!$A$2:$C$4999,2,FALSE),"")</f>
        <v>CADASTRO</v>
      </c>
      <c r="C1514" s="76" t="str">
        <f>IFERROR(VLOOKUP($A1514,EVENTO!$A$2:$C$4999,3,FALSE),"")</f>
        <v>PREFEITURA  MUNICIPAL DE CAUCAIA - CONTROLADORIA</v>
      </c>
      <c r="D1514" s="78" t="s">
        <v>1661</v>
      </c>
      <c r="F1514" s="78">
        <v>30.0</v>
      </c>
      <c r="G1514" s="90">
        <v>221.78</v>
      </c>
    </row>
    <row r="1515">
      <c r="A1515" s="6">
        <v>285.0</v>
      </c>
      <c r="B1515" s="76" t="str">
        <f>IFERROR(VLOOKUP($A1515,EVENTO!$A$2:$C$4999,2,FALSE),"")</f>
        <v>CADASTRO</v>
      </c>
      <c r="C1515" s="76" t="str">
        <f>IFERROR(VLOOKUP($A1515,EVENTO!$A$2:$C$4999,3,FALSE),"")</f>
        <v>PREFEITURA  MUNICIPAL DE CAUCAIA - CONTROLADORIA</v>
      </c>
      <c r="D1515" s="78" t="s">
        <v>1536</v>
      </c>
      <c r="F1515" s="78">
        <v>4.0</v>
      </c>
      <c r="G1515" s="90">
        <v>173.93</v>
      </c>
    </row>
    <row r="1516">
      <c r="A1516" s="6">
        <v>285.0</v>
      </c>
      <c r="B1516" s="76" t="str">
        <f>IFERROR(VLOOKUP($A1516,EVENTO!$A$2:$C$4999,2,FALSE),"")</f>
        <v>CADASTRO</v>
      </c>
      <c r="C1516" s="76" t="str">
        <f>IFERROR(VLOOKUP($A1516,EVENTO!$A$2:$C$4999,3,FALSE),"")</f>
        <v>PREFEITURA  MUNICIPAL DE CAUCAIA - CONTROLADORIA</v>
      </c>
      <c r="D1516" s="78" t="s">
        <v>1716</v>
      </c>
      <c r="F1516" s="78">
        <v>10.0</v>
      </c>
      <c r="G1516" s="90">
        <v>286.34</v>
      </c>
    </row>
    <row r="1517">
      <c r="A1517" s="6">
        <v>285.0</v>
      </c>
      <c r="B1517" s="76" t="str">
        <f>IFERROR(VLOOKUP($A1517,EVENTO!$A$2:$C$4999,2,FALSE),"")</f>
        <v>CADASTRO</v>
      </c>
      <c r="C1517" s="76" t="str">
        <f>IFERROR(VLOOKUP($A1517,EVENTO!$A$2:$C$4999,3,FALSE),"")</f>
        <v>PREFEITURA  MUNICIPAL DE CAUCAIA - CONTROLADORIA</v>
      </c>
      <c r="D1517" s="78" t="s">
        <v>1666</v>
      </c>
      <c r="F1517" s="78">
        <v>4.0</v>
      </c>
      <c r="G1517" s="90">
        <v>148.11</v>
      </c>
    </row>
    <row r="1518">
      <c r="A1518" s="6">
        <v>285.0</v>
      </c>
      <c r="B1518" s="76" t="str">
        <f>IFERROR(VLOOKUP($A1518,EVENTO!$A$2:$C$4999,2,FALSE),"")</f>
        <v>CADASTRO</v>
      </c>
      <c r="C1518" s="76" t="str">
        <f>IFERROR(VLOOKUP($A1518,EVENTO!$A$2:$C$4999,3,FALSE),"")</f>
        <v>PREFEITURA  MUNICIPAL DE CAUCAIA - CONTROLADORIA</v>
      </c>
      <c r="D1518" s="78" t="s">
        <v>1648</v>
      </c>
      <c r="F1518" s="78">
        <v>2.0</v>
      </c>
      <c r="G1518" s="90">
        <v>201.73</v>
      </c>
    </row>
    <row r="1519">
      <c r="A1519" s="6">
        <v>285.0</v>
      </c>
      <c r="B1519" s="76" t="str">
        <f>IFERROR(VLOOKUP($A1519,EVENTO!$A$2:$C$4999,2,FALSE),"")</f>
        <v>CADASTRO</v>
      </c>
      <c r="C1519" s="76" t="str">
        <f>IFERROR(VLOOKUP($A1519,EVENTO!$A$2:$C$4999,3,FALSE),"")</f>
        <v>PREFEITURA  MUNICIPAL DE CAUCAIA - CONTROLADORIA</v>
      </c>
      <c r="D1519" s="78" t="s">
        <v>1639</v>
      </c>
      <c r="F1519" s="78">
        <v>1.0</v>
      </c>
      <c r="G1519" s="90">
        <v>181.17</v>
      </c>
    </row>
    <row r="1520">
      <c r="A1520" s="6">
        <v>285.0</v>
      </c>
      <c r="B1520" s="76" t="str">
        <f>IFERROR(VLOOKUP($A1520,EVENTO!$A$2:$C$4999,2,FALSE),"")</f>
        <v>CADASTRO</v>
      </c>
      <c r="C1520" s="76" t="str">
        <f>IFERROR(VLOOKUP($A1520,EVENTO!$A$2:$C$4999,3,FALSE),"")</f>
        <v>PREFEITURA  MUNICIPAL DE CAUCAIA - CONTROLADORIA</v>
      </c>
      <c r="D1520" s="78" t="s">
        <v>1717</v>
      </c>
      <c r="F1520" s="78">
        <v>1.0</v>
      </c>
      <c r="G1520" s="90">
        <v>283.89</v>
      </c>
    </row>
    <row r="1521">
      <c r="A1521" s="6">
        <v>285.0</v>
      </c>
      <c r="B1521" s="76" t="str">
        <f>IFERROR(VLOOKUP($A1521,EVENTO!$A$2:$C$4999,2,FALSE),"")</f>
        <v>CADASTRO</v>
      </c>
      <c r="C1521" s="76" t="str">
        <f>IFERROR(VLOOKUP($A1521,EVENTO!$A$2:$C$4999,3,FALSE),"")</f>
        <v>PREFEITURA  MUNICIPAL DE CAUCAIA - CONTROLADORIA</v>
      </c>
      <c r="D1521" s="78" t="s">
        <v>1718</v>
      </c>
      <c r="F1521" s="78">
        <v>2.0</v>
      </c>
      <c r="G1521" s="90">
        <v>193.47</v>
      </c>
    </row>
    <row r="1522">
      <c r="A1522" s="6">
        <v>285.0</v>
      </c>
      <c r="B1522" s="76" t="str">
        <f>IFERROR(VLOOKUP($A1522,EVENTO!$A$2:$C$4999,2,FALSE),"")</f>
        <v>CADASTRO</v>
      </c>
      <c r="C1522" s="76" t="str">
        <f>IFERROR(VLOOKUP($A1522,EVENTO!$A$2:$C$4999,3,FALSE),"")</f>
        <v>PREFEITURA  MUNICIPAL DE CAUCAIA - CONTROLADORIA</v>
      </c>
      <c r="D1522" s="78" t="s">
        <v>1719</v>
      </c>
      <c r="F1522" s="78">
        <v>1.0</v>
      </c>
      <c r="G1522" s="90">
        <v>13.42</v>
      </c>
    </row>
    <row r="1523">
      <c r="A1523" s="6">
        <v>285.0</v>
      </c>
      <c r="B1523" s="76" t="str">
        <f>IFERROR(VLOOKUP($A1523,EVENTO!$A$2:$C$4999,2,FALSE),"")</f>
        <v>CADASTRO</v>
      </c>
      <c r="C1523" s="76" t="str">
        <f>IFERROR(VLOOKUP($A1523,EVENTO!$A$2:$C$4999,3,FALSE),"")</f>
        <v>PREFEITURA  MUNICIPAL DE CAUCAIA - CONTROLADORIA</v>
      </c>
      <c r="D1523" s="78" t="s">
        <v>1720</v>
      </c>
      <c r="F1523" s="78">
        <v>2.0</v>
      </c>
      <c r="G1523" s="90">
        <v>36.65</v>
      </c>
    </row>
    <row r="1524">
      <c r="A1524" s="6">
        <v>285.0</v>
      </c>
      <c r="B1524" s="76" t="str">
        <f>IFERROR(VLOOKUP($A1524,EVENTO!$A$2:$C$4999,2,FALSE),"")</f>
        <v>CADASTRO</v>
      </c>
      <c r="C1524" s="76" t="str">
        <f>IFERROR(VLOOKUP($A1524,EVENTO!$A$2:$C$4999,3,FALSE),"")</f>
        <v>PREFEITURA  MUNICIPAL DE CAUCAIA - CONTROLADORIA</v>
      </c>
      <c r="D1524" s="78" t="s">
        <v>1642</v>
      </c>
      <c r="F1524" s="78">
        <v>3.0</v>
      </c>
      <c r="G1524" s="90">
        <v>91.18</v>
      </c>
    </row>
    <row r="1525">
      <c r="A1525" s="6">
        <v>285.0</v>
      </c>
      <c r="B1525" s="76" t="str">
        <f>IFERROR(VLOOKUP($A1525,EVENTO!$A$2:$C$4999,2,FALSE),"")</f>
        <v>CADASTRO</v>
      </c>
      <c r="C1525" s="76" t="str">
        <f>IFERROR(VLOOKUP($A1525,EVENTO!$A$2:$C$4999,3,FALSE),"")</f>
        <v>PREFEITURA  MUNICIPAL DE CAUCAIA - CONTROLADORIA</v>
      </c>
      <c r="D1525" s="78" t="s">
        <v>1721</v>
      </c>
      <c r="F1525" s="78">
        <v>1.0</v>
      </c>
      <c r="G1525" s="90">
        <v>182.78</v>
      </c>
    </row>
    <row r="1526">
      <c r="A1526" s="6">
        <v>285.0</v>
      </c>
      <c r="B1526" s="76" t="str">
        <f>IFERROR(VLOOKUP($A1526,EVENTO!$A$2:$C$4999,2,FALSE),"")</f>
        <v>CADASTRO</v>
      </c>
      <c r="C1526" s="76" t="str">
        <f>IFERROR(VLOOKUP($A1526,EVENTO!$A$2:$C$4999,3,FALSE),"")</f>
        <v>PREFEITURA  MUNICIPAL DE CAUCAIA - CONTROLADORIA</v>
      </c>
      <c r="D1526" s="78" t="s">
        <v>1643</v>
      </c>
      <c r="F1526" s="78">
        <v>2.0</v>
      </c>
      <c r="G1526" s="90">
        <v>29.23</v>
      </c>
    </row>
    <row r="1527">
      <c r="A1527" s="6">
        <v>285.0</v>
      </c>
      <c r="B1527" s="76" t="str">
        <f>IFERROR(VLOOKUP($A1527,EVENTO!$A$2:$C$4999,2,FALSE),"")</f>
        <v>CADASTRO</v>
      </c>
      <c r="C1527" s="76" t="str">
        <f>IFERROR(VLOOKUP($A1527,EVENTO!$A$2:$C$4999,3,FALSE),"")</f>
        <v>PREFEITURA  MUNICIPAL DE CAUCAIA - CONTROLADORIA</v>
      </c>
      <c r="D1527" s="78" t="s">
        <v>1620</v>
      </c>
      <c r="F1527" s="78">
        <v>2.0</v>
      </c>
      <c r="G1527" s="90">
        <v>63.8</v>
      </c>
    </row>
    <row r="1528">
      <c r="A1528" s="6">
        <v>285.0</v>
      </c>
      <c r="B1528" s="76" t="str">
        <f>IFERROR(VLOOKUP($A1528,EVENTO!$A$2:$C$4999,2,FALSE),"")</f>
        <v>CADASTRO</v>
      </c>
      <c r="C1528" s="76" t="str">
        <f>IFERROR(VLOOKUP($A1528,EVENTO!$A$2:$C$4999,3,FALSE),"")</f>
        <v>PREFEITURA  MUNICIPAL DE CAUCAIA - CONTROLADORIA</v>
      </c>
      <c r="D1528" s="78" t="s">
        <v>1471</v>
      </c>
      <c r="F1528" s="78">
        <v>2.0</v>
      </c>
      <c r="G1528" s="90">
        <v>41.95</v>
      </c>
    </row>
    <row r="1529">
      <c r="A1529" s="6">
        <v>286.0</v>
      </c>
      <c r="B1529" s="76" t="str">
        <f>IFERROR(VLOOKUP($A1529,EVENTO!$A$2:$C$4999,2,FALSE),"")</f>
        <v>CADASTRO</v>
      </c>
      <c r="C1529" s="76" t="str">
        <f>IFERROR(VLOOKUP($A1529,EVENTO!$A$2:$C$4999,3,FALSE),"")</f>
        <v>PREFEITURA MUNICIPAL DE CAMOCIM - SEGURANÇA, TRÂNSITO E DEFESA CIVIL</v>
      </c>
      <c r="D1529" s="96" t="s">
        <v>1458</v>
      </c>
      <c r="E1529" s="96" t="s">
        <v>1535</v>
      </c>
      <c r="F1529" s="78">
        <v>1.0</v>
      </c>
      <c r="G1529" s="97">
        <v>344.75</v>
      </c>
    </row>
    <row r="1530">
      <c r="A1530" s="6">
        <v>286.0</v>
      </c>
      <c r="B1530" s="76" t="str">
        <f>IFERROR(VLOOKUP($A1530,EVENTO!$A$2:$C$4999,2,FALSE),"")</f>
        <v>CADASTRO</v>
      </c>
      <c r="C1530" s="76" t="str">
        <f>IFERROR(VLOOKUP($A1530,EVENTO!$A$2:$C$4999,3,FALSE),"")</f>
        <v>PREFEITURA MUNICIPAL DE CAMOCIM - SEGURANÇA, TRÂNSITO E DEFESA CIVIL</v>
      </c>
      <c r="D1530" s="96" t="s">
        <v>1456</v>
      </c>
      <c r="E1530" s="96" t="s">
        <v>1660</v>
      </c>
      <c r="F1530" s="78">
        <v>1.0</v>
      </c>
      <c r="G1530" s="97">
        <v>387.36</v>
      </c>
    </row>
    <row r="1531">
      <c r="A1531" s="6">
        <v>286.0</v>
      </c>
      <c r="B1531" s="76" t="str">
        <f>IFERROR(VLOOKUP($A1531,EVENTO!$A$2:$C$4999,2,FALSE),"")</f>
        <v>CADASTRO</v>
      </c>
      <c r="C1531" s="76" t="str">
        <f>IFERROR(VLOOKUP($A1531,EVENTO!$A$2:$C$4999,3,FALSE),"")</f>
        <v>PREFEITURA MUNICIPAL DE CAMOCIM - SEGURANÇA, TRÂNSITO E DEFESA CIVIL</v>
      </c>
      <c r="D1531" s="96" t="s">
        <v>1696</v>
      </c>
      <c r="E1531" s="96" t="s">
        <v>1661</v>
      </c>
      <c r="F1531" s="78">
        <v>6.0</v>
      </c>
      <c r="G1531" s="97">
        <v>221.78</v>
      </c>
    </row>
    <row r="1532">
      <c r="A1532" s="6">
        <v>286.0</v>
      </c>
      <c r="B1532" s="76" t="str">
        <f>IFERROR(VLOOKUP($A1532,EVENTO!$A$2:$C$4999,2,FALSE),"")</f>
        <v>CADASTRO</v>
      </c>
      <c r="C1532" s="76" t="str">
        <f>IFERROR(VLOOKUP($A1532,EVENTO!$A$2:$C$4999,3,FALSE),"")</f>
        <v>PREFEITURA MUNICIPAL DE CAMOCIM - SEGURANÇA, TRÂNSITO E DEFESA CIVIL</v>
      </c>
      <c r="D1532" s="96" t="s">
        <v>1697</v>
      </c>
      <c r="E1532" s="96" t="s">
        <v>1664</v>
      </c>
      <c r="F1532" s="78">
        <v>2.0</v>
      </c>
      <c r="G1532" s="97">
        <v>286.34</v>
      </c>
    </row>
    <row r="1533">
      <c r="A1533" s="6">
        <v>286.0</v>
      </c>
      <c r="B1533" s="76" t="str">
        <f>IFERROR(VLOOKUP($A1533,EVENTO!$A$2:$C$4999,2,FALSE),"")</f>
        <v>CADASTRO</v>
      </c>
      <c r="C1533" s="76" t="str">
        <f>IFERROR(VLOOKUP($A1533,EVENTO!$A$2:$C$4999,3,FALSE),"")</f>
        <v>PREFEITURA MUNICIPAL DE CAMOCIM - SEGURANÇA, TRÂNSITO E DEFESA CIVIL</v>
      </c>
      <c r="D1533" s="96" t="s">
        <v>1678</v>
      </c>
      <c r="E1533" s="96" t="s">
        <v>1646</v>
      </c>
      <c r="F1533" s="78">
        <v>2.0</v>
      </c>
      <c r="G1533" s="97">
        <v>234.7</v>
      </c>
    </row>
    <row r="1534">
      <c r="A1534" s="6">
        <v>286.0</v>
      </c>
      <c r="B1534" s="76" t="str">
        <f>IFERROR(VLOOKUP($A1534,EVENTO!$A$2:$C$4999,2,FALSE),"")</f>
        <v>CADASTRO</v>
      </c>
      <c r="C1534" s="76" t="str">
        <f>IFERROR(VLOOKUP($A1534,EVENTO!$A$2:$C$4999,3,FALSE),"")</f>
        <v>PREFEITURA MUNICIPAL DE CAMOCIM - SEGURANÇA, TRÂNSITO E DEFESA CIVIL</v>
      </c>
      <c r="D1534" s="96" t="s">
        <v>1689</v>
      </c>
      <c r="E1534" s="96" t="s">
        <v>1575</v>
      </c>
      <c r="F1534" s="78">
        <v>1.0</v>
      </c>
      <c r="G1534" s="98">
        <v>13.42</v>
      </c>
    </row>
    <row r="1535">
      <c r="A1535" s="6">
        <v>286.0</v>
      </c>
      <c r="B1535" s="76" t="str">
        <f>IFERROR(VLOOKUP($A1535,EVENTO!$A$2:$C$4999,2,FALSE),"")</f>
        <v>CADASTRO</v>
      </c>
      <c r="C1535" s="76" t="str">
        <f>IFERROR(VLOOKUP($A1535,EVENTO!$A$2:$C$4999,3,FALSE),"")</f>
        <v>PREFEITURA MUNICIPAL DE CAMOCIM - SEGURANÇA, TRÂNSITO E DEFESA CIVIL</v>
      </c>
      <c r="D1535" s="96" t="s">
        <v>1668</v>
      </c>
      <c r="E1535" s="96" t="s">
        <v>1698</v>
      </c>
      <c r="F1535" s="78">
        <v>1.0</v>
      </c>
      <c r="G1535" s="98">
        <v>36.65</v>
      </c>
    </row>
    <row r="1536">
      <c r="A1536" s="6">
        <v>286.0</v>
      </c>
      <c r="B1536" s="76" t="str">
        <f>IFERROR(VLOOKUP($A1536,EVENTO!$A$2:$C$4999,2,FALSE),"")</f>
        <v>CADASTRO</v>
      </c>
      <c r="C1536" s="76" t="str">
        <f>IFERROR(VLOOKUP($A1536,EVENTO!$A$2:$C$4999,3,FALSE),"")</f>
        <v>PREFEITURA MUNICIPAL DE CAMOCIM - SEGURANÇA, TRÂNSITO E DEFESA CIVIL</v>
      </c>
      <c r="D1536" s="96" t="s">
        <v>1670</v>
      </c>
      <c r="E1536" s="96" t="s">
        <v>1691</v>
      </c>
      <c r="F1536" s="78">
        <v>1.0</v>
      </c>
      <c r="G1536" s="98">
        <v>91.18</v>
      </c>
    </row>
    <row r="1537">
      <c r="A1537" s="6">
        <v>286.0</v>
      </c>
      <c r="B1537" s="76" t="str">
        <f>IFERROR(VLOOKUP($A1537,EVENTO!$A$2:$C$4999,2,FALSE),"")</f>
        <v>CADASTRO</v>
      </c>
      <c r="C1537" s="76" t="str">
        <f>IFERROR(VLOOKUP($A1537,EVENTO!$A$2:$C$4999,3,FALSE),"")</f>
        <v>PREFEITURA MUNICIPAL DE CAMOCIM - SEGURANÇA, TRÂNSITO E DEFESA CIVIL</v>
      </c>
      <c r="D1537" s="96" t="s">
        <v>1672</v>
      </c>
      <c r="E1537" s="96" t="s">
        <v>1692</v>
      </c>
      <c r="F1537" s="78">
        <v>1.0</v>
      </c>
      <c r="G1537" s="98">
        <v>63.8</v>
      </c>
    </row>
    <row r="1538">
      <c r="A1538" s="6">
        <v>286.0</v>
      </c>
      <c r="B1538" s="76" t="str">
        <f>IFERROR(VLOOKUP($A1538,EVENTO!$A$2:$C$4999,2,FALSE),"")</f>
        <v>CADASTRO</v>
      </c>
      <c r="C1538" s="76" t="str">
        <f>IFERROR(VLOOKUP($A1538,EVENTO!$A$2:$C$4999,3,FALSE),"")</f>
        <v>PREFEITURA MUNICIPAL DE CAMOCIM - SEGURANÇA, TRÂNSITO E DEFESA CIVIL</v>
      </c>
      <c r="D1538" s="96" t="s">
        <v>1674</v>
      </c>
      <c r="E1538" s="96" t="s">
        <v>1675</v>
      </c>
      <c r="F1538" s="78">
        <v>1.0</v>
      </c>
      <c r="G1538" s="98">
        <v>41.95</v>
      </c>
    </row>
    <row r="1539">
      <c r="A1539" s="6">
        <v>286.0</v>
      </c>
      <c r="B1539" s="76" t="str">
        <f>IFERROR(VLOOKUP($A1539,EVENTO!$A$2:$C$4999,2,FALSE),"")</f>
        <v>CADASTRO</v>
      </c>
      <c r="C1539" s="76" t="str">
        <f>IFERROR(VLOOKUP($A1539,EVENTO!$A$2:$C$4999,3,FALSE),"")</f>
        <v>PREFEITURA MUNICIPAL DE CAMOCIM - SEGURANÇA, TRÂNSITO E DEFESA CIVIL</v>
      </c>
      <c r="D1539" s="96" t="s">
        <v>1665</v>
      </c>
      <c r="E1539" s="96" t="s">
        <v>1666</v>
      </c>
      <c r="F1539" s="78">
        <v>2.0</v>
      </c>
      <c r="G1539" s="97">
        <v>148.11</v>
      </c>
    </row>
    <row r="1540">
      <c r="A1540" s="6">
        <v>293.0</v>
      </c>
      <c r="B1540" s="76" t="str">
        <f>IFERROR(VLOOKUP($A1540,EVENTO!$A$2:$C$4999,2,FALSE),"")</f>
        <v>CADASTRO</v>
      </c>
      <c r="C1540" s="76" t="str">
        <f>IFERROR(VLOOKUP($A1540,EVENTO!$A$2:$C$4999,3,FALSE),"")</f>
        <v>PREFEITURA  MUNICIPAL DE CAUCAIA - DESENVOLVMENTO RURAL</v>
      </c>
      <c r="D1540" s="78" t="s">
        <v>1593</v>
      </c>
      <c r="F1540" s="78">
        <v>2.0</v>
      </c>
      <c r="G1540" s="89">
        <v>534.71</v>
      </c>
    </row>
    <row r="1541">
      <c r="A1541" s="6">
        <v>293.0</v>
      </c>
      <c r="B1541" s="76" t="str">
        <f>IFERROR(VLOOKUP($A1541,EVENTO!$A$2:$C$4999,2,FALSE),"")</f>
        <v>CADASTRO</v>
      </c>
      <c r="C1541" s="76" t="str">
        <f>IFERROR(VLOOKUP($A1541,EVENTO!$A$2:$C$4999,3,FALSE),"")</f>
        <v>PREFEITURA  MUNICIPAL DE CAUCAIA - DESENVOLVMENTO RURAL</v>
      </c>
      <c r="D1541" s="78" t="s">
        <v>1594</v>
      </c>
      <c r="F1541" s="78">
        <v>6.0</v>
      </c>
      <c r="G1541" s="90">
        <v>344.75</v>
      </c>
    </row>
    <row r="1542">
      <c r="A1542" s="6">
        <v>293.0</v>
      </c>
      <c r="B1542" s="76" t="str">
        <f>IFERROR(VLOOKUP($A1542,EVENTO!$A$2:$C$4999,2,FALSE),"")</f>
        <v>CADASTRO</v>
      </c>
      <c r="C1542" s="76" t="str">
        <f>IFERROR(VLOOKUP($A1542,EVENTO!$A$2:$C$4999,3,FALSE),"")</f>
        <v>PREFEITURA  MUNICIPAL DE CAUCAIA - DESENVOLVMENTO RURAL</v>
      </c>
      <c r="D1542" s="78" t="s">
        <v>1595</v>
      </c>
      <c r="F1542" s="78">
        <v>2.0</v>
      </c>
      <c r="G1542" s="90">
        <v>270.39</v>
      </c>
    </row>
    <row r="1543">
      <c r="A1543" s="6">
        <v>293.0</v>
      </c>
      <c r="B1543" s="76" t="str">
        <f>IFERROR(VLOOKUP($A1543,EVENTO!$A$2:$C$4999,2,FALSE),"")</f>
        <v>CADASTRO</v>
      </c>
      <c r="C1543" s="76" t="str">
        <f>IFERROR(VLOOKUP($A1543,EVENTO!$A$2:$C$4999,3,FALSE),"")</f>
        <v>PREFEITURA  MUNICIPAL DE CAUCAIA - DESENVOLVMENTO RURAL</v>
      </c>
      <c r="D1543" s="78" t="s">
        <v>1660</v>
      </c>
      <c r="F1543" s="78">
        <v>2.0</v>
      </c>
      <c r="G1543" s="90">
        <v>387.36</v>
      </c>
    </row>
    <row r="1544">
      <c r="A1544" s="6">
        <v>293.0</v>
      </c>
      <c r="B1544" s="76" t="str">
        <f>IFERROR(VLOOKUP($A1544,EVENTO!$A$2:$C$4999,2,FALSE),"")</f>
        <v>CADASTRO</v>
      </c>
      <c r="C1544" s="76" t="str">
        <f>IFERROR(VLOOKUP($A1544,EVENTO!$A$2:$C$4999,3,FALSE),"")</f>
        <v>PREFEITURA  MUNICIPAL DE CAUCAIA - DESENVOLVMENTO RURAL</v>
      </c>
      <c r="D1544" s="78" t="s">
        <v>1661</v>
      </c>
      <c r="F1544" s="78">
        <v>16.0</v>
      </c>
      <c r="G1544" s="90">
        <v>221.78</v>
      </c>
    </row>
    <row r="1545">
      <c r="A1545" s="6">
        <v>293.0</v>
      </c>
      <c r="B1545" s="76" t="str">
        <f>IFERROR(VLOOKUP($A1545,EVENTO!$A$2:$C$4999,2,FALSE),"")</f>
        <v>CADASTRO</v>
      </c>
      <c r="C1545" s="76" t="str">
        <f>IFERROR(VLOOKUP($A1545,EVENTO!$A$2:$C$4999,3,FALSE),"")</f>
        <v>PREFEITURA  MUNICIPAL DE CAUCAIA - DESENVOLVMENTO RURAL</v>
      </c>
      <c r="D1545" s="78" t="s">
        <v>1716</v>
      </c>
      <c r="F1545" s="78">
        <v>4.0</v>
      </c>
      <c r="G1545" s="90">
        <v>286.34</v>
      </c>
    </row>
    <row r="1546">
      <c r="A1546" s="6">
        <v>293.0</v>
      </c>
      <c r="B1546" s="76" t="str">
        <f>IFERROR(VLOOKUP($A1546,EVENTO!$A$2:$C$4999,2,FALSE),"")</f>
        <v>CADASTRO</v>
      </c>
      <c r="C1546" s="76" t="str">
        <f>IFERROR(VLOOKUP($A1546,EVENTO!$A$2:$C$4999,3,FALSE),"")</f>
        <v>PREFEITURA  MUNICIPAL DE CAUCAIA - DESENVOLVMENTO RURAL</v>
      </c>
      <c r="D1546" s="78" t="s">
        <v>1602</v>
      </c>
      <c r="F1546" s="78">
        <v>2.0</v>
      </c>
      <c r="G1546" s="90">
        <v>234.7</v>
      </c>
    </row>
    <row r="1547">
      <c r="A1547" s="6">
        <v>293.0</v>
      </c>
      <c r="B1547" s="76" t="str">
        <f>IFERROR(VLOOKUP($A1547,EVENTO!$A$2:$C$4999,2,FALSE),"")</f>
        <v>CADASTRO</v>
      </c>
      <c r="C1547" s="76" t="str">
        <f>IFERROR(VLOOKUP($A1547,EVENTO!$A$2:$C$4999,3,FALSE),"")</f>
        <v>PREFEITURA  MUNICIPAL DE CAUCAIA - DESENVOLVMENTO RURAL</v>
      </c>
      <c r="D1547" s="78" t="s">
        <v>1666</v>
      </c>
      <c r="F1547" s="78">
        <v>8.0</v>
      </c>
      <c r="G1547" s="90">
        <v>148.11</v>
      </c>
    </row>
    <row r="1548">
      <c r="A1548" s="6">
        <v>293.0</v>
      </c>
      <c r="B1548" s="76" t="str">
        <f>IFERROR(VLOOKUP($A1548,EVENTO!$A$2:$C$4999,2,FALSE),"")</f>
        <v>CADASTRO</v>
      </c>
      <c r="C1548" s="76" t="str">
        <f>IFERROR(VLOOKUP($A1548,EVENTO!$A$2:$C$4999,3,FALSE),"")</f>
        <v>PREFEITURA  MUNICIPAL DE CAUCAIA - DESENVOLVMENTO RURAL</v>
      </c>
      <c r="D1548" s="78" t="s">
        <v>1639</v>
      </c>
      <c r="F1548" s="78">
        <v>1.0</v>
      </c>
      <c r="G1548" s="90">
        <v>181.17</v>
      </c>
    </row>
    <row r="1549">
      <c r="A1549" s="6">
        <v>293.0</v>
      </c>
      <c r="B1549" s="76" t="str">
        <f>IFERROR(VLOOKUP($A1549,EVENTO!$A$2:$C$4999,2,FALSE),"")</f>
        <v>CADASTRO</v>
      </c>
      <c r="C1549" s="76" t="str">
        <f>IFERROR(VLOOKUP($A1549,EVENTO!$A$2:$C$4999,3,FALSE),"")</f>
        <v>PREFEITURA  MUNICIPAL DE CAUCAIA - DESENVOLVMENTO RURAL</v>
      </c>
      <c r="D1549" s="78" t="s">
        <v>1718</v>
      </c>
      <c r="F1549" s="78">
        <v>1.0</v>
      </c>
      <c r="G1549" s="90">
        <v>193.47</v>
      </c>
    </row>
    <row r="1550">
      <c r="A1550" s="6">
        <v>293.0</v>
      </c>
      <c r="B1550" s="76" t="str">
        <f>IFERROR(VLOOKUP($A1550,EVENTO!$A$2:$C$4999,2,FALSE),"")</f>
        <v>CADASTRO</v>
      </c>
      <c r="C1550" s="76" t="str">
        <f>IFERROR(VLOOKUP($A1550,EVENTO!$A$2:$C$4999,3,FALSE),"")</f>
        <v>PREFEITURA  MUNICIPAL DE CAUCAIA - DESENVOLVMENTO RURAL</v>
      </c>
      <c r="D1550" s="78" t="s">
        <v>1719</v>
      </c>
      <c r="F1550" s="78">
        <v>2.0</v>
      </c>
      <c r="G1550" s="90">
        <v>13.42</v>
      </c>
    </row>
    <row r="1551">
      <c r="A1551" s="6">
        <v>293.0</v>
      </c>
      <c r="B1551" s="76" t="str">
        <f>IFERROR(VLOOKUP($A1551,EVENTO!$A$2:$C$4999,2,FALSE),"")</f>
        <v>CADASTRO</v>
      </c>
      <c r="C1551" s="76" t="str">
        <f>IFERROR(VLOOKUP($A1551,EVENTO!$A$2:$C$4999,3,FALSE),"")</f>
        <v>PREFEITURA  MUNICIPAL DE CAUCAIA - DESENVOLVMENTO RURAL</v>
      </c>
      <c r="D1551" s="78" t="s">
        <v>1720</v>
      </c>
      <c r="F1551" s="78">
        <v>1.0</v>
      </c>
      <c r="G1551" s="90">
        <v>36.65</v>
      </c>
    </row>
    <row r="1552">
      <c r="A1552" s="6">
        <v>293.0</v>
      </c>
      <c r="B1552" s="76" t="str">
        <f>IFERROR(VLOOKUP($A1552,EVENTO!$A$2:$C$4999,2,FALSE),"")</f>
        <v>CADASTRO</v>
      </c>
      <c r="C1552" s="76" t="str">
        <f>IFERROR(VLOOKUP($A1552,EVENTO!$A$2:$C$4999,3,FALSE),"")</f>
        <v>PREFEITURA  MUNICIPAL DE CAUCAIA - DESENVOLVMENTO RURAL</v>
      </c>
      <c r="D1552" s="78" t="s">
        <v>1642</v>
      </c>
      <c r="F1552" s="78">
        <v>2.0</v>
      </c>
      <c r="G1552" s="90">
        <v>91.18</v>
      </c>
    </row>
    <row r="1553">
      <c r="A1553" s="6">
        <v>293.0</v>
      </c>
      <c r="B1553" s="76" t="str">
        <f>IFERROR(VLOOKUP($A1553,EVENTO!$A$2:$C$4999,2,FALSE),"")</f>
        <v>CADASTRO</v>
      </c>
      <c r="C1553" s="76" t="str">
        <f>IFERROR(VLOOKUP($A1553,EVENTO!$A$2:$C$4999,3,FALSE),"")</f>
        <v>PREFEITURA  MUNICIPAL DE CAUCAIA - DESENVOLVMENTO RURAL</v>
      </c>
      <c r="D1553" s="78" t="s">
        <v>1643</v>
      </c>
      <c r="F1553" s="78">
        <v>1.0</v>
      </c>
      <c r="G1553" s="90">
        <v>29.23</v>
      </c>
    </row>
    <row r="1554">
      <c r="A1554" s="6">
        <v>293.0</v>
      </c>
      <c r="B1554" s="76" t="str">
        <f>IFERROR(VLOOKUP($A1554,EVENTO!$A$2:$C$4999,2,FALSE),"")</f>
        <v>CADASTRO</v>
      </c>
      <c r="C1554" s="76" t="str">
        <f>IFERROR(VLOOKUP($A1554,EVENTO!$A$2:$C$4999,3,FALSE),"")</f>
        <v>PREFEITURA  MUNICIPAL DE CAUCAIA - DESENVOLVMENTO RURAL</v>
      </c>
      <c r="D1554" s="78" t="s">
        <v>1471</v>
      </c>
      <c r="F1554" s="78">
        <v>2.0</v>
      </c>
      <c r="G1554" s="90">
        <v>41.95</v>
      </c>
    </row>
    <row r="1555">
      <c r="A1555" s="6">
        <v>294.0</v>
      </c>
      <c r="B1555" s="76" t="str">
        <f>IFERROR(VLOOKUP($A1555,EVENTO!$A$2:$C$4999,2,FALSE),"")</f>
        <v>CADASTRO</v>
      </c>
      <c r="C1555" s="76" t="str">
        <f>IFERROR(VLOOKUP($A1555,EVENTO!$A$2:$C$4999,3,FALSE),"")</f>
        <v>PREFEITURA MUNICIPAL DE CAMOCIM - TURISMO E DESENVOLVIMENTO ECONÔMICO</v>
      </c>
      <c r="D1555" s="96" t="s">
        <v>1458</v>
      </c>
      <c r="E1555" s="96" t="s">
        <v>1535</v>
      </c>
      <c r="F1555" s="78">
        <v>1.0</v>
      </c>
      <c r="G1555" s="97">
        <v>344.75</v>
      </c>
    </row>
    <row r="1556">
      <c r="A1556" s="6">
        <v>294.0</v>
      </c>
      <c r="B1556" s="76" t="str">
        <f>IFERROR(VLOOKUP($A1556,EVENTO!$A$2:$C$4999,2,FALSE),"")</f>
        <v>CADASTRO</v>
      </c>
      <c r="C1556" s="76" t="str">
        <f>IFERROR(VLOOKUP($A1556,EVENTO!$A$2:$C$4999,3,FALSE),"")</f>
        <v>PREFEITURA MUNICIPAL DE CAMOCIM - TURISMO E DESENVOLVIMENTO ECONÔMICO</v>
      </c>
      <c r="D1556" s="96" t="s">
        <v>1546</v>
      </c>
      <c r="E1556" s="96" t="s">
        <v>1547</v>
      </c>
      <c r="F1556" s="78">
        <v>1.0</v>
      </c>
      <c r="G1556" s="97">
        <v>270.39</v>
      </c>
    </row>
    <row r="1557">
      <c r="A1557" s="6">
        <v>294.0</v>
      </c>
      <c r="B1557" s="76" t="str">
        <f>IFERROR(VLOOKUP($A1557,EVENTO!$A$2:$C$4999,2,FALSE),"")</f>
        <v>CADASTRO</v>
      </c>
      <c r="C1557" s="76" t="str">
        <f>IFERROR(VLOOKUP($A1557,EVENTO!$A$2:$C$4999,3,FALSE),"")</f>
        <v>PREFEITURA MUNICIPAL DE CAMOCIM - TURISMO E DESENVOLVIMENTO ECONÔMICO</v>
      </c>
      <c r="D1557" s="96" t="s">
        <v>1456</v>
      </c>
      <c r="E1557" s="96" t="s">
        <v>1660</v>
      </c>
      <c r="F1557" s="78">
        <v>1.0</v>
      </c>
      <c r="G1557" s="97">
        <v>387.36</v>
      </c>
    </row>
    <row r="1558">
      <c r="A1558" s="6">
        <v>294.0</v>
      </c>
      <c r="B1558" s="76" t="str">
        <f>IFERROR(VLOOKUP($A1558,EVENTO!$A$2:$C$4999,2,FALSE),"")</f>
        <v>CADASTRO</v>
      </c>
      <c r="C1558" s="76" t="str">
        <f>IFERROR(VLOOKUP($A1558,EVENTO!$A$2:$C$4999,3,FALSE),"")</f>
        <v>PREFEITURA MUNICIPAL DE CAMOCIM - TURISMO E DESENVOLVIMENTO ECONÔMICO</v>
      </c>
      <c r="D1558" s="96" t="s">
        <v>1696</v>
      </c>
      <c r="E1558" s="96" t="s">
        <v>1661</v>
      </c>
      <c r="F1558" s="78">
        <v>6.0</v>
      </c>
      <c r="G1558" s="97">
        <v>221.78</v>
      </c>
    </row>
    <row r="1559">
      <c r="A1559" s="6">
        <v>294.0</v>
      </c>
      <c r="B1559" s="76" t="str">
        <f>IFERROR(VLOOKUP($A1559,EVENTO!$A$2:$C$4999,2,FALSE),"")</f>
        <v>CADASTRO</v>
      </c>
      <c r="C1559" s="76" t="str">
        <f>IFERROR(VLOOKUP($A1559,EVENTO!$A$2:$C$4999,3,FALSE),"")</f>
        <v>PREFEITURA MUNICIPAL DE CAMOCIM - TURISMO E DESENVOLVIMENTO ECONÔMICO</v>
      </c>
      <c r="D1559" s="96" t="s">
        <v>1551</v>
      </c>
      <c r="E1559" s="96" t="s">
        <v>1536</v>
      </c>
      <c r="F1559" s="78">
        <v>2.0</v>
      </c>
      <c r="G1559" s="97">
        <v>173.93</v>
      </c>
    </row>
    <row r="1560">
      <c r="A1560" s="6">
        <v>294.0</v>
      </c>
      <c r="B1560" s="76" t="str">
        <f>IFERROR(VLOOKUP($A1560,EVENTO!$A$2:$C$4999,2,FALSE),"")</f>
        <v>CADASTRO</v>
      </c>
      <c r="C1560" s="76" t="str">
        <f>IFERROR(VLOOKUP($A1560,EVENTO!$A$2:$C$4999,3,FALSE),"")</f>
        <v>PREFEITURA MUNICIPAL DE CAMOCIM - TURISMO E DESENVOLVIMENTO ECONÔMICO</v>
      </c>
      <c r="D1560" s="96" t="s">
        <v>1697</v>
      </c>
      <c r="E1560" s="96" t="s">
        <v>1664</v>
      </c>
      <c r="F1560" s="78">
        <v>2.0</v>
      </c>
      <c r="G1560" s="97">
        <v>286.34</v>
      </c>
    </row>
    <row r="1561">
      <c r="A1561" s="6">
        <v>294.0</v>
      </c>
      <c r="B1561" s="76" t="str">
        <f>IFERROR(VLOOKUP($A1561,EVENTO!$A$2:$C$4999,2,FALSE),"")</f>
        <v>CADASTRO</v>
      </c>
      <c r="C1561" s="76" t="str">
        <f>IFERROR(VLOOKUP($A1561,EVENTO!$A$2:$C$4999,3,FALSE),"")</f>
        <v>PREFEITURA MUNICIPAL DE CAMOCIM - TURISMO E DESENVOLVIMENTO ECONÔMICO</v>
      </c>
      <c r="D1561" s="96" t="s">
        <v>1678</v>
      </c>
      <c r="E1561" s="96" t="s">
        <v>1646</v>
      </c>
      <c r="F1561" s="78">
        <v>1.0</v>
      </c>
      <c r="G1561" s="97">
        <v>234.7</v>
      </c>
    </row>
    <row r="1562">
      <c r="A1562" s="6">
        <v>294.0</v>
      </c>
      <c r="B1562" s="76" t="str">
        <f>IFERROR(VLOOKUP($A1562,EVENTO!$A$2:$C$4999,2,FALSE),"")</f>
        <v>CADASTRO</v>
      </c>
      <c r="C1562" s="76" t="str">
        <f>IFERROR(VLOOKUP($A1562,EVENTO!$A$2:$C$4999,3,FALSE),"")</f>
        <v>PREFEITURA MUNICIPAL DE CAMOCIM - TURISMO E DESENVOLVIMENTO ECONÔMICO</v>
      </c>
      <c r="D1562" s="96" t="s">
        <v>1688</v>
      </c>
      <c r="E1562" s="96" t="s">
        <v>1560</v>
      </c>
      <c r="F1562" s="78">
        <v>1.0</v>
      </c>
      <c r="G1562" s="98">
        <v>50.3</v>
      </c>
    </row>
    <row r="1563">
      <c r="A1563" s="6">
        <v>294.0</v>
      </c>
      <c r="B1563" s="76" t="str">
        <f>IFERROR(VLOOKUP($A1563,EVENTO!$A$2:$C$4999,2,FALSE),"")</f>
        <v>CADASTRO</v>
      </c>
      <c r="C1563" s="76" t="str">
        <f>IFERROR(VLOOKUP($A1563,EVENTO!$A$2:$C$4999,3,FALSE),"")</f>
        <v>PREFEITURA MUNICIPAL DE CAMOCIM - TURISMO E DESENVOLVIMENTO ECONÔMICO</v>
      </c>
      <c r="D1563" s="96" t="s">
        <v>1668</v>
      </c>
      <c r="E1563" s="96" t="s">
        <v>1698</v>
      </c>
      <c r="F1563" s="78">
        <v>1.0</v>
      </c>
      <c r="G1563" s="98">
        <v>36.65</v>
      </c>
    </row>
    <row r="1564">
      <c r="A1564" s="6">
        <v>294.0</v>
      </c>
      <c r="B1564" s="76" t="str">
        <f>IFERROR(VLOOKUP($A1564,EVENTO!$A$2:$C$4999,2,FALSE),"")</f>
        <v>CADASTRO</v>
      </c>
      <c r="C1564" s="76" t="str">
        <f>IFERROR(VLOOKUP($A1564,EVENTO!$A$2:$C$4999,3,FALSE),"")</f>
        <v>PREFEITURA MUNICIPAL DE CAMOCIM - TURISMO E DESENVOLVIMENTO ECONÔMICO</v>
      </c>
      <c r="D1564" s="96" t="s">
        <v>1674</v>
      </c>
      <c r="E1564" s="96" t="s">
        <v>1675</v>
      </c>
      <c r="F1564" s="78">
        <v>1.0</v>
      </c>
      <c r="G1564" s="98">
        <v>41.95</v>
      </c>
    </row>
    <row r="1565">
      <c r="A1565" s="6">
        <v>301.0</v>
      </c>
      <c r="B1565" s="76" t="str">
        <f>IFERROR(VLOOKUP($A1565,EVENTO!$A$2:$C$4999,2,FALSE),"")</f>
        <v>CADASTRO</v>
      </c>
      <c r="C1565" s="76" t="str">
        <f>IFERROR(VLOOKUP($A1565,EVENTO!$A$2:$C$4999,3,FALSE),"")</f>
        <v>PREFEITURA  MUNICIPAL DE CAUCAIA - DESENVOLVMENTO SOCIAL</v>
      </c>
      <c r="D1565" s="78" t="s">
        <v>1593</v>
      </c>
      <c r="F1565" s="78">
        <v>12.0</v>
      </c>
      <c r="G1565" s="89">
        <v>534.71</v>
      </c>
    </row>
    <row r="1566">
      <c r="A1566" s="6">
        <v>301.0</v>
      </c>
      <c r="B1566" s="76" t="str">
        <f>IFERROR(VLOOKUP($A1566,EVENTO!$A$2:$C$4999,2,FALSE),"")</f>
        <v>CADASTRO</v>
      </c>
      <c r="C1566" s="76" t="str">
        <f>IFERROR(VLOOKUP($A1566,EVENTO!$A$2:$C$4999,3,FALSE),"")</f>
        <v>PREFEITURA  MUNICIPAL DE CAUCAIA - DESENVOLVMENTO SOCIAL</v>
      </c>
      <c r="D1566" s="78" t="s">
        <v>1594</v>
      </c>
      <c r="F1566" s="78">
        <v>18.0</v>
      </c>
      <c r="G1566" s="90">
        <v>344.75</v>
      </c>
    </row>
    <row r="1567">
      <c r="A1567" s="6">
        <v>301.0</v>
      </c>
      <c r="B1567" s="76" t="str">
        <f>IFERROR(VLOOKUP($A1567,EVENTO!$A$2:$C$4999,2,FALSE),"")</f>
        <v>CADASTRO</v>
      </c>
      <c r="C1567" s="76" t="str">
        <f>IFERROR(VLOOKUP($A1567,EVENTO!$A$2:$C$4999,3,FALSE),"")</f>
        <v>PREFEITURA  MUNICIPAL DE CAUCAIA - DESENVOLVMENTO SOCIAL</v>
      </c>
      <c r="D1567" s="78" t="s">
        <v>1595</v>
      </c>
      <c r="F1567" s="78">
        <v>24.0</v>
      </c>
      <c r="G1567" s="90">
        <v>270.39</v>
      </c>
    </row>
    <row r="1568">
      <c r="A1568" s="6">
        <v>301.0</v>
      </c>
      <c r="B1568" s="76" t="str">
        <f>IFERROR(VLOOKUP($A1568,EVENTO!$A$2:$C$4999,2,FALSE),"")</f>
        <v>CADASTRO</v>
      </c>
      <c r="C1568" s="76" t="str">
        <f>IFERROR(VLOOKUP($A1568,EVENTO!$A$2:$C$4999,3,FALSE),"")</f>
        <v>PREFEITURA  MUNICIPAL DE CAUCAIA - DESENVOLVMENTO SOCIAL</v>
      </c>
      <c r="D1568" s="78" t="s">
        <v>1660</v>
      </c>
      <c r="F1568" s="78">
        <v>14.0</v>
      </c>
      <c r="G1568" s="90">
        <v>387.36</v>
      </c>
    </row>
    <row r="1569">
      <c r="A1569" s="6">
        <v>301.0</v>
      </c>
      <c r="B1569" s="76" t="str">
        <f>IFERROR(VLOOKUP($A1569,EVENTO!$A$2:$C$4999,2,FALSE),"")</f>
        <v>CADASTRO</v>
      </c>
      <c r="C1569" s="76" t="str">
        <f>IFERROR(VLOOKUP($A1569,EVENTO!$A$2:$C$4999,3,FALSE),"")</f>
        <v>PREFEITURA  MUNICIPAL DE CAUCAIA - DESENVOLVMENTO SOCIAL</v>
      </c>
      <c r="D1569" s="78" t="s">
        <v>1661</v>
      </c>
      <c r="F1569" s="78">
        <v>80.0</v>
      </c>
      <c r="G1569" s="90">
        <v>221.78</v>
      </c>
    </row>
    <row r="1570">
      <c r="A1570" s="6">
        <v>301.0</v>
      </c>
      <c r="B1570" s="76" t="str">
        <f>IFERROR(VLOOKUP($A1570,EVENTO!$A$2:$C$4999,2,FALSE),"")</f>
        <v>CADASTRO</v>
      </c>
      <c r="C1570" s="76" t="str">
        <f>IFERROR(VLOOKUP($A1570,EVENTO!$A$2:$C$4999,3,FALSE),"")</f>
        <v>PREFEITURA  MUNICIPAL DE CAUCAIA - DESENVOLVMENTO SOCIAL</v>
      </c>
      <c r="D1570" s="78" t="s">
        <v>1536</v>
      </c>
      <c r="F1570" s="78">
        <v>84.0</v>
      </c>
      <c r="G1570" s="90">
        <v>173.93</v>
      </c>
    </row>
    <row r="1571">
      <c r="A1571" s="6">
        <v>301.0</v>
      </c>
      <c r="B1571" s="76" t="str">
        <f>IFERROR(VLOOKUP($A1571,EVENTO!$A$2:$C$4999,2,FALSE),"")</f>
        <v>CADASTRO</v>
      </c>
      <c r="C1571" s="76" t="str">
        <f>IFERROR(VLOOKUP($A1571,EVENTO!$A$2:$C$4999,3,FALSE),"")</f>
        <v>PREFEITURA  MUNICIPAL DE CAUCAIA - DESENVOLVMENTO SOCIAL</v>
      </c>
      <c r="D1571" s="78" t="s">
        <v>1627</v>
      </c>
      <c r="F1571" s="78">
        <v>2.0</v>
      </c>
      <c r="G1571" s="79">
        <v>638.01</v>
      </c>
    </row>
    <row r="1572">
      <c r="A1572" s="6">
        <v>301.0</v>
      </c>
      <c r="B1572" s="76" t="str">
        <f>IFERROR(VLOOKUP($A1572,EVENTO!$A$2:$C$4999,2,FALSE),"")</f>
        <v>CADASTRO</v>
      </c>
      <c r="C1572" s="76" t="str">
        <f>IFERROR(VLOOKUP($A1572,EVENTO!$A$2:$C$4999,3,FALSE),"")</f>
        <v>PREFEITURA  MUNICIPAL DE CAUCAIA - DESENVOLVMENTO SOCIAL</v>
      </c>
      <c r="D1572" s="78" t="s">
        <v>1722</v>
      </c>
      <c r="F1572" s="78">
        <v>4.0</v>
      </c>
      <c r="G1572" s="79">
        <v>290.14</v>
      </c>
    </row>
    <row r="1573">
      <c r="A1573" s="6">
        <v>301.0</v>
      </c>
      <c r="B1573" s="76" t="str">
        <f>IFERROR(VLOOKUP($A1573,EVENTO!$A$2:$C$4999,2,FALSE),"")</f>
        <v>CADASTRO</v>
      </c>
      <c r="C1573" s="76" t="str">
        <f>IFERROR(VLOOKUP($A1573,EVENTO!$A$2:$C$4999,3,FALSE),"")</f>
        <v>PREFEITURA  MUNICIPAL DE CAUCAIA - DESENVOLVMENTO SOCIAL</v>
      </c>
      <c r="D1573" s="78" t="s">
        <v>1723</v>
      </c>
      <c r="F1573" s="78">
        <v>1.0</v>
      </c>
      <c r="G1573" s="79">
        <v>470.91</v>
      </c>
    </row>
    <row r="1574">
      <c r="A1574" s="6">
        <v>301.0</v>
      </c>
      <c r="B1574" s="76" t="str">
        <f>IFERROR(VLOOKUP($A1574,EVENTO!$A$2:$C$4999,2,FALSE),"")</f>
        <v>CADASTRO</v>
      </c>
      <c r="C1574" s="76" t="str">
        <f>IFERROR(VLOOKUP($A1574,EVENTO!$A$2:$C$4999,3,FALSE),"")</f>
        <v>PREFEITURA  MUNICIPAL DE CAUCAIA - DESENVOLVMENTO SOCIAL</v>
      </c>
      <c r="D1574" s="78" t="s">
        <v>1716</v>
      </c>
      <c r="F1574" s="78">
        <v>52.0</v>
      </c>
      <c r="G1574" s="90">
        <v>286.34</v>
      </c>
    </row>
    <row r="1575">
      <c r="A1575" s="6">
        <v>301.0</v>
      </c>
      <c r="B1575" s="76" t="str">
        <f>IFERROR(VLOOKUP($A1575,EVENTO!$A$2:$C$4999,2,FALSE),"")</f>
        <v>CADASTRO</v>
      </c>
      <c r="C1575" s="76" t="str">
        <f>IFERROR(VLOOKUP($A1575,EVENTO!$A$2:$C$4999,3,FALSE),"")</f>
        <v>PREFEITURA  MUNICIPAL DE CAUCAIA - DESENVOLVMENTO SOCIAL</v>
      </c>
      <c r="D1575" s="78" t="s">
        <v>1602</v>
      </c>
      <c r="F1575" s="78">
        <v>10.0</v>
      </c>
      <c r="G1575" s="90">
        <v>234.7</v>
      </c>
    </row>
    <row r="1576">
      <c r="A1576" s="6">
        <v>301.0</v>
      </c>
      <c r="B1576" s="76" t="str">
        <f>IFERROR(VLOOKUP($A1576,EVENTO!$A$2:$C$4999,2,FALSE),"")</f>
        <v>CADASTRO</v>
      </c>
      <c r="C1576" s="76" t="str">
        <f>IFERROR(VLOOKUP($A1576,EVENTO!$A$2:$C$4999,3,FALSE),"")</f>
        <v>PREFEITURA  MUNICIPAL DE CAUCAIA - DESENVOLVMENTO SOCIAL</v>
      </c>
      <c r="D1576" s="78" t="s">
        <v>1666</v>
      </c>
      <c r="F1576" s="78">
        <v>24.0</v>
      </c>
      <c r="G1576" s="90">
        <v>148.11</v>
      </c>
    </row>
    <row r="1577">
      <c r="A1577" s="6">
        <v>301.0</v>
      </c>
      <c r="B1577" s="76" t="str">
        <f>IFERROR(VLOOKUP($A1577,EVENTO!$A$2:$C$4999,2,FALSE),"")</f>
        <v>CADASTRO</v>
      </c>
      <c r="C1577" s="76" t="str">
        <f>IFERROR(VLOOKUP($A1577,EVENTO!$A$2:$C$4999,3,FALSE),"")</f>
        <v>PREFEITURA  MUNICIPAL DE CAUCAIA - DESENVOLVMENTO SOCIAL</v>
      </c>
      <c r="D1577" s="88" t="s">
        <v>1724</v>
      </c>
      <c r="F1577" s="78">
        <v>1.0</v>
      </c>
      <c r="G1577" s="79">
        <v>358.33</v>
      </c>
    </row>
    <row r="1578">
      <c r="A1578" s="6">
        <v>301.0</v>
      </c>
      <c r="B1578" s="76" t="str">
        <f>IFERROR(VLOOKUP($A1578,EVENTO!$A$2:$C$4999,2,FALSE),"")</f>
        <v>CADASTRO</v>
      </c>
      <c r="C1578" s="76" t="str">
        <f>IFERROR(VLOOKUP($A1578,EVENTO!$A$2:$C$4999,3,FALSE),"")</f>
        <v>PREFEITURA  MUNICIPAL DE CAUCAIA - DESENVOLVMENTO SOCIAL</v>
      </c>
      <c r="D1578" s="87" t="s">
        <v>1650</v>
      </c>
      <c r="E1578" s="4"/>
      <c r="F1578" s="78">
        <v>3.0</v>
      </c>
      <c r="G1578" s="92">
        <v>201.73</v>
      </c>
    </row>
    <row r="1579">
      <c r="A1579" s="6">
        <v>301.0</v>
      </c>
      <c r="B1579" s="76" t="str">
        <f>IFERROR(VLOOKUP($A1579,EVENTO!$A$2:$C$4999,2,FALSE),"")</f>
        <v>CADASTRO</v>
      </c>
      <c r="C1579" s="76" t="str">
        <f>IFERROR(VLOOKUP($A1579,EVENTO!$A$2:$C$4999,3,FALSE),"")</f>
        <v>PREFEITURA  MUNICIPAL DE CAUCAIA - DESENVOLVMENTO SOCIAL</v>
      </c>
      <c r="D1579" s="78" t="s">
        <v>1639</v>
      </c>
      <c r="F1579" s="78">
        <v>5.0</v>
      </c>
      <c r="G1579" s="90">
        <v>181.17</v>
      </c>
    </row>
    <row r="1580">
      <c r="A1580" s="6">
        <v>301.0</v>
      </c>
      <c r="B1580" s="76" t="str">
        <f>IFERROR(VLOOKUP($A1580,EVENTO!$A$2:$C$4999,2,FALSE),"")</f>
        <v>CADASTRO</v>
      </c>
      <c r="C1580" s="76" t="str">
        <f>IFERROR(VLOOKUP($A1580,EVENTO!$A$2:$C$4999,3,FALSE),"")</f>
        <v>PREFEITURA  MUNICIPAL DE CAUCAIA - DESENVOLVMENTO SOCIAL</v>
      </c>
      <c r="D1580" s="78" t="s">
        <v>1717</v>
      </c>
      <c r="F1580" s="78">
        <v>2.0</v>
      </c>
      <c r="G1580" s="90">
        <v>283.89</v>
      </c>
    </row>
    <row r="1581">
      <c r="A1581" s="6">
        <v>301.0</v>
      </c>
      <c r="B1581" s="76" t="str">
        <f>IFERROR(VLOOKUP($A1581,EVENTO!$A$2:$C$4999,2,FALSE),"")</f>
        <v>CADASTRO</v>
      </c>
      <c r="C1581" s="76" t="str">
        <f>IFERROR(VLOOKUP($A1581,EVENTO!$A$2:$C$4999,3,FALSE),"")</f>
        <v>PREFEITURA  MUNICIPAL DE CAUCAIA - DESENVOLVMENTO SOCIAL</v>
      </c>
      <c r="D1581" s="78" t="s">
        <v>1718</v>
      </c>
      <c r="F1581" s="78">
        <v>10.0</v>
      </c>
      <c r="G1581" s="90">
        <v>193.47</v>
      </c>
    </row>
    <row r="1582">
      <c r="A1582" s="6">
        <v>301.0</v>
      </c>
      <c r="B1582" s="76" t="str">
        <f>IFERROR(VLOOKUP($A1582,EVENTO!$A$2:$C$4999,2,FALSE),"")</f>
        <v>CADASTRO</v>
      </c>
      <c r="C1582" s="76" t="str">
        <f>IFERROR(VLOOKUP($A1582,EVENTO!$A$2:$C$4999,3,FALSE),"")</f>
        <v>PREFEITURA  MUNICIPAL DE CAUCAIA - DESENVOLVMENTO SOCIAL</v>
      </c>
      <c r="D1582" s="78" t="s">
        <v>1725</v>
      </c>
      <c r="F1582" s="78">
        <v>2.0</v>
      </c>
      <c r="G1582" s="79">
        <v>50.3</v>
      </c>
    </row>
    <row r="1583">
      <c r="A1583" s="6">
        <v>301.0</v>
      </c>
      <c r="B1583" s="76" t="str">
        <f>IFERROR(VLOOKUP($A1583,EVENTO!$A$2:$C$4999,2,FALSE),"")</f>
        <v>CADASTRO</v>
      </c>
      <c r="C1583" s="76" t="str">
        <f>IFERROR(VLOOKUP($A1583,EVENTO!$A$2:$C$4999,3,FALSE),"")</f>
        <v>PREFEITURA  MUNICIPAL DE CAUCAIA - DESENVOLVMENTO SOCIAL</v>
      </c>
      <c r="D1583" s="78" t="s">
        <v>1719</v>
      </c>
      <c r="F1583" s="78">
        <v>2.0</v>
      </c>
      <c r="G1583" s="90">
        <v>13.42</v>
      </c>
    </row>
    <row r="1584">
      <c r="A1584" s="6">
        <v>301.0</v>
      </c>
      <c r="B1584" s="76" t="str">
        <f>IFERROR(VLOOKUP($A1584,EVENTO!$A$2:$C$4999,2,FALSE),"")</f>
        <v>CADASTRO</v>
      </c>
      <c r="C1584" s="76" t="str">
        <f>IFERROR(VLOOKUP($A1584,EVENTO!$A$2:$C$4999,3,FALSE),"")</f>
        <v>PREFEITURA  MUNICIPAL DE CAUCAIA - DESENVOLVMENTO SOCIAL</v>
      </c>
      <c r="D1584" s="78" t="s">
        <v>1720</v>
      </c>
      <c r="F1584" s="78">
        <v>4.0</v>
      </c>
      <c r="G1584" s="90">
        <v>36.65</v>
      </c>
    </row>
    <row r="1585">
      <c r="A1585" s="6">
        <v>301.0</v>
      </c>
      <c r="B1585" s="76" t="str">
        <f>IFERROR(VLOOKUP($A1585,EVENTO!$A$2:$C$4999,2,FALSE),"")</f>
        <v>CADASTRO</v>
      </c>
      <c r="C1585" s="76" t="str">
        <f>IFERROR(VLOOKUP($A1585,EVENTO!$A$2:$C$4999,3,FALSE),"")</f>
        <v>PREFEITURA  MUNICIPAL DE CAUCAIA - DESENVOLVMENTO SOCIAL</v>
      </c>
      <c r="D1585" s="78" t="s">
        <v>1642</v>
      </c>
      <c r="F1585" s="78">
        <v>10.0</v>
      </c>
      <c r="G1585" s="90">
        <v>91.18</v>
      </c>
    </row>
    <row r="1586">
      <c r="A1586" s="6">
        <v>301.0</v>
      </c>
      <c r="B1586" s="76" t="str">
        <f>IFERROR(VLOOKUP($A1586,EVENTO!$A$2:$C$4999,2,FALSE),"")</f>
        <v>CADASTRO</v>
      </c>
      <c r="C1586" s="76" t="str">
        <f>IFERROR(VLOOKUP($A1586,EVENTO!$A$2:$C$4999,3,FALSE),"")</f>
        <v>PREFEITURA  MUNICIPAL DE CAUCAIA - DESENVOLVMENTO SOCIAL</v>
      </c>
      <c r="D1586" s="78" t="s">
        <v>1726</v>
      </c>
      <c r="F1586" s="78">
        <v>1.0</v>
      </c>
      <c r="G1586" s="79">
        <v>167.03</v>
      </c>
    </row>
    <row r="1587">
      <c r="A1587" s="6">
        <v>301.0</v>
      </c>
      <c r="B1587" s="76" t="str">
        <f>IFERROR(VLOOKUP($A1587,EVENTO!$A$2:$C$4999,2,FALSE),"")</f>
        <v>CADASTRO</v>
      </c>
      <c r="C1587" s="76" t="str">
        <f>IFERROR(VLOOKUP($A1587,EVENTO!$A$2:$C$4999,3,FALSE),"")</f>
        <v>PREFEITURA  MUNICIPAL DE CAUCAIA - DESENVOLVMENTO SOCIAL</v>
      </c>
      <c r="D1587" s="78" t="s">
        <v>1643</v>
      </c>
      <c r="F1587" s="78">
        <v>2.0</v>
      </c>
      <c r="G1587" s="90">
        <v>29.23</v>
      </c>
    </row>
    <row r="1588">
      <c r="A1588" s="6">
        <v>301.0</v>
      </c>
      <c r="B1588" s="76" t="str">
        <f>IFERROR(VLOOKUP($A1588,EVENTO!$A$2:$C$4999,2,FALSE),"")</f>
        <v>CADASTRO</v>
      </c>
      <c r="C1588" s="76" t="str">
        <f>IFERROR(VLOOKUP($A1588,EVENTO!$A$2:$C$4999,3,FALSE),"")</f>
        <v>PREFEITURA  MUNICIPAL DE CAUCAIA - DESENVOLVMENTO SOCIAL</v>
      </c>
      <c r="D1588" s="78" t="s">
        <v>1620</v>
      </c>
      <c r="F1588" s="78">
        <v>8.0</v>
      </c>
      <c r="G1588" s="79">
        <v>63.8</v>
      </c>
    </row>
    <row r="1589">
      <c r="A1589" s="6">
        <v>301.0</v>
      </c>
      <c r="B1589" s="76" t="str">
        <f>IFERROR(VLOOKUP($A1589,EVENTO!$A$2:$C$4999,2,FALSE),"")</f>
        <v>CADASTRO</v>
      </c>
      <c r="C1589" s="76" t="str">
        <f>IFERROR(VLOOKUP($A1589,EVENTO!$A$2:$C$4999,3,FALSE),"")</f>
        <v>PREFEITURA  MUNICIPAL DE CAUCAIA - DESENVOLVMENTO SOCIAL</v>
      </c>
      <c r="D1589" s="78" t="s">
        <v>1471</v>
      </c>
      <c r="F1589" s="78">
        <v>8.0</v>
      </c>
      <c r="G1589" s="90">
        <v>41.95</v>
      </c>
    </row>
    <row r="1590">
      <c r="A1590" s="6">
        <v>303.0</v>
      </c>
      <c r="B1590" s="76" t="str">
        <f>IFERROR(VLOOKUP($A1590,EVENTO!$A$2:$C$4999,2,FALSE),"")</f>
        <v>ADITIVO DE QUANTIDADE</v>
      </c>
      <c r="C1590" s="76" t="str">
        <f>IFERROR(VLOOKUP($A1590,EVENTO!$A$2:$C$4999,3,FALSE),"")</f>
        <v>PREFEITURA  MUNICIPAL DE CAUCAIA - DESENVOLVMENTO SOCIAL</v>
      </c>
      <c r="D1590" s="78" t="s">
        <v>1593</v>
      </c>
      <c r="F1590" s="78">
        <v>15.0</v>
      </c>
      <c r="G1590" s="89">
        <v>534.71</v>
      </c>
    </row>
    <row r="1591">
      <c r="A1591" s="6">
        <v>303.0</v>
      </c>
      <c r="B1591" s="76" t="str">
        <f>IFERROR(VLOOKUP($A1591,EVENTO!$A$2:$C$4999,2,FALSE),"")</f>
        <v>ADITIVO DE QUANTIDADE</v>
      </c>
      <c r="C1591" s="76" t="str">
        <f>IFERROR(VLOOKUP($A1591,EVENTO!$A$2:$C$4999,3,FALSE),"")</f>
        <v>PREFEITURA  MUNICIPAL DE CAUCAIA - DESENVOLVMENTO SOCIAL</v>
      </c>
      <c r="D1591" s="78" t="s">
        <v>1594</v>
      </c>
      <c r="F1591" s="78">
        <v>22.0</v>
      </c>
      <c r="G1591" s="90">
        <v>344.75</v>
      </c>
    </row>
    <row r="1592">
      <c r="A1592" s="6">
        <v>303.0</v>
      </c>
      <c r="B1592" s="76" t="str">
        <f>IFERROR(VLOOKUP($A1592,EVENTO!$A$2:$C$4999,2,FALSE),"")</f>
        <v>ADITIVO DE QUANTIDADE</v>
      </c>
      <c r="C1592" s="76" t="str">
        <f>IFERROR(VLOOKUP($A1592,EVENTO!$A$2:$C$4999,3,FALSE),"")</f>
        <v>PREFEITURA  MUNICIPAL DE CAUCAIA - DESENVOLVMENTO SOCIAL</v>
      </c>
      <c r="D1592" s="78" t="s">
        <v>1595</v>
      </c>
      <c r="F1592" s="78">
        <v>28.0</v>
      </c>
      <c r="G1592" s="90">
        <v>270.39</v>
      </c>
    </row>
    <row r="1593">
      <c r="A1593" s="6">
        <v>303.0</v>
      </c>
      <c r="B1593" s="76" t="str">
        <f>IFERROR(VLOOKUP($A1593,EVENTO!$A$2:$C$4999,2,FALSE),"")</f>
        <v>ADITIVO DE QUANTIDADE</v>
      </c>
      <c r="C1593" s="76" t="str">
        <f>IFERROR(VLOOKUP($A1593,EVENTO!$A$2:$C$4999,3,FALSE),"")</f>
        <v>PREFEITURA  MUNICIPAL DE CAUCAIA - DESENVOLVMENTO SOCIAL</v>
      </c>
      <c r="D1593" s="78" t="s">
        <v>1660</v>
      </c>
      <c r="F1593" s="78">
        <v>14.0</v>
      </c>
      <c r="G1593" s="90">
        <v>387.36</v>
      </c>
    </row>
    <row r="1594">
      <c r="A1594" s="6">
        <v>303.0</v>
      </c>
      <c r="B1594" s="76" t="str">
        <f>IFERROR(VLOOKUP($A1594,EVENTO!$A$2:$C$4999,2,FALSE),"")</f>
        <v>ADITIVO DE QUANTIDADE</v>
      </c>
      <c r="C1594" s="76" t="str">
        <f>IFERROR(VLOOKUP($A1594,EVENTO!$A$2:$C$4999,3,FALSE),"")</f>
        <v>PREFEITURA  MUNICIPAL DE CAUCAIA - DESENVOLVMENTO SOCIAL</v>
      </c>
      <c r="D1594" s="78" t="s">
        <v>1661</v>
      </c>
      <c r="F1594" s="78">
        <v>82.0</v>
      </c>
      <c r="G1594" s="90">
        <v>221.78</v>
      </c>
    </row>
    <row r="1595">
      <c r="A1595" s="6">
        <v>303.0</v>
      </c>
      <c r="B1595" s="76" t="str">
        <f>IFERROR(VLOOKUP($A1595,EVENTO!$A$2:$C$4999,2,FALSE),"")</f>
        <v>ADITIVO DE QUANTIDADE</v>
      </c>
      <c r="C1595" s="76" t="str">
        <f>IFERROR(VLOOKUP($A1595,EVENTO!$A$2:$C$4999,3,FALSE),"")</f>
        <v>PREFEITURA  MUNICIPAL DE CAUCAIA - DESENVOLVMENTO SOCIAL</v>
      </c>
      <c r="D1595" s="78" t="s">
        <v>1536</v>
      </c>
      <c r="F1595" s="78">
        <v>84.0</v>
      </c>
      <c r="G1595" s="90">
        <v>173.93</v>
      </c>
    </row>
    <row r="1596">
      <c r="A1596" s="6">
        <v>303.0</v>
      </c>
      <c r="B1596" s="76" t="str">
        <f>IFERROR(VLOOKUP($A1596,EVENTO!$A$2:$C$4999,2,FALSE),"")</f>
        <v>ADITIVO DE QUANTIDADE</v>
      </c>
      <c r="C1596" s="76" t="str">
        <f>IFERROR(VLOOKUP($A1596,EVENTO!$A$2:$C$4999,3,FALSE),"")</f>
        <v>PREFEITURA  MUNICIPAL DE CAUCAIA - DESENVOLVMENTO SOCIAL</v>
      </c>
      <c r="D1596" s="78" t="s">
        <v>1627</v>
      </c>
      <c r="F1596" s="78">
        <v>2.0</v>
      </c>
      <c r="G1596" s="79">
        <v>638.01</v>
      </c>
    </row>
    <row r="1597">
      <c r="A1597" s="6">
        <v>303.0</v>
      </c>
      <c r="B1597" s="76" t="str">
        <f>IFERROR(VLOOKUP($A1597,EVENTO!$A$2:$C$4999,2,FALSE),"")</f>
        <v>ADITIVO DE QUANTIDADE</v>
      </c>
      <c r="C1597" s="76" t="str">
        <f>IFERROR(VLOOKUP($A1597,EVENTO!$A$2:$C$4999,3,FALSE),"")</f>
        <v>PREFEITURA  MUNICIPAL DE CAUCAIA - DESENVOLVMENTO SOCIAL</v>
      </c>
      <c r="D1597" s="78" t="s">
        <v>1722</v>
      </c>
      <c r="F1597" s="78">
        <v>4.0</v>
      </c>
      <c r="G1597" s="79">
        <v>290.14</v>
      </c>
    </row>
    <row r="1598">
      <c r="A1598" s="6">
        <v>303.0</v>
      </c>
      <c r="B1598" s="76" t="str">
        <f>IFERROR(VLOOKUP($A1598,EVENTO!$A$2:$C$4999,2,FALSE),"")</f>
        <v>ADITIVO DE QUANTIDADE</v>
      </c>
      <c r="C1598" s="76" t="str">
        <f>IFERROR(VLOOKUP($A1598,EVENTO!$A$2:$C$4999,3,FALSE),"")</f>
        <v>PREFEITURA  MUNICIPAL DE CAUCAIA - DESENVOLVMENTO SOCIAL</v>
      </c>
      <c r="D1598" s="78" t="s">
        <v>1723</v>
      </c>
      <c r="F1598" s="78">
        <v>1.0</v>
      </c>
      <c r="G1598" s="79">
        <v>470.91</v>
      </c>
    </row>
    <row r="1599">
      <c r="A1599" s="6">
        <v>303.0</v>
      </c>
      <c r="B1599" s="76" t="str">
        <f>IFERROR(VLOOKUP($A1599,EVENTO!$A$2:$C$4999,2,FALSE),"")</f>
        <v>ADITIVO DE QUANTIDADE</v>
      </c>
      <c r="C1599" s="76" t="str">
        <f>IFERROR(VLOOKUP($A1599,EVENTO!$A$2:$C$4999,3,FALSE),"")</f>
        <v>PREFEITURA  MUNICIPAL DE CAUCAIA - DESENVOLVMENTO SOCIAL</v>
      </c>
      <c r="D1599" s="78" t="s">
        <v>1716</v>
      </c>
      <c r="F1599" s="78">
        <v>53.0</v>
      </c>
      <c r="G1599" s="90">
        <v>286.34</v>
      </c>
    </row>
    <row r="1600">
      <c r="A1600" s="6">
        <v>303.0</v>
      </c>
      <c r="B1600" s="76" t="str">
        <f>IFERROR(VLOOKUP($A1600,EVENTO!$A$2:$C$4999,2,FALSE),"")</f>
        <v>ADITIVO DE QUANTIDADE</v>
      </c>
      <c r="C1600" s="76" t="str">
        <f>IFERROR(VLOOKUP($A1600,EVENTO!$A$2:$C$4999,3,FALSE),"")</f>
        <v>PREFEITURA  MUNICIPAL DE CAUCAIA - DESENVOLVMENTO SOCIAL</v>
      </c>
      <c r="D1600" s="78" t="s">
        <v>1602</v>
      </c>
      <c r="F1600" s="78">
        <v>10.0</v>
      </c>
      <c r="G1600" s="90">
        <v>234.7</v>
      </c>
    </row>
    <row r="1601">
      <c r="A1601" s="6">
        <v>303.0</v>
      </c>
      <c r="B1601" s="76" t="str">
        <f>IFERROR(VLOOKUP($A1601,EVENTO!$A$2:$C$4999,2,FALSE),"")</f>
        <v>ADITIVO DE QUANTIDADE</v>
      </c>
      <c r="C1601" s="76" t="str">
        <f>IFERROR(VLOOKUP($A1601,EVENTO!$A$2:$C$4999,3,FALSE),"")</f>
        <v>PREFEITURA  MUNICIPAL DE CAUCAIA - DESENVOLVMENTO SOCIAL</v>
      </c>
      <c r="D1601" s="78" t="s">
        <v>1666</v>
      </c>
      <c r="F1601" s="78">
        <v>24.0</v>
      </c>
      <c r="G1601" s="90">
        <v>148.11</v>
      </c>
    </row>
    <row r="1602">
      <c r="A1602" s="6">
        <v>303.0</v>
      </c>
      <c r="B1602" s="76" t="str">
        <f>IFERROR(VLOOKUP($A1602,EVENTO!$A$2:$C$4999,2,FALSE),"")</f>
        <v>ADITIVO DE QUANTIDADE</v>
      </c>
      <c r="C1602" s="76" t="str">
        <f>IFERROR(VLOOKUP($A1602,EVENTO!$A$2:$C$4999,3,FALSE),"")</f>
        <v>PREFEITURA  MUNICIPAL DE CAUCAIA - DESENVOLVMENTO SOCIAL</v>
      </c>
      <c r="D1602" s="88" t="s">
        <v>1724</v>
      </c>
      <c r="F1602" s="78">
        <v>1.0</v>
      </c>
      <c r="G1602" s="79">
        <v>358.33</v>
      </c>
    </row>
    <row r="1603">
      <c r="A1603" s="6">
        <v>303.0</v>
      </c>
      <c r="B1603" s="76" t="str">
        <f>IFERROR(VLOOKUP($A1603,EVENTO!$A$2:$C$4999,2,FALSE),"")</f>
        <v>ADITIVO DE QUANTIDADE</v>
      </c>
      <c r="C1603" s="76" t="str">
        <f>IFERROR(VLOOKUP($A1603,EVENTO!$A$2:$C$4999,3,FALSE),"")</f>
        <v>PREFEITURA  MUNICIPAL DE CAUCAIA - DESENVOLVMENTO SOCIAL</v>
      </c>
      <c r="D1603" s="87" t="s">
        <v>1650</v>
      </c>
      <c r="E1603" s="4"/>
      <c r="F1603" s="78">
        <v>3.0</v>
      </c>
      <c r="G1603" s="92">
        <v>201.73</v>
      </c>
    </row>
    <row r="1604">
      <c r="A1604" s="6">
        <v>303.0</v>
      </c>
      <c r="B1604" s="76" t="str">
        <f>IFERROR(VLOOKUP($A1604,EVENTO!$A$2:$C$4999,2,FALSE),"")</f>
        <v>ADITIVO DE QUANTIDADE</v>
      </c>
      <c r="C1604" s="76" t="str">
        <f>IFERROR(VLOOKUP($A1604,EVENTO!$A$2:$C$4999,3,FALSE),"")</f>
        <v>PREFEITURA  MUNICIPAL DE CAUCAIA - DESENVOLVMENTO SOCIAL</v>
      </c>
      <c r="D1604" s="78" t="s">
        <v>1639</v>
      </c>
      <c r="F1604" s="78">
        <v>5.0</v>
      </c>
      <c r="G1604" s="90">
        <v>181.17</v>
      </c>
    </row>
    <row r="1605">
      <c r="A1605" s="6">
        <v>303.0</v>
      </c>
      <c r="B1605" s="76" t="str">
        <f>IFERROR(VLOOKUP($A1605,EVENTO!$A$2:$C$4999,2,FALSE),"")</f>
        <v>ADITIVO DE QUANTIDADE</v>
      </c>
      <c r="C1605" s="76" t="str">
        <f>IFERROR(VLOOKUP($A1605,EVENTO!$A$2:$C$4999,3,FALSE),"")</f>
        <v>PREFEITURA  MUNICIPAL DE CAUCAIA - DESENVOLVMENTO SOCIAL</v>
      </c>
      <c r="D1605" s="78" t="s">
        <v>1717</v>
      </c>
      <c r="F1605" s="78">
        <v>2.0</v>
      </c>
      <c r="G1605" s="90">
        <v>283.89</v>
      </c>
    </row>
    <row r="1606">
      <c r="A1606" s="6">
        <v>303.0</v>
      </c>
      <c r="B1606" s="76" t="str">
        <f>IFERROR(VLOOKUP($A1606,EVENTO!$A$2:$C$4999,2,FALSE),"")</f>
        <v>ADITIVO DE QUANTIDADE</v>
      </c>
      <c r="C1606" s="76" t="str">
        <f>IFERROR(VLOOKUP($A1606,EVENTO!$A$2:$C$4999,3,FALSE),"")</f>
        <v>PREFEITURA  MUNICIPAL DE CAUCAIA - DESENVOLVMENTO SOCIAL</v>
      </c>
      <c r="D1606" s="78" t="s">
        <v>1718</v>
      </c>
      <c r="F1606" s="78">
        <v>10.0</v>
      </c>
      <c r="G1606" s="90">
        <v>193.47</v>
      </c>
    </row>
    <row r="1607">
      <c r="A1607" s="6">
        <v>303.0</v>
      </c>
      <c r="B1607" s="76" t="str">
        <f>IFERROR(VLOOKUP($A1607,EVENTO!$A$2:$C$4999,2,FALSE),"")</f>
        <v>ADITIVO DE QUANTIDADE</v>
      </c>
      <c r="C1607" s="76" t="str">
        <f>IFERROR(VLOOKUP($A1607,EVENTO!$A$2:$C$4999,3,FALSE),"")</f>
        <v>PREFEITURA  MUNICIPAL DE CAUCAIA - DESENVOLVMENTO SOCIAL</v>
      </c>
      <c r="D1607" s="78" t="s">
        <v>1725</v>
      </c>
      <c r="F1607" s="78">
        <v>2.0</v>
      </c>
      <c r="G1607" s="79">
        <v>50.3</v>
      </c>
    </row>
    <row r="1608">
      <c r="A1608" s="6">
        <v>303.0</v>
      </c>
      <c r="B1608" s="76" t="str">
        <f>IFERROR(VLOOKUP($A1608,EVENTO!$A$2:$C$4999,2,FALSE),"")</f>
        <v>ADITIVO DE QUANTIDADE</v>
      </c>
      <c r="C1608" s="76" t="str">
        <f>IFERROR(VLOOKUP($A1608,EVENTO!$A$2:$C$4999,3,FALSE),"")</f>
        <v>PREFEITURA  MUNICIPAL DE CAUCAIA - DESENVOLVMENTO SOCIAL</v>
      </c>
      <c r="D1608" s="78" t="s">
        <v>1719</v>
      </c>
      <c r="F1608" s="78">
        <v>2.0</v>
      </c>
      <c r="G1608" s="90">
        <v>13.42</v>
      </c>
    </row>
    <row r="1609">
      <c r="A1609" s="6">
        <v>303.0</v>
      </c>
      <c r="B1609" s="76" t="str">
        <f>IFERROR(VLOOKUP($A1609,EVENTO!$A$2:$C$4999,2,FALSE),"")</f>
        <v>ADITIVO DE QUANTIDADE</v>
      </c>
      <c r="C1609" s="76" t="str">
        <f>IFERROR(VLOOKUP($A1609,EVENTO!$A$2:$C$4999,3,FALSE),"")</f>
        <v>PREFEITURA  MUNICIPAL DE CAUCAIA - DESENVOLVMENTO SOCIAL</v>
      </c>
      <c r="D1609" s="78" t="s">
        <v>1720</v>
      </c>
      <c r="F1609" s="78">
        <v>4.0</v>
      </c>
      <c r="G1609" s="90">
        <v>36.65</v>
      </c>
    </row>
    <row r="1610">
      <c r="A1610" s="6">
        <v>303.0</v>
      </c>
      <c r="B1610" s="76" t="str">
        <f>IFERROR(VLOOKUP($A1610,EVENTO!$A$2:$C$4999,2,FALSE),"")</f>
        <v>ADITIVO DE QUANTIDADE</v>
      </c>
      <c r="C1610" s="76" t="str">
        <f>IFERROR(VLOOKUP($A1610,EVENTO!$A$2:$C$4999,3,FALSE),"")</f>
        <v>PREFEITURA  MUNICIPAL DE CAUCAIA - DESENVOLVMENTO SOCIAL</v>
      </c>
      <c r="D1610" s="78" t="s">
        <v>1642</v>
      </c>
      <c r="F1610" s="78">
        <v>10.0</v>
      </c>
      <c r="G1610" s="90">
        <v>91.18</v>
      </c>
    </row>
    <row r="1611">
      <c r="A1611" s="6">
        <v>303.0</v>
      </c>
      <c r="B1611" s="76" t="str">
        <f>IFERROR(VLOOKUP($A1611,EVENTO!$A$2:$C$4999,2,FALSE),"")</f>
        <v>ADITIVO DE QUANTIDADE</v>
      </c>
      <c r="C1611" s="76" t="str">
        <f>IFERROR(VLOOKUP($A1611,EVENTO!$A$2:$C$4999,3,FALSE),"")</f>
        <v>PREFEITURA  MUNICIPAL DE CAUCAIA - DESENVOLVMENTO SOCIAL</v>
      </c>
      <c r="D1611" s="78" t="s">
        <v>1726</v>
      </c>
      <c r="F1611" s="78">
        <v>1.0</v>
      </c>
      <c r="G1611" s="79">
        <v>167.03</v>
      </c>
    </row>
    <row r="1612">
      <c r="A1612" s="6">
        <v>303.0</v>
      </c>
      <c r="B1612" s="76" t="str">
        <f>IFERROR(VLOOKUP($A1612,EVENTO!$A$2:$C$4999,2,FALSE),"")</f>
        <v>ADITIVO DE QUANTIDADE</v>
      </c>
      <c r="C1612" s="76" t="str">
        <f>IFERROR(VLOOKUP($A1612,EVENTO!$A$2:$C$4999,3,FALSE),"")</f>
        <v>PREFEITURA  MUNICIPAL DE CAUCAIA - DESENVOLVMENTO SOCIAL</v>
      </c>
      <c r="D1612" s="78" t="s">
        <v>1643</v>
      </c>
      <c r="F1612" s="78">
        <v>2.0</v>
      </c>
      <c r="G1612" s="90">
        <v>29.23</v>
      </c>
    </row>
    <row r="1613">
      <c r="A1613" s="6">
        <v>303.0</v>
      </c>
      <c r="B1613" s="76" t="str">
        <f>IFERROR(VLOOKUP($A1613,EVENTO!$A$2:$C$4999,2,FALSE),"")</f>
        <v>ADITIVO DE QUANTIDADE</v>
      </c>
      <c r="C1613" s="76" t="str">
        <f>IFERROR(VLOOKUP($A1613,EVENTO!$A$2:$C$4999,3,FALSE),"")</f>
        <v>PREFEITURA  MUNICIPAL DE CAUCAIA - DESENVOLVMENTO SOCIAL</v>
      </c>
      <c r="D1613" s="78" t="s">
        <v>1620</v>
      </c>
      <c r="F1613" s="78">
        <v>8.0</v>
      </c>
      <c r="G1613" s="79">
        <v>63.8</v>
      </c>
    </row>
    <row r="1614">
      <c r="A1614" s="6">
        <v>303.0</v>
      </c>
      <c r="B1614" s="76" t="str">
        <f>IFERROR(VLOOKUP($A1614,EVENTO!$A$2:$C$4999,2,FALSE),"")</f>
        <v>ADITIVO DE QUANTIDADE</v>
      </c>
      <c r="C1614" s="76" t="str">
        <f>IFERROR(VLOOKUP($A1614,EVENTO!$A$2:$C$4999,3,FALSE),"")</f>
        <v>PREFEITURA  MUNICIPAL DE CAUCAIA - DESENVOLVMENTO SOCIAL</v>
      </c>
      <c r="D1614" s="78" t="s">
        <v>1471</v>
      </c>
      <c r="F1614" s="78">
        <v>8.0</v>
      </c>
      <c r="G1614" s="90">
        <v>41.95</v>
      </c>
    </row>
    <row r="1615">
      <c r="A1615" s="6">
        <v>248.0</v>
      </c>
      <c r="B1615" s="76" t="str">
        <f>IFERROR(VLOOKUP($A1615,EVENTO!$A$2:$C$4999,2,FALSE),"")</f>
        <v>ADITIVO DE PRAZO</v>
      </c>
      <c r="C1615" s="76" t="str">
        <f>IFERROR(VLOOKUP($A1615,EVENTO!$A$2:$C$4999,3,FALSE),"")</f>
        <v>PREFEITURA MUNICIPAL DE ARACATI - GABINETE DO PREFEITO</v>
      </c>
      <c r="D1615" s="78" t="s">
        <v>1544</v>
      </c>
      <c r="E1615" s="6" t="s">
        <v>1545</v>
      </c>
      <c r="F1615" s="78">
        <v>4.0</v>
      </c>
      <c r="G1615" s="79">
        <v>534.71</v>
      </c>
    </row>
    <row r="1616">
      <c r="A1616" s="6">
        <v>248.0</v>
      </c>
      <c r="B1616" s="76" t="str">
        <f>IFERROR(VLOOKUP($A1616,EVENTO!$A$2:$C$4999,2,FALSE),"")</f>
        <v>ADITIVO DE PRAZO</v>
      </c>
      <c r="C1616" s="76" t="str">
        <f>IFERROR(VLOOKUP($A1616,EVENTO!$A$2:$C$4999,3,FALSE),"")</f>
        <v>PREFEITURA MUNICIPAL DE ARACATI - GABINETE DO PREFEITO</v>
      </c>
      <c r="D1616" s="78" t="s">
        <v>1458</v>
      </c>
      <c r="E1616" s="6" t="s">
        <v>1535</v>
      </c>
      <c r="F1616" s="78">
        <v>4.0</v>
      </c>
      <c r="G1616" s="79">
        <v>344.75</v>
      </c>
    </row>
    <row r="1617">
      <c r="A1617" s="6">
        <v>248.0</v>
      </c>
      <c r="B1617" s="76" t="str">
        <f>IFERROR(VLOOKUP($A1617,EVENTO!$A$2:$C$4999,2,FALSE),"")</f>
        <v>ADITIVO DE PRAZO</v>
      </c>
      <c r="C1617" s="76" t="str">
        <f>IFERROR(VLOOKUP($A1617,EVENTO!$A$2:$C$4999,3,FALSE),"")</f>
        <v>PREFEITURA MUNICIPAL DE ARACATI - GABINETE DO PREFEITO</v>
      </c>
      <c r="D1617" s="78" t="s">
        <v>1546</v>
      </c>
      <c r="E1617" s="6" t="s">
        <v>1547</v>
      </c>
      <c r="F1617" s="78">
        <v>3.0</v>
      </c>
      <c r="G1617" s="79">
        <v>270.39</v>
      </c>
    </row>
    <row r="1618">
      <c r="A1618" s="6">
        <v>248.0</v>
      </c>
      <c r="B1618" s="76" t="str">
        <f>IFERROR(VLOOKUP($A1618,EVENTO!$A$2:$C$4999,2,FALSE),"")</f>
        <v>ADITIVO DE PRAZO</v>
      </c>
      <c r="C1618" s="76" t="str">
        <f>IFERROR(VLOOKUP($A1618,EVENTO!$A$2:$C$4999,3,FALSE),"")</f>
        <v>PREFEITURA MUNICIPAL DE ARACATI - GABINETE DO PREFEITO</v>
      </c>
      <c r="D1618" s="78" t="s">
        <v>1456</v>
      </c>
      <c r="E1618" s="6" t="s">
        <v>1548</v>
      </c>
      <c r="F1618" s="78">
        <v>3.0</v>
      </c>
      <c r="G1618" s="79">
        <v>387.36</v>
      </c>
    </row>
    <row r="1619">
      <c r="A1619" s="6">
        <v>248.0</v>
      </c>
      <c r="B1619" s="76" t="str">
        <f>IFERROR(VLOOKUP($A1619,EVENTO!$A$2:$C$4999,2,FALSE),"")</f>
        <v>ADITIVO DE PRAZO</v>
      </c>
      <c r="C1619" s="76" t="str">
        <f>IFERROR(VLOOKUP($A1619,EVENTO!$A$2:$C$4999,3,FALSE),"")</f>
        <v>PREFEITURA MUNICIPAL DE ARACATI - GABINETE DO PREFEITO</v>
      </c>
      <c r="D1619" s="78" t="s">
        <v>1549</v>
      </c>
      <c r="E1619" s="6" t="s">
        <v>1550</v>
      </c>
      <c r="F1619" s="78">
        <v>8.0</v>
      </c>
      <c r="G1619" s="79">
        <v>221.78</v>
      </c>
    </row>
    <row r="1620">
      <c r="A1620" s="6">
        <v>248.0</v>
      </c>
      <c r="B1620" s="76" t="str">
        <f>IFERROR(VLOOKUP($A1620,EVENTO!$A$2:$C$4999,2,FALSE),"")</f>
        <v>ADITIVO DE PRAZO</v>
      </c>
      <c r="C1620" s="76" t="str">
        <f>IFERROR(VLOOKUP($A1620,EVENTO!$A$2:$C$4999,3,FALSE),"")</f>
        <v>PREFEITURA MUNICIPAL DE ARACATI - GABINETE DO PREFEITO</v>
      </c>
      <c r="D1620" s="78" t="s">
        <v>1551</v>
      </c>
      <c r="E1620" s="6" t="s">
        <v>1552</v>
      </c>
      <c r="F1620" s="78">
        <v>8.0</v>
      </c>
      <c r="G1620" s="79">
        <v>173.93</v>
      </c>
    </row>
    <row r="1621">
      <c r="A1621" s="6">
        <v>248.0</v>
      </c>
      <c r="B1621" s="76" t="str">
        <f>IFERROR(VLOOKUP($A1621,EVENTO!$A$2:$C$4999,2,FALSE),"")</f>
        <v>ADITIVO DE PRAZO</v>
      </c>
      <c r="C1621" s="76" t="str">
        <f>IFERROR(VLOOKUP($A1621,EVENTO!$A$2:$C$4999,3,FALSE),"")</f>
        <v>PREFEITURA MUNICIPAL DE ARACATI - GABINETE DO PREFEITO</v>
      </c>
      <c r="D1621" s="87" t="s">
        <v>1553</v>
      </c>
      <c r="F1621" s="78">
        <v>3.0</v>
      </c>
      <c r="G1621" s="79">
        <v>286.34</v>
      </c>
    </row>
    <row r="1622">
      <c r="A1622" s="6">
        <v>248.0</v>
      </c>
      <c r="B1622" s="76" t="str">
        <f>IFERROR(VLOOKUP($A1622,EVENTO!$A$2:$C$4999,2,FALSE),"")</f>
        <v>ADITIVO DE PRAZO</v>
      </c>
      <c r="C1622" s="76" t="str">
        <f>IFERROR(VLOOKUP($A1622,EVENTO!$A$2:$C$4999,3,FALSE),"")</f>
        <v>PREFEITURA MUNICIPAL DE ARACATI - GABINETE DO PREFEITO</v>
      </c>
      <c r="D1622" s="87" t="s">
        <v>1487</v>
      </c>
      <c r="F1622" s="78">
        <v>3.0</v>
      </c>
      <c r="G1622" s="79">
        <v>234.7</v>
      </c>
    </row>
    <row r="1623">
      <c r="A1623" s="6">
        <v>248.0</v>
      </c>
      <c r="B1623" s="76" t="str">
        <f>IFERROR(VLOOKUP($A1623,EVENTO!$A$2:$C$4999,2,FALSE),"")</f>
        <v>ADITIVO DE PRAZO</v>
      </c>
      <c r="C1623" s="76" t="str">
        <f>IFERROR(VLOOKUP($A1623,EVENTO!$A$2:$C$4999,3,FALSE),"")</f>
        <v>PREFEITURA MUNICIPAL DE ARACATI - GABINETE DO PREFEITO</v>
      </c>
      <c r="D1623" s="87" t="s">
        <v>1556</v>
      </c>
      <c r="F1623" s="78">
        <v>2.0</v>
      </c>
      <c r="G1623" s="79">
        <v>148.11</v>
      </c>
    </row>
    <row r="1624">
      <c r="A1624" s="6">
        <v>248.0</v>
      </c>
      <c r="B1624" s="76" t="str">
        <f>IFERROR(VLOOKUP($A1624,EVENTO!$A$2:$C$4999,2,FALSE),"")</f>
        <v>ADITIVO DE PRAZO</v>
      </c>
      <c r="C1624" s="76" t="str">
        <f>IFERROR(VLOOKUP($A1624,EVENTO!$A$2:$C$4999,3,FALSE),"")</f>
        <v>PREFEITURA MUNICIPAL DE ARACATI - GABINETE DO PREFEITO</v>
      </c>
      <c r="D1624" s="81" t="s">
        <v>1384</v>
      </c>
      <c r="F1624" s="78">
        <v>1.0</v>
      </c>
      <c r="G1624" s="79">
        <v>1239.56</v>
      </c>
    </row>
    <row r="1625">
      <c r="A1625" s="6">
        <v>248.0</v>
      </c>
      <c r="B1625" s="76" t="str">
        <f>IFERROR(VLOOKUP($A1625,EVENTO!$A$2:$C$4999,2,FALSE),"")</f>
        <v>ADITIVO DE PRAZO</v>
      </c>
      <c r="C1625" s="76" t="str">
        <f>IFERROR(VLOOKUP($A1625,EVENTO!$A$2:$C$4999,3,FALSE),"")</f>
        <v>PREFEITURA MUNICIPAL DE ARACATI - GABINETE DO PREFEITO</v>
      </c>
      <c r="D1625" s="87" t="s">
        <v>1556</v>
      </c>
      <c r="E1625" s="4"/>
      <c r="F1625" s="78">
        <v>2.0</v>
      </c>
      <c r="G1625" s="92">
        <v>148.11</v>
      </c>
    </row>
    <row r="1626">
      <c r="A1626" s="6">
        <v>248.0</v>
      </c>
      <c r="B1626" s="76" t="str">
        <f>IFERROR(VLOOKUP($A1626,EVENTO!$A$2:$C$4999,2,FALSE),"")</f>
        <v>ADITIVO DE PRAZO</v>
      </c>
      <c r="C1626" s="76" t="str">
        <f>IFERROR(VLOOKUP($A1626,EVENTO!$A$2:$C$4999,3,FALSE),"")</f>
        <v>PREFEITURA MUNICIPAL DE ARACATI - GABINETE DO PREFEITO</v>
      </c>
      <c r="D1626" s="87" t="s">
        <v>1650</v>
      </c>
      <c r="E1626" s="4"/>
      <c r="F1626" s="78">
        <v>1.0</v>
      </c>
      <c r="G1626" s="92">
        <v>201.73</v>
      </c>
    </row>
    <row r="1627">
      <c r="A1627" s="6">
        <v>248.0</v>
      </c>
      <c r="B1627" s="76" t="str">
        <f>IFERROR(VLOOKUP($A1627,EVENTO!$A$2:$C$4999,2,FALSE),"")</f>
        <v>ADITIVO DE PRAZO</v>
      </c>
      <c r="C1627" s="76" t="str">
        <f>IFERROR(VLOOKUP($A1627,EVENTO!$A$2:$C$4999,3,FALSE),"")</f>
        <v>PREFEITURA MUNICIPAL DE ARACATI - GABINETE DO PREFEITO</v>
      </c>
      <c r="D1627" s="87" t="s">
        <v>1580</v>
      </c>
      <c r="E1627" s="4"/>
      <c r="F1627" s="78">
        <v>1.0</v>
      </c>
      <c r="G1627" s="92">
        <v>193.47</v>
      </c>
    </row>
    <row r="1628">
      <c r="A1628" s="6">
        <v>248.0</v>
      </c>
      <c r="B1628" s="76" t="str">
        <f>IFERROR(VLOOKUP($A1628,EVENTO!$A$2:$C$4999,2,FALSE),"")</f>
        <v>ADITIVO DE PRAZO</v>
      </c>
      <c r="C1628" s="76" t="str">
        <f>IFERROR(VLOOKUP($A1628,EVENTO!$A$2:$C$4999,3,FALSE),"")</f>
        <v>PREFEITURA MUNICIPAL DE ARACATI - GABINETE DO PREFEITO</v>
      </c>
      <c r="D1628" s="87" t="s">
        <v>1560</v>
      </c>
      <c r="E1628" s="4"/>
      <c r="F1628" s="78">
        <v>2.0</v>
      </c>
      <c r="G1628" s="92">
        <v>50.3</v>
      </c>
    </row>
    <row r="1629">
      <c r="A1629" s="6">
        <v>248.0</v>
      </c>
      <c r="B1629" s="76" t="str">
        <f>IFERROR(VLOOKUP($A1629,EVENTO!$A$2:$C$4999,2,FALSE),"")</f>
        <v>ADITIVO DE PRAZO</v>
      </c>
      <c r="C1629" s="76" t="str">
        <f>IFERROR(VLOOKUP($A1629,EVENTO!$A$2:$C$4999,3,FALSE),"")</f>
        <v>PREFEITURA MUNICIPAL DE ARACATI - GABINETE DO PREFEITO</v>
      </c>
      <c r="D1629" s="87" t="s">
        <v>1575</v>
      </c>
      <c r="E1629" s="4"/>
      <c r="F1629" s="78">
        <v>1.0</v>
      </c>
      <c r="G1629" s="92">
        <v>13.42</v>
      </c>
    </row>
    <row r="1630">
      <c r="A1630" s="6">
        <v>248.0</v>
      </c>
      <c r="B1630" s="76" t="str">
        <f>IFERROR(VLOOKUP($A1630,EVENTO!$A$2:$C$4999,2,FALSE),"")</f>
        <v>ADITIVO DE PRAZO</v>
      </c>
      <c r="C1630" s="76" t="str">
        <f>IFERROR(VLOOKUP($A1630,EVENTO!$A$2:$C$4999,3,FALSE),"")</f>
        <v>PREFEITURA MUNICIPAL DE ARACATI - GABINETE DO PREFEITO</v>
      </c>
      <c r="D1630" s="87" t="s">
        <v>1557</v>
      </c>
      <c r="E1630" s="4"/>
      <c r="F1630" s="78">
        <v>3.0</v>
      </c>
      <c r="G1630" s="92">
        <v>91.18</v>
      </c>
    </row>
    <row r="1631">
      <c r="A1631" s="6">
        <v>248.0</v>
      </c>
      <c r="B1631" s="76" t="str">
        <f>IFERROR(VLOOKUP($A1631,EVENTO!$A$2:$C$4999,2,FALSE),"")</f>
        <v>ADITIVO DE PRAZO</v>
      </c>
      <c r="C1631" s="76" t="str">
        <f>IFERROR(VLOOKUP($A1631,EVENTO!$A$2:$C$4999,3,FALSE),"")</f>
        <v>PREFEITURA MUNICIPAL DE ARACATI - GABINETE DO PREFEITO</v>
      </c>
      <c r="D1631" s="87" t="s">
        <v>1538</v>
      </c>
      <c r="E1631" s="4"/>
      <c r="F1631" s="78">
        <v>1.0</v>
      </c>
      <c r="G1631" s="92">
        <v>199.46</v>
      </c>
    </row>
    <row r="1632">
      <c r="A1632" s="6">
        <v>248.0</v>
      </c>
      <c r="B1632" s="76" t="str">
        <f>IFERROR(VLOOKUP($A1632,EVENTO!$A$2:$C$4999,2,FALSE),"")</f>
        <v>ADITIVO DE PRAZO</v>
      </c>
      <c r="C1632" s="76" t="str">
        <f>IFERROR(VLOOKUP($A1632,EVENTO!$A$2:$C$4999,3,FALSE),"")</f>
        <v>PREFEITURA MUNICIPAL DE ARACATI - GABINETE DO PREFEITO</v>
      </c>
      <c r="D1632" s="87" t="s">
        <v>1644</v>
      </c>
      <c r="E1632" s="4"/>
      <c r="F1632" s="78">
        <v>3.0</v>
      </c>
      <c r="G1632" s="93">
        <v>41.95</v>
      </c>
    </row>
    <row r="1633">
      <c r="A1633" s="6">
        <v>248.0</v>
      </c>
      <c r="B1633" s="76" t="str">
        <f>IFERROR(VLOOKUP($A1633,EVENTO!$A$2:$C$4999,2,FALSE),"")</f>
        <v>ADITIVO DE PRAZO</v>
      </c>
      <c r="C1633" s="76" t="str">
        <f>IFERROR(VLOOKUP($A1633,EVENTO!$A$2:$C$4999,3,FALSE),"")</f>
        <v>PREFEITURA MUNICIPAL DE ARACATI - GABINETE DO PREFEITO</v>
      </c>
      <c r="D1633" s="87" t="s">
        <v>1652</v>
      </c>
      <c r="F1633" s="78">
        <v>3.0</v>
      </c>
      <c r="G1633" s="93">
        <v>169.29</v>
      </c>
    </row>
    <row r="1634">
      <c r="A1634" s="6">
        <v>248.0</v>
      </c>
      <c r="B1634" s="76" t="str">
        <f>IFERROR(VLOOKUP($A1634,EVENTO!$A$2:$C$4999,2,FALSE),"")</f>
        <v>ADITIVO DE PRAZO</v>
      </c>
      <c r="C1634" s="76" t="str">
        <f>IFERROR(VLOOKUP($A1634,EVENTO!$A$2:$C$4999,3,FALSE),"")</f>
        <v>PREFEITURA MUNICIPAL DE ARACATI - GABINETE DO PREFEITO</v>
      </c>
      <c r="D1634" s="87" t="s">
        <v>1653</v>
      </c>
      <c r="F1634" s="78">
        <v>2.0</v>
      </c>
      <c r="G1634" s="93">
        <v>105.09</v>
      </c>
    </row>
    <row r="1635">
      <c r="A1635" s="6">
        <v>307.0</v>
      </c>
      <c r="B1635" s="76" t="str">
        <f>IFERROR(VLOOKUP($A1635,EVENTO!$A$2:$C$4999,2,FALSE),"")</f>
        <v>CADASTRO</v>
      </c>
      <c r="C1635" s="76" t="str">
        <f>IFERROR(VLOOKUP($A1635,EVENTO!$A$2:$C$4999,3,FALSE),"")</f>
        <v>PREFEITURA MUNICIPAL DE ARACATI - IQUAMA</v>
      </c>
      <c r="D1635" s="100" t="s">
        <v>1544</v>
      </c>
      <c r="E1635" s="4" t="s">
        <v>1545</v>
      </c>
      <c r="F1635" s="78">
        <v>1.0</v>
      </c>
      <c r="G1635" s="92">
        <v>534.71</v>
      </c>
    </row>
    <row r="1636">
      <c r="A1636" s="6">
        <v>307.0</v>
      </c>
      <c r="B1636" s="76" t="str">
        <f>IFERROR(VLOOKUP($A1636,EVENTO!$A$2:$C$4999,2,FALSE),"")</f>
        <v>CADASTRO</v>
      </c>
      <c r="C1636" s="76" t="str">
        <f>IFERROR(VLOOKUP($A1636,EVENTO!$A$2:$C$4999,3,FALSE),"")</f>
        <v>PREFEITURA MUNICIPAL DE ARACATI - IQUAMA</v>
      </c>
      <c r="D1636" s="100" t="s">
        <v>1456</v>
      </c>
      <c r="E1636" s="4" t="s">
        <v>1548</v>
      </c>
      <c r="F1636" s="78">
        <v>3.0</v>
      </c>
      <c r="G1636" s="92">
        <v>387.36</v>
      </c>
    </row>
    <row r="1637">
      <c r="A1637" s="6">
        <v>307.0</v>
      </c>
      <c r="B1637" s="76" t="str">
        <f>IFERROR(VLOOKUP($A1637,EVENTO!$A$2:$C$4999,2,FALSE),"")</f>
        <v>CADASTRO</v>
      </c>
      <c r="C1637" s="76" t="str">
        <f>IFERROR(VLOOKUP($A1637,EVENTO!$A$2:$C$4999,3,FALSE),"")</f>
        <v>PREFEITURA MUNICIPAL DE ARACATI - IQUAMA</v>
      </c>
      <c r="D1637" s="100" t="s">
        <v>1549</v>
      </c>
      <c r="E1637" s="4" t="s">
        <v>1550</v>
      </c>
      <c r="F1637" s="78">
        <v>6.0</v>
      </c>
      <c r="G1637" s="92">
        <v>221.78</v>
      </c>
    </row>
    <row r="1638">
      <c r="A1638" s="6">
        <v>307.0</v>
      </c>
      <c r="B1638" s="76" t="str">
        <f>IFERROR(VLOOKUP($A1638,EVENTO!$A$2:$C$4999,2,FALSE),"")</f>
        <v>CADASTRO</v>
      </c>
      <c r="C1638" s="76" t="str">
        <f>IFERROR(VLOOKUP($A1638,EVENTO!$A$2:$C$4999,3,FALSE),"")</f>
        <v>PREFEITURA MUNICIPAL DE ARACATI - IQUAMA</v>
      </c>
      <c r="D1638" s="100" t="s">
        <v>1551</v>
      </c>
      <c r="E1638" s="4" t="s">
        <v>1552</v>
      </c>
      <c r="F1638" s="78">
        <v>10.0</v>
      </c>
      <c r="G1638" s="92">
        <v>173.93</v>
      </c>
    </row>
    <row r="1639">
      <c r="A1639" s="6">
        <v>307.0</v>
      </c>
      <c r="B1639" s="76" t="str">
        <f>IFERROR(VLOOKUP($A1639,EVENTO!$A$2:$C$4999,2,FALSE),"")</f>
        <v>CADASTRO</v>
      </c>
      <c r="C1639" s="76" t="str">
        <f>IFERROR(VLOOKUP($A1639,EVENTO!$A$2:$C$4999,3,FALSE),"")</f>
        <v>PREFEITURA MUNICIPAL DE ARACATI - IQUAMA</v>
      </c>
      <c r="D1639" s="100" t="s">
        <v>1553</v>
      </c>
      <c r="E1639" s="4"/>
      <c r="F1639" s="78">
        <v>3.0</v>
      </c>
      <c r="G1639" s="92">
        <v>286.34</v>
      </c>
    </row>
    <row r="1640">
      <c r="A1640" s="6">
        <v>307.0</v>
      </c>
      <c r="B1640" s="76" t="str">
        <f>IFERROR(VLOOKUP($A1640,EVENTO!$A$2:$C$4999,2,FALSE),"")</f>
        <v>CADASTRO</v>
      </c>
      <c r="C1640" s="76" t="str">
        <f>IFERROR(VLOOKUP($A1640,EVENTO!$A$2:$C$4999,3,FALSE),"")</f>
        <v>PREFEITURA MUNICIPAL DE ARACATI - IQUAMA</v>
      </c>
      <c r="D1640" s="100" t="s">
        <v>1580</v>
      </c>
      <c r="E1640" s="4"/>
      <c r="F1640" s="78">
        <v>1.0</v>
      </c>
      <c r="G1640" s="92">
        <v>193.47</v>
      </c>
    </row>
    <row r="1641">
      <c r="A1641" s="6">
        <v>307.0</v>
      </c>
      <c r="B1641" s="76" t="str">
        <f>IFERROR(VLOOKUP($A1641,EVENTO!$A$2:$C$4999,2,FALSE),"")</f>
        <v>CADASTRO</v>
      </c>
      <c r="C1641" s="76" t="str">
        <f>IFERROR(VLOOKUP($A1641,EVENTO!$A$2:$C$4999,3,FALSE),"")</f>
        <v>PREFEITURA MUNICIPAL DE ARACATI - IQUAMA</v>
      </c>
      <c r="D1641" s="100" t="s">
        <v>1560</v>
      </c>
      <c r="E1641" s="4"/>
      <c r="F1641" s="78">
        <v>2.0</v>
      </c>
      <c r="G1641" s="92">
        <v>50.3</v>
      </c>
    </row>
    <row r="1642">
      <c r="A1642" s="6">
        <v>307.0</v>
      </c>
      <c r="B1642" s="76" t="str">
        <f>IFERROR(VLOOKUP($A1642,EVENTO!$A$2:$C$4999,2,FALSE),"")</f>
        <v>CADASTRO</v>
      </c>
      <c r="C1642" s="76" t="str">
        <f>IFERROR(VLOOKUP($A1642,EVENTO!$A$2:$C$4999,3,FALSE),"")</f>
        <v>PREFEITURA MUNICIPAL DE ARACATI - IQUAMA</v>
      </c>
      <c r="D1642" s="100" t="s">
        <v>1575</v>
      </c>
      <c r="E1642" s="4"/>
      <c r="F1642" s="78">
        <v>2.0</v>
      </c>
      <c r="G1642" s="92">
        <v>13.42</v>
      </c>
    </row>
    <row r="1643">
      <c r="A1643" s="6">
        <v>307.0</v>
      </c>
      <c r="B1643" s="76" t="str">
        <f>IFERROR(VLOOKUP($A1643,EVENTO!$A$2:$C$4999,2,FALSE),"")</f>
        <v>CADASTRO</v>
      </c>
      <c r="C1643" s="76" t="str">
        <f>IFERROR(VLOOKUP($A1643,EVENTO!$A$2:$C$4999,3,FALSE),"")</f>
        <v>PREFEITURA MUNICIPAL DE ARACATI - IQUAMA</v>
      </c>
      <c r="D1643" s="100" t="s">
        <v>1557</v>
      </c>
      <c r="E1643" s="4"/>
      <c r="F1643" s="78">
        <v>3.0</v>
      </c>
      <c r="G1643" s="92">
        <v>91.18</v>
      </c>
    </row>
    <row r="1644">
      <c r="A1644" s="6">
        <v>307.0</v>
      </c>
      <c r="B1644" s="76" t="str">
        <f>IFERROR(VLOOKUP($A1644,EVENTO!$A$2:$C$4999,2,FALSE),"")</f>
        <v>CADASTRO</v>
      </c>
      <c r="C1644" s="76" t="str">
        <f>IFERROR(VLOOKUP($A1644,EVENTO!$A$2:$C$4999,3,FALSE),"")</f>
        <v>PREFEITURA MUNICIPAL DE ARACATI - IQUAMA</v>
      </c>
      <c r="D1644" s="78" t="s">
        <v>1639</v>
      </c>
      <c r="F1644" s="78">
        <v>1.0</v>
      </c>
      <c r="G1644" s="101">
        <v>181.17</v>
      </c>
    </row>
    <row r="1645">
      <c r="A1645" s="6">
        <v>308.0</v>
      </c>
      <c r="B1645" s="76" t="str">
        <f>IFERROR(VLOOKUP($A1645,EVENTO!$A$2:$C$4999,2,FALSE),"")</f>
        <v>ADITIVO DE PRAZO</v>
      </c>
      <c r="C1645" s="76" t="str">
        <f>IFERROR(VLOOKUP($A1645,EVENTO!$A$2:$C$4999,3,FALSE),"")</f>
        <v>PREFEITURA MUNICIPAL DE ARACATI - IQUAMA</v>
      </c>
      <c r="D1645" s="100" t="s">
        <v>1544</v>
      </c>
      <c r="E1645" s="4" t="s">
        <v>1545</v>
      </c>
      <c r="F1645" s="78">
        <v>1.0</v>
      </c>
      <c r="G1645" s="92">
        <v>534.71</v>
      </c>
    </row>
    <row r="1646">
      <c r="A1646" s="6">
        <v>308.0</v>
      </c>
      <c r="B1646" s="76" t="str">
        <f>IFERROR(VLOOKUP($A1646,EVENTO!$A$2:$C$4999,2,FALSE),"")</f>
        <v>ADITIVO DE PRAZO</v>
      </c>
      <c r="C1646" s="76" t="str">
        <f>IFERROR(VLOOKUP($A1646,EVENTO!$A$2:$C$4999,3,FALSE),"")</f>
        <v>PREFEITURA MUNICIPAL DE ARACATI - IQUAMA</v>
      </c>
      <c r="D1646" s="100" t="s">
        <v>1456</v>
      </c>
      <c r="E1646" s="4" t="s">
        <v>1548</v>
      </c>
      <c r="F1646" s="78">
        <v>3.0</v>
      </c>
      <c r="G1646" s="92">
        <v>387.36</v>
      </c>
    </row>
    <row r="1647">
      <c r="A1647" s="6">
        <v>308.0</v>
      </c>
      <c r="B1647" s="76" t="str">
        <f>IFERROR(VLOOKUP($A1647,EVENTO!$A$2:$C$4999,2,FALSE),"")</f>
        <v>ADITIVO DE PRAZO</v>
      </c>
      <c r="C1647" s="76" t="str">
        <f>IFERROR(VLOOKUP($A1647,EVENTO!$A$2:$C$4999,3,FALSE),"")</f>
        <v>PREFEITURA MUNICIPAL DE ARACATI - IQUAMA</v>
      </c>
      <c r="D1647" s="100" t="s">
        <v>1549</v>
      </c>
      <c r="E1647" s="4" t="s">
        <v>1550</v>
      </c>
      <c r="F1647" s="78">
        <v>6.0</v>
      </c>
      <c r="G1647" s="92">
        <v>221.78</v>
      </c>
    </row>
    <row r="1648">
      <c r="A1648" s="6">
        <v>308.0</v>
      </c>
      <c r="B1648" s="76" t="str">
        <f>IFERROR(VLOOKUP($A1648,EVENTO!$A$2:$C$4999,2,FALSE),"")</f>
        <v>ADITIVO DE PRAZO</v>
      </c>
      <c r="C1648" s="76" t="str">
        <f>IFERROR(VLOOKUP($A1648,EVENTO!$A$2:$C$4999,3,FALSE),"")</f>
        <v>PREFEITURA MUNICIPAL DE ARACATI - IQUAMA</v>
      </c>
      <c r="D1648" s="100" t="s">
        <v>1551</v>
      </c>
      <c r="E1648" s="4" t="s">
        <v>1552</v>
      </c>
      <c r="F1648" s="78">
        <v>10.0</v>
      </c>
      <c r="G1648" s="92">
        <v>173.93</v>
      </c>
    </row>
    <row r="1649">
      <c r="A1649" s="6">
        <v>308.0</v>
      </c>
      <c r="B1649" s="76" t="str">
        <f>IFERROR(VLOOKUP($A1649,EVENTO!$A$2:$C$4999,2,FALSE),"")</f>
        <v>ADITIVO DE PRAZO</v>
      </c>
      <c r="C1649" s="76" t="str">
        <f>IFERROR(VLOOKUP($A1649,EVENTO!$A$2:$C$4999,3,FALSE),"")</f>
        <v>PREFEITURA MUNICIPAL DE ARACATI - IQUAMA</v>
      </c>
      <c r="D1649" s="100" t="s">
        <v>1553</v>
      </c>
      <c r="E1649" s="4"/>
      <c r="F1649" s="78">
        <v>3.0</v>
      </c>
      <c r="G1649" s="92">
        <v>286.34</v>
      </c>
    </row>
    <row r="1650">
      <c r="A1650" s="6">
        <v>308.0</v>
      </c>
      <c r="B1650" s="76" t="str">
        <f>IFERROR(VLOOKUP($A1650,EVENTO!$A$2:$C$4999,2,FALSE),"")</f>
        <v>ADITIVO DE PRAZO</v>
      </c>
      <c r="C1650" s="76" t="str">
        <f>IFERROR(VLOOKUP($A1650,EVENTO!$A$2:$C$4999,3,FALSE),"")</f>
        <v>PREFEITURA MUNICIPAL DE ARACATI - IQUAMA</v>
      </c>
      <c r="D1650" s="100" t="s">
        <v>1580</v>
      </c>
      <c r="E1650" s="4"/>
      <c r="F1650" s="78">
        <v>1.0</v>
      </c>
      <c r="G1650" s="92">
        <v>193.47</v>
      </c>
    </row>
    <row r="1651">
      <c r="A1651" s="6">
        <v>308.0</v>
      </c>
      <c r="B1651" s="76" t="str">
        <f>IFERROR(VLOOKUP($A1651,EVENTO!$A$2:$C$4999,2,FALSE),"")</f>
        <v>ADITIVO DE PRAZO</v>
      </c>
      <c r="C1651" s="76" t="str">
        <f>IFERROR(VLOOKUP($A1651,EVENTO!$A$2:$C$4999,3,FALSE),"")</f>
        <v>PREFEITURA MUNICIPAL DE ARACATI - IQUAMA</v>
      </c>
      <c r="D1651" s="100" t="s">
        <v>1560</v>
      </c>
      <c r="E1651" s="4"/>
      <c r="F1651" s="78">
        <v>2.0</v>
      </c>
      <c r="G1651" s="92">
        <v>50.3</v>
      </c>
    </row>
    <row r="1652">
      <c r="A1652" s="6">
        <v>308.0</v>
      </c>
      <c r="B1652" s="76" t="str">
        <f>IFERROR(VLOOKUP($A1652,EVENTO!$A$2:$C$4999,2,FALSE),"")</f>
        <v>ADITIVO DE PRAZO</v>
      </c>
      <c r="C1652" s="76" t="str">
        <f>IFERROR(VLOOKUP($A1652,EVENTO!$A$2:$C$4999,3,FALSE),"")</f>
        <v>PREFEITURA MUNICIPAL DE ARACATI - IQUAMA</v>
      </c>
      <c r="D1652" s="100" t="s">
        <v>1575</v>
      </c>
      <c r="E1652" s="4"/>
      <c r="F1652" s="78">
        <v>2.0</v>
      </c>
      <c r="G1652" s="92">
        <v>13.42</v>
      </c>
    </row>
    <row r="1653">
      <c r="A1653" s="6">
        <v>308.0</v>
      </c>
      <c r="B1653" s="76" t="str">
        <f>IFERROR(VLOOKUP($A1653,EVENTO!$A$2:$C$4999,2,FALSE),"")</f>
        <v>ADITIVO DE PRAZO</v>
      </c>
      <c r="C1653" s="76" t="str">
        <f>IFERROR(VLOOKUP($A1653,EVENTO!$A$2:$C$4999,3,FALSE),"")</f>
        <v>PREFEITURA MUNICIPAL DE ARACATI - IQUAMA</v>
      </c>
      <c r="D1653" s="100" t="s">
        <v>1557</v>
      </c>
      <c r="E1653" s="4"/>
      <c r="F1653" s="78">
        <v>3.0</v>
      </c>
      <c r="G1653" s="92">
        <v>91.18</v>
      </c>
    </row>
    <row r="1654">
      <c r="A1654" s="6">
        <v>308.0</v>
      </c>
      <c r="B1654" s="76" t="str">
        <f>IFERROR(VLOOKUP($A1654,EVENTO!$A$2:$C$4999,2,FALSE),"")</f>
        <v>ADITIVO DE PRAZO</v>
      </c>
      <c r="C1654" s="76" t="str">
        <f>IFERROR(VLOOKUP($A1654,EVENTO!$A$2:$C$4999,3,FALSE),"")</f>
        <v>PREFEITURA MUNICIPAL DE ARACATI - IQUAMA</v>
      </c>
      <c r="D1654" s="78" t="s">
        <v>1639</v>
      </c>
      <c r="F1654" s="78">
        <v>1.0</v>
      </c>
      <c r="G1654" s="101">
        <v>181.17</v>
      </c>
    </row>
    <row r="1655">
      <c r="A1655" s="6">
        <v>309.0</v>
      </c>
      <c r="B1655" s="76" t="str">
        <f>IFERROR(VLOOKUP($A1655,EVENTO!$A$2:$C$4999,2,FALSE),"")</f>
        <v>ADITIVO DE PRAZO</v>
      </c>
      <c r="C1655" s="76" t="str">
        <f>IFERROR(VLOOKUP($A1655,EVENTO!$A$2:$C$4999,3,FALSE),"")</f>
        <v>PREFEITURA MUNICIPAL DE ARACATI - IQUAMA</v>
      </c>
      <c r="D1655" s="100" t="s">
        <v>1544</v>
      </c>
      <c r="E1655" s="4" t="s">
        <v>1545</v>
      </c>
      <c r="F1655" s="78">
        <v>1.0</v>
      </c>
      <c r="G1655" s="92">
        <v>534.71</v>
      </c>
    </row>
    <row r="1656">
      <c r="A1656" s="6">
        <v>309.0</v>
      </c>
      <c r="B1656" s="76" t="str">
        <f>IFERROR(VLOOKUP($A1656,EVENTO!$A$2:$C$4999,2,FALSE),"")</f>
        <v>ADITIVO DE PRAZO</v>
      </c>
      <c r="C1656" s="76" t="str">
        <f>IFERROR(VLOOKUP($A1656,EVENTO!$A$2:$C$4999,3,FALSE),"")</f>
        <v>PREFEITURA MUNICIPAL DE ARACATI - IQUAMA</v>
      </c>
      <c r="D1656" s="100" t="s">
        <v>1456</v>
      </c>
      <c r="E1656" s="4" t="s">
        <v>1548</v>
      </c>
      <c r="F1656" s="78">
        <v>5.0</v>
      </c>
      <c r="G1656" s="92">
        <v>387.36</v>
      </c>
    </row>
    <row r="1657">
      <c r="A1657" s="6">
        <v>309.0</v>
      </c>
      <c r="B1657" s="76" t="str">
        <f>IFERROR(VLOOKUP($A1657,EVENTO!$A$2:$C$4999,2,FALSE),"")</f>
        <v>ADITIVO DE PRAZO</v>
      </c>
      <c r="C1657" s="76" t="str">
        <f>IFERROR(VLOOKUP($A1657,EVENTO!$A$2:$C$4999,3,FALSE),"")</f>
        <v>PREFEITURA MUNICIPAL DE ARACATI - IQUAMA</v>
      </c>
      <c r="D1657" s="100" t="s">
        <v>1549</v>
      </c>
      <c r="E1657" s="4" t="s">
        <v>1550</v>
      </c>
      <c r="F1657" s="78">
        <v>6.0</v>
      </c>
      <c r="G1657" s="92">
        <v>221.78</v>
      </c>
    </row>
    <row r="1658">
      <c r="A1658" s="6">
        <v>309.0</v>
      </c>
      <c r="B1658" s="76" t="str">
        <f>IFERROR(VLOOKUP($A1658,EVENTO!$A$2:$C$4999,2,FALSE),"")</f>
        <v>ADITIVO DE PRAZO</v>
      </c>
      <c r="C1658" s="76" t="str">
        <f>IFERROR(VLOOKUP($A1658,EVENTO!$A$2:$C$4999,3,FALSE),"")</f>
        <v>PREFEITURA MUNICIPAL DE ARACATI - IQUAMA</v>
      </c>
      <c r="D1658" s="100" t="s">
        <v>1551</v>
      </c>
      <c r="E1658" s="4" t="s">
        <v>1552</v>
      </c>
      <c r="F1658" s="78">
        <v>10.0</v>
      </c>
      <c r="G1658" s="92">
        <v>173.93</v>
      </c>
    </row>
    <row r="1659">
      <c r="A1659" s="6">
        <v>309.0</v>
      </c>
      <c r="B1659" s="76" t="str">
        <f>IFERROR(VLOOKUP($A1659,EVENTO!$A$2:$C$4999,2,FALSE),"")</f>
        <v>ADITIVO DE PRAZO</v>
      </c>
      <c r="C1659" s="76" t="str">
        <f>IFERROR(VLOOKUP($A1659,EVENTO!$A$2:$C$4999,3,FALSE),"")</f>
        <v>PREFEITURA MUNICIPAL DE ARACATI - IQUAMA</v>
      </c>
      <c r="D1659" s="100" t="s">
        <v>1553</v>
      </c>
      <c r="E1659" s="4"/>
      <c r="F1659" s="78">
        <v>3.0</v>
      </c>
      <c r="G1659" s="92">
        <v>286.34</v>
      </c>
    </row>
    <row r="1660">
      <c r="A1660" s="6">
        <v>309.0</v>
      </c>
      <c r="B1660" s="76" t="str">
        <f>IFERROR(VLOOKUP($A1660,EVENTO!$A$2:$C$4999,2,FALSE),"")</f>
        <v>ADITIVO DE PRAZO</v>
      </c>
      <c r="C1660" s="76" t="str">
        <f>IFERROR(VLOOKUP($A1660,EVENTO!$A$2:$C$4999,3,FALSE),"")</f>
        <v>PREFEITURA MUNICIPAL DE ARACATI - IQUAMA</v>
      </c>
      <c r="D1660" s="100" t="s">
        <v>1580</v>
      </c>
      <c r="E1660" s="4"/>
      <c r="F1660" s="78">
        <v>1.0</v>
      </c>
      <c r="G1660" s="92">
        <v>193.47</v>
      </c>
    </row>
    <row r="1661">
      <c r="A1661" s="6">
        <v>309.0</v>
      </c>
      <c r="B1661" s="76" t="str">
        <f>IFERROR(VLOOKUP($A1661,EVENTO!$A$2:$C$4999,2,FALSE),"")</f>
        <v>ADITIVO DE PRAZO</v>
      </c>
      <c r="C1661" s="76" t="str">
        <f>IFERROR(VLOOKUP($A1661,EVENTO!$A$2:$C$4999,3,FALSE),"")</f>
        <v>PREFEITURA MUNICIPAL DE ARACATI - IQUAMA</v>
      </c>
      <c r="D1661" s="100" t="s">
        <v>1560</v>
      </c>
      <c r="E1661" s="4"/>
      <c r="F1661" s="78">
        <v>2.0</v>
      </c>
      <c r="G1661" s="92">
        <v>50.3</v>
      </c>
    </row>
    <row r="1662">
      <c r="A1662" s="6">
        <v>309.0</v>
      </c>
      <c r="B1662" s="76" t="str">
        <f>IFERROR(VLOOKUP($A1662,EVENTO!$A$2:$C$4999,2,FALSE),"")</f>
        <v>ADITIVO DE PRAZO</v>
      </c>
      <c r="C1662" s="76" t="str">
        <f>IFERROR(VLOOKUP($A1662,EVENTO!$A$2:$C$4999,3,FALSE),"")</f>
        <v>PREFEITURA MUNICIPAL DE ARACATI - IQUAMA</v>
      </c>
      <c r="D1662" s="100" t="s">
        <v>1575</v>
      </c>
      <c r="E1662" s="4"/>
      <c r="F1662" s="78">
        <v>2.0</v>
      </c>
      <c r="G1662" s="92">
        <v>13.42</v>
      </c>
    </row>
    <row r="1663">
      <c r="A1663" s="6">
        <v>309.0</v>
      </c>
      <c r="B1663" s="76" t="str">
        <f>IFERROR(VLOOKUP($A1663,EVENTO!$A$2:$C$4999,2,FALSE),"")</f>
        <v>ADITIVO DE PRAZO</v>
      </c>
      <c r="C1663" s="76" t="str">
        <f>IFERROR(VLOOKUP($A1663,EVENTO!$A$2:$C$4999,3,FALSE),"")</f>
        <v>PREFEITURA MUNICIPAL DE ARACATI - IQUAMA</v>
      </c>
      <c r="D1663" s="100" t="s">
        <v>1557</v>
      </c>
      <c r="E1663" s="4"/>
      <c r="F1663" s="78">
        <v>3.0</v>
      </c>
      <c r="G1663" s="92">
        <v>91.18</v>
      </c>
    </row>
    <row r="1664">
      <c r="A1664" s="6">
        <v>309.0</v>
      </c>
      <c r="B1664" s="76" t="str">
        <f>IFERROR(VLOOKUP($A1664,EVENTO!$A$2:$C$4999,2,FALSE),"")</f>
        <v>ADITIVO DE PRAZO</v>
      </c>
      <c r="C1664" s="76" t="str">
        <f>IFERROR(VLOOKUP($A1664,EVENTO!$A$2:$C$4999,3,FALSE),"")</f>
        <v>PREFEITURA MUNICIPAL DE ARACATI - IQUAMA</v>
      </c>
      <c r="D1664" s="78" t="s">
        <v>1639</v>
      </c>
      <c r="F1664" s="78">
        <v>1.0</v>
      </c>
      <c r="G1664" s="101">
        <v>181.17</v>
      </c>
    </row>
    <row r="1665">
      <c r="A1665" s="6">
        <v>310.0</v>
      </c>
      <c r="B1665" s="76" t="str">
        <f>IFERROR(VLOOKUP($A1665,EVENTO!$A$2:$C$4999,2,FALSE),"")</f>
        <v>ADITIVO DE PRAZO</v>
      </c>
      <c r="C1665" s="76" t="str">
        <f>IFERROR(VLOOKUP($A1665,EVENTO!$A$2:$C$4999,3,FALSE),"")</f>
        <v>PREFEITURA MUNICIPAL DE ARACATI - IQUAMA</v>
      </c>
      <c r="D1665" s="100" t="s">
        <v>1544</v>
      </c>
      <c r="E1665" s="4" t="s">
        <v>1545</v>
      </c>
      <c r="F1665" s="78">
        <v>1.0</v>
      </c>
      <c r="G1665" s="92">
        <v>534.71</v>
      </c>
    </row>
    <row r="1666">
      <c r="A1666" s="6">
        <v>310.0</v>
      </c>
      <c r="B1666" s="76" t="str">
        <f>IFERROR(VLOOKUP($A1666,EVENTO!$A$2:$C$4999,2,FALSE),"")</f>
        <v>ADITIVO DE PRAZO</v>
      </c>
      <c r="C1666" s="76" t="str">
        <f>IFERROR(VLOOKUP($A1666,EVENTO!$A$2:$C$4999,3,FALSE),"")</f>
        <v>PREFEITURA MUNICIPAL DE ARACATI - IQUAMA</v>
      </c>
      <c r="D1666" s="100" t="s">
        <v>1456</v>
      </c>
      <c r="E1666" s="4" t="s">
        <v>1548</v>
      </c>
      <c r="F1666" s="78">
        <v>5.0</v>
      </c>
      <c r="G1666" s="92">
        <v>387.36</v>
      </c>
    </row>
    <row r="1667">
      <c r="A1667" s="6">
        <v>310.0</v>
      </c>
      <c r="B1667" s="76" t="str">
        <f>IFERROR(VLOOKUP($A1667,EVENTO!$A$2:$C$4999,2,FALSE),"")</f>
        <v>ADITIVO DE PRAZO</v>
      </c>
      <c r="C1667" s="76" t="str">
        <f>IFERROR(VLOOKUP($A1667,EVENTO!$A$2:$C$4999,3,FALSE),"")</f>
        <v>PREFEITURA MUNICIPAL DE ARACATI - IQUAMA</v>
      </c>
      <c r="D1667" s="100" t="s">
        <v>1549</v>
      </c>
      <c r="E1667" s="4" t="s">
        <v>1550</v>
      </c>
      <c r="F1667" s="78">
        <v>6.0</v>
      </c>
      <c r="G1667" s="92">
        <v>221.78</v>
      </c>
    </row>
    <row r="1668">
      <c r="A1668" s="6">
        <v>310.0</v>
      </c>
      <c r="B1668" s="76" t="str">
        <f>IFERROR(VLOOKUP($A1668,EVENTO!$A$2:$C$4999,2,FALSE),"")</f>
        <v>ADITIVO DE PRAZO</v>
      </c>
      <c r="C1668" s="76" t="str">
        <f>IFERROR(VLOOKUP($A1668,EVENTO!$A$2:$C$4999,3,FALSE),"")</f>
        <v>PREFEITURA MUNICIPAL DE ARACATI - IQUAMA</v>
      </c>
      <c r="D1668" s="100" t="s">
        <v>1551</v>
      </c>
      <c r="E1668" s="4" t="s">
        <v>1552</v>
      </c>
      <c r="F1668" s="78">
        <v>10.0</v>
      </c>
      <c r="G1668" s="92">
        <v>173.93</v>
      </c>
    </row>
    <row r="1669">
      <c r="A1669" s="6">
        <v>310.0</v>
      </c>
      <c r="B1669" s="76" t="str">
        <f>IFERROR(VLOOKUP($A1669,EVENTO!$A$2:$C$4999,2,FALSE),"")</f>
        <v>ADITIVO DE PRAZO</v>
      </c>
      <c r="C1669" s="76" t="str">
        <f>IFERROR(VLOOKUP($A1669,EVENTO!$A$2:$C$4999,3,FALSE),"")</f>
        <v>PREFEITURA MUNICIPAL DE ARACATI - IQUAMA</v>
      </c>
      <c r="D1669" s="100" t="s">
        <v>1553</v>
      </c>
      <c r="E1669" s="4"/>
      <c r="F1669" s="78">
        <v>3.0</v>
      </c>
      <c r="G1669" s="92">
        <v>286.34</v>
      </c>
    </row>
    <row r="1670">
      <c r="A1670" s="6">
        <v>310.0</v>
      </c>
      <c r="B1670" s="76" t="str">
        <f>IFERROR(VLOOKUP($A1670,EVENTO!$A$2:$C$4999,2,FALSE),"")</f>
        <v>ADITIVO DE PRAZO</v>
      </c>
      <c r="C1670" s="76" t="str">
        <f>IFERROR(VLOOKUP($A1670,EVENTO!$A$2:$C$4999,3,FALSE),"")</f>
        <v>PREFEITURA MUNICIPAL DE ARACATI - IQUAMA</v>
      </c>
      <c r="D1670" s="100" t="s">
        <v>1580</v>
      </c>
      <c r="E1670" s="4"/>
      <c r="F1670" s="78">
        <v>1.0</v>
      </c>
      <c r="G1670" s="92">
        <v>193.47</v>
      </c>
    </row>
    <row r="1671">
      <c r="A1671" s="6">
        <v>310.0</v>
      </c>
      <c r="B1671" s="76" t="str">
        <f>IFERROR(VLOOKUP($A1671,EVENTO!$A$2:$C$4999,2,FALSE),"")</f>
        <v>ADITIVO DE PRAZO</v>
      </c>
      <c r="C1671" s="76" t="str">
        <f>IFERROR(VLOOKUP($A1671,EVENTO!$A$2:$C$4999,3,FALSE),"")</f>
        <v>PREFEITURA MUNICIPAL DE ARACATI - IQUAMA</v>
      </c>
      <c r="D1671" s="100" t="s">
        <v>1560</v>
      </c>
      <c r="E1671" s="4"/>
      <c r="F1671" s="78">
        <v>2.0</v>
      </c>
      <c r="G1671" s="92">
        <v>50.3</v>
      </c>
    </row>
    <row r="1672">
      <c r="A1672" s="6">
        <v>310.0</v>
      </c>
      <c r="B1672" s="76" t="str">
        <f>IFERROR(VLOOKUP($A1672,EVENTO!$A$2:$C$4999,2,FALSE),"")</f>
        <v>ADITIVO DE PRAZO</v>
      </c>
      <c r="C1672" s="76" t="str">
        <f>IFERROR(VLOOKUP($A1672,EVENTO!$A$2:$C$4999,3,FALSE),"")</f>
        <v>PREFEITURA MUNICIPAL DE ARACATI - IQUAMA</v>
      </c>
      <c r="D1672" s="100" t="s">
        <v>1575</v>
      </c>
      <c r="E1672" s="4"/>
      <c r="F1672" s="78">
        <v>2.0</v>
      </c>
      <c r="G1672" s="92">
        <v>13.42</v>
      </c>
    </row>
    <row r="1673">
      <c r="A1673" s="6">
        <v>310.0</v>
      </c>
      <c r="B1673" s="76" t="str">
        <f>IFERROR(VLOOKUP($A1673,EVENTO!$A$2:$C$4999,2,FALSE),"")</f>
        <v>ADITIVO DE PRAZO</v>
      </c>
      <c r="C1673" s="76" t="str">
        <f>IFERROR(VLOOKUP($A1673,EVENTO!$A$2:$C$4999,3,FALSE),"")</f>
        <v>PREFEITURA MUNICIPAL DE ARACATI - IQUAMA</v>
      </c>
      <c r="D1673" s="100" t="s">
        <v>1557</v>
      </c>
      <c r="E1673" s="4"/>
      <c r="F1673" s="78">
        <v>3.0</v>
      </c>
      <c r="G1673" s="92">
        <v>91.18</v>
      </c>
    </row>
    <row r="1674">
      <c r="A1674" s="6">
        <v>310.0</v>
      </c>
      <c r="B1674" s="76" t="str">
        <f>IFERROR(VLOOKUP($A1674,EVENTO!$A$2:$C$4999,2,FALSE),"")</f>
        <v>ADITIVO DE PRAZO</v>
      </c>
      <c r="C1674" s="76" t="str">
        <f>IFERROR(VLOOKUP($A1674,EVENTO!$A$2:$C$4999,3,FALSE),"")</f>
        <v>PREFEITURA MUNICIPAL DE ARACATI - IQUAMA</v>
      </c>
      <c r="D1674" s="78" t="s">
        <v>1639</v>
      </c>
      <c r="F1674" s="78">
        <v>1.0</v>
      </c>
      <c r="G1674" s="101">
        <v>181.17</v>
      </c>
    </row>
    <row r="1675">
      <c r="A1675" s="6">
        <v>311.0</v>
      </c>
      <c r="B1675" s="76" t="str">
        <f>IFERROR(VLOOKUP($A1675,EVENTO!$A$2:$C$4999,2,FALSE),"")</f>
        <v>ADITIVO DE PRAZO</v>
      </c>
      <c r="C1675" s="76" t="str">
        <f>IFERROR(VLOOKUP($A1675,EVENTO!$A$2:$C$4999,3,FALSE),"")</f>
        <v>PREFEITURA MUNICIPAL DE ARACATI - IQUAMA</v>
      </c>
      <c r="D1675" s="100" t="s">
        <v>1544</v>
      </c>
      <c r="E1675" s="4" t="s">
        <v>1545</v>
      </c>
      <c r="F1675" s="78">
        <v>1.0</v>
      </c>
      <c r="G1675" s="92">
        <v>534.71</v>
      </c>
    </row>
    <row r="1676">
      <c r="A1676" s="6">
        <v>311.0</v>
      </c>
      <c r="B1676" s="76" t="str">
        <f>IFERROR(VLOOKUP($A1676,EVENTO!$A$2:$C$4999,2,FALSE),"")</f>
        <v>ADITIVO DE PRAZO</v>
      </c>
      <c r="C1676" s="76" t="str">
        <f>IFERROR(VLOOKUP($A1676,EVENTO!$A$2:$C$4999,3,FALSE),"")</f>
        <v>PREFEITURA MUNICIPAL DE ARACATI - IQUAMA</v>
      </c>
      <c r="D1676" s="100" t="s">
        <v>1456</v>
      </c>
      <c r="E1676" s="4" t="s">
        <v>1548</v>
      </c>
      <c r="F1676" s="78">
        <v>5.0</v>
      </c>
      <c r="G1676" s="92">
        <v>387.36</v>
      </c>
    </row>
    <row r="1677">
      <c r="A1677" s="6">
        <v>311.0</v>
      </c>
      <c r="B1677" s="76" t="str">
        <f>IFERROR(VLOOKUP($A1677,EVENTO!$A$2:$C$4999,2,FALSE),"")</f>
        <v>ADITIVO DE PRAZO</v>
      </c>
      <c r="C1677" s="76" t="str">
        <f>IFERROR(VLOOKUP($A1677,EVENTO!$A$2:$C$4999,3,FALSE),"")</f>
        <v>PREFEITURA MUNICIPAL DE ARACATI - IQUAMA</v>
      </c>
      <c r="D1677" s="100" t="s">
        <v>1549</v>
      </c>
      <c r="E1677" s="4" t="s">
        <v>1550</v>
      </c>
      <c r="F1677" s="78">
        <v>6.0</v>
      </c>
      <c r="G1677" s="92">
        <v>221.78</v>
      </c>
    </row>
    <row r="1678">
      <c r="A1678" s="6">
        <v>311.0</v>
      </c>
      <c r="B1678" s="76" t="str">
        <f>IFERROR(VLOOKUP($A1678,EVENTO!$A$2:$C$4999,2,FALSE),"")</f>
        <v>ADITIVO DE PRAZO</v>
      </c>
      <c r="C1678" s="76" t="str">
        <f>IFERROR(VLOOKUP($A1678,EVENTO!$A$2:$C$4999,3,FALSE),"")</f>
        <v>PREFEITURA MUNICIPAL DE ARACATI - IQUAMA</v>
      </c>
      <c r="D1678" s="100" t="s">
        <v>1551</v>
      </c>
      <c r="E1678" s="4" t="s">
        <v>1552</v>
      </c>
      <c r="F1678" s="78">
        <v>10.0</v>
      </c>
      <c r="G1678" s="92">
        <v>173.93</v>
      </c>
    </row>
    <row r="1679">
      <c r="A1679" s="6">
        <v>311.0</v>
      </c>
      <c r="B1679" s="76" t="str">
        <f>IFERROR(VLOOKUP($A1679,EVENTO!$A$2:$C$4999,2,FALSE),"")</f>
        <v>ADITIVO DE PRAZO</v>
      </c>
      <c r="C1679" s="76" t="str">
        <f>IFERROR(VLOOKUP($A1679,EVENTO!$A$2:$C$4999,3,FALSE),"")</f>
        <v>PREFEITURA MUNICIPAL DE ARACATI - IQUAMA</v>
      </c>
      <c r="D1679" s="100" t="s">
        <v>1553</v>
      </c>
      <c r="E1679" s="4"/>
      <c r="F1679" s="78">
        <v>3.0</v>
      </c>
      <c r="G1679" s="92">
        <v>286.34</v>
      </c>
    </row>
    <row r="1680">
      <c r="A1680" s="6">
        <v>311.0</v>
      </c>
      <c r="B1680" s="76" t="str">
        <f>IFERROR(VLOOKUP($A1680,EVENTO!$A$2:$C$4999,2,FALSE),"")</f>
        <v>ADITIVO DE PRAZO</v>
      </c>
      <c r="C1680" s="76" t="str">
        <f>IFERROR(VLOOKUP($A1680,EVENTO!$A$2:$C$4999,3,FALSE),"")</f>
        <v>PREFEITURA MUNICIPAL DE ARACATI - IQUAMA</v>
      </c>
      <c r="D1680" s="100" t="s">
        <v>1580</v>
      </c>
      <c r="E1680" s="4"/>
      <c r="F1680" s="78">
        <v>1.0</v>
      </c>
      <c r="G1680" s="92">
        <v>193.47</v>
      </c>
    </row>
    <row r="1681">
      <c r="A1681" s="6">
        <v>311.0</v>
      </c>
      <c r="B1681" s="76" t="str">
        <f>IFERROR(VLOOKUP($A1681,EVENTO!$A$2:$C$4999,2,FALSE),"")</f>
        <v>ADITIVO DE PRAZO</v>
      </c>
      <c r="C1681" s="76" t="str">
        <f>IFERROR(VLOOKUP($A1681,EVENTO!$A$2:$C$4999,3,FALSE),"")</f>
        <v>PREFEITURA MUNICIPAL DE ARACATI - IQUAMA</v>
      </c>
      <c r="D1681" s="100" t="s">
        <v>1560</v>
      </c>
      <c r="E1681" s="4"/>
      <c r="F1681" s="78">
        <v>2.0</v>
      </c>
      <c r="G1681" s="92">
        <v>50.3</v>
      </c>
    </row>
    <row r="1682">
      <c r="A1682" s="6">
        <v>311.0</v>
      </c>
      <c r="B1682" s="76" t="str">
        <f>IFERROR(VLOOKUP($A1682,EVENTO!$A$2:$C$4999,2,FALSE),"")</f>
        <v>ADITIVO DE PRAZO</v>
      </c>
      <c r="C1682" s="76" t="str">
        <f>IFERROR(VLOOKUP($A1682,EVENTO!$A$2:$C$4999,3,FALSE),"")</f>
        <v>PREFEITURA MUNICIPAL DE ARACATI - IQUAMA</v>
      </c>
      <c r="D1682" s="100" t="s">
        <v>1575</v>
      </c>
      <c r="E1682" s="4"/>
      <c r="F1682" s="78">
        <v>2.0</v>
      </c>
      <c r="G1682" s="92">
        <v>13.42</v>
      </c>
    </row>
    <row r="1683">
      <c r="A1683" s="6">
        <v>311.0</v>
      </c>
      <c r="B1683" s="76" t="str">
        <f>IFERROR(VLOOKUP($A1683,EVENTO!$A$2:$C$4999,2,FALSE),"")</f>
        <v>ADITIVO DE PRAZO</v>
      </c>
      <c r="C1683" s="76" t="str">
        <f>IFERROR(VLOOKUP($A1683,EVENTO!$A$2:$C$4999,3,FALSE),"")</f>
        <v>PREFEITURA MUNICIPAL DE ARACATI - IQUAMA</v>
      </c>
      <c r="D1683" s="100" t="s">
        <v>1557</v>
      </c>
      <c r="E1683" s="4"/>
      <c r="F1683" s="78">
        <v>3.0</v>
      </c>
      <c r="G1683" s="92">
        <v>91.18</v>
      </c>
    </row>
    <row r="1684">
      <c r="A1684" s="6">
        <v>311.0</v>
      </c>
      <c r="B1684" s="76" t="str">
        <f>IFERROR(VLOOKUP($A1684,EVENTO!$A$2:$C$4999,2,FALSE),"")</f>
        <v>ADITIVO DE PRAZO</v>
      </c>
      <c r="C1684" s="76" t="str">
        <f>IFERROR(VLOOKUP($A1684,EVENTO!$A$2:$C$4999,3,FALSE),"")</f>
        <v>PREFEITURA MUNICIPAL DE ARACATI - IQUAMA</v>
      </c>
      <c r="D1684" s="78" t="s">
        <v>1639</v>
      </c>
      <c r="F1684" s="78">
        <v>1.0</v>
      </c>
      <c r="G1684" s="101">
        <v>181.17</v>
      </c>
    </row>
    <row r="1685">
      <c r="A1685" s="6">
        <v>312.0</v>
      </c>
      <c r="B1685" s="76" t="str">
        <f>IFERROR(VLOOKUP($A1685,EVENTO!$A$2:$C$4999,2,FALSE),"")</f>
        <v>ADITIVO DE PRAZO</v>
      </c>
      <c r="C1685" s="76" t="str">
        <f>IFERROR(VLOOKUP($A1685,EVENTO!$A$2:$C$4999,3,FALSE),"")</f>
        <v>PREFEITURA MUNICIPAL DE ARACATI - IQUAMA</v>
      </c>
      <c r="D1685" s="100" t="s">
        <v>1544</v>
      </c>
      <c r="E1685" s="4" t="s">
        <v>1545</v>
      </c>
      <c r="F1685" s="78">
        <v>1.0</v>
      </c>
      <c r="G1685" s="92">
        <v>534.71</v>
      </c>
    </row>
    <row r="1686">
      <c r="A1686" s="6">
        <v>312.0</v>
      </c>
      <c r="B1686" s="76" t="str">
        <f>IFERROR(VLOOKUP($A1686,EVENTO!$A$2:$C$4999,2,FALSE),"")</f>
        <v>ADITIVO DE PRAZO</v>
      </c>
      <c r="C1686" s="76" t="str">
        <f>IFERROR(VLOOKUP($A1686,EVENTO!$A$2:$C$4999,3,FALSE),"")</f>
        <v>PREFEITURA MUNICIPAL DE ARACATI - IQUAMA</v>
      </c>
      <c r="D1686" s="100" t="s">
        <v>1456</v>
      </c>
      <c r="E1686" s="4" t="s">
        <v>1548</v>
      </c>
      <c r="F1686" s="78">
        <v>5.0</v>
      </c>
      <c r="G1686" s="92">
        <v>387.36</v>
      </c>
    </row>
    <row r="1687">
      <c r="A1687" s="6">
        <v>312.0</v>
      </c>
      <c r="B1687" s="76" t="str">
        <f>IFERROR(VLOOKUP($A1687,EVENTO!$A$2:$C$4999,2,FALSE),"")</f>
        <v>ADITIVO DE PRAZO</v>
      </c>
      <c r="C1687" s="76" t="str">
        <f>IFERROR(VLOOKUP($A1687,EVENTO!$A$2:$C$4999,3,FALSE),"")</f>
        <v>PREFEITURA MUNICIPAL DE ARACATI - IQUAMA</v>
      </c>
      <c r="D1687" s="100" t="s">
        <v>1549</v>
      </c>
      <c r="E1687" s="4" t="s">
        <v>1550</v>
      </c>
      <c r="F1687" s="78">
        <v>6.0</v>
      </c>
      <c r="G1687" s="92">
        <v>221.78</v>
      </c>
    </row>
    <row r="1688">
      <c r="A1688" s="6">
        <v>312.0</v>
      </c>
      <c r="B1688" s="76" t="str">
        <f>IFERROR(VLOOKUP($A1688,EVENTO!$A$2:$C$4999,2,FALSE),"")</f>
        <v>ADITIVO DE PRAZO</v>
      </c>
      <c r="C1688" s="76" t="str">
        <f>IFERROR(VLOOKUP($A1688,EVENTO!$A$2:$C$4999,3,FALSE),"")</f>
        <v>PREFEITURA MUNICIPAL DE ARACATI - IQUAMA</v>
      </c>
      <c r="D1688" s="100" t="s">
        <v>1551</v>
      </c>
      <c r="E1688" s="4" t="s">
        <v>1552</v>
      </c>
      <c r="F1688" s="78">
        <v>10.0</v>
      </c>
      <c r="G1688" s="92">
        <v>173.93</v>
      </c>
    </row>
    <row r="1689">
      <c r="A1689" s="6">
        <v>312.0</v>
      </c>
      <c r="B1689" s="76" t="str">
        <f>IFERROR(VLOOKUP($A1689,EVENTO!$A$2:$C$4999,2,FALSE),"")</f>
        <v>ADITIVO DE PRAZO</v>
      </c>
      <c r="C1689" s="76" t="str">
        <f>IFERROR(VLOOKUP($A1689,EVENTO!$A$2:$C$4999,3,FALSE),"")</f>
        <v>PREFEITURA MUNICIPAL DE ARACATI - IQUAMA</v>
      </c>
      <c r="D1689" s="100" t="s">
        <v>1553</v>
      </c>
      <c r="E1689" s="4"/>
      <c r="F1689" s="78">
        <v>3.0</v>
      </c>
      <c r="G1689" s="92">
        <v>286.34</v>
      </c>
    </row>
    <row r="1690">
      <c r="A1690" s="6">
        <v>312.0</v>
      </c>
      <c r="B1690" s="76" t="str">
        <f>IFERROR(VLOOKUP($A1690,EVENTO!$A$2:$C$4999,2,FALSE),"")</f>
        <v>ADITIVO DE PRAZO</v>
      </c>
      <c r="C1690" s="76" t="str">
        <f>IFERROR(VLOOKUP($A1690,EVENTO!$A$2:$C$4999,3,FALSE),"")</f>
        <v>PREFEITURA MUNICIPAL DE ARACATI - IQUAMA</v>
      </c>
      <c r="D1690" s="100" t="s">
        <v>1580</v>
      </c>
      <c r="E1690" s="4"/>
      <c r="F1690" s="78">
        <v>1.0</v>
      </c>
      <c r="G1690" s="92">
        <v>193.47</v>
      </c>
    </row>
    <row r="1691">
      <c r="A1691" s="6">
        <v>312.0</v>
      </c>
      <c r="B1691" s="76" t="str">
        <f>IFERROR(VLOOKUP($A1691,EVENTO!$A$2:$C$4999,2,FALSE),"")</f>
        <v>ADITIVO DE PRAZO</v>
      </c>
      <c r="C1691" s="76" t="str">
        <f>IFERROR(VLOOKUP($A1691,EVENTO!$A$2:$C$4999,3,FALSE),"")</f>
        <v>PREFEITURA MUNICIPAL DE ARACATI - IQUAMA</v>
      </c>
      <c r="D1691" s="100" t="s">
        <v>1560</v>
      </c>
      <c r="E1691" s="4"/>
      <c r="F1691" s="78">
        <v>2.0</v>
      </c>
      <c r="G1691" s="92">
        <v>50.3</v>
      </c>
    </row>
    <row r="1692">
      <c r="A1692" s="6">
        <v>312.0</v>
      </c>
      <c r="B1692" s="76" t="str">
        <f>IFERROR(VLOOKUP($A1692,EVENTO!$A$2:$C$4999,2,FALSE),"")</f>
        <v>ADITIVO DE PRAZO</v>
      </c>
      <c r="C1692" s="76" t="str">
        <f>IFERROR(VLOOKUP($A1692,EVENTO!$A$2:$C$4999,3,FALSE),"")</f>
        <v>PREFEITURA MUNICIPAL DE ARACATI - IQUAMA</v>
      </c>
      <c r="D1692" s="100" t="s">
        <v>1575</v>
      </c>
      <c r="E1692" s="4"/>
      <c r="F1692" s="78">
        <v>2.0</v>
      </c>
      <c r="G1692" s="92">
        <v>13.42</v>
      </c>
    </row>
    <row r="1693">
      <c r="A1693" s="6">
        <v>312.0</v>
      </c>
      <c r="B1693" s="76" t="str">
        <f>IFERROR(VLOOKUP($A1693,EVENTO!$A$2:$C$4999,2,FALSE),"")</f>
        <v>ADITIVO DE PRAZO</v>
      </c>
      <c r="C1693" s="76" t="str">
        <f>IFERROR(VLOOKUP($A1693,EVENTO!$A$2:$C$4999,3,FALSE),"")</f>
        <v>PREFEITURA MUNICIPAL DE ARACATI - IQUAMA</v>
      </c>
      <c r="D1693" s="100" t="s">
        <v>1557</v>
      </c>
      <c r="E1693" s="4"/>
      <c r="F1693" s="78">
        <v>3.0</v>
      </c>
      <c r="G1693" s="92">
        <v>91.18</v>
      </c>
    </row>
    <row r="1694">
      <c r="A1694" s="6">
        <v>312.0</v>
      </c>
      <c r="B1694" s="76" t="str">
        <f>IFERROR(VLOOKUP($A1694,EVENTO!$A$2:$C$4999,2,FALSE),"")</f>
        <v>ADITIVO DE PRAZO</v>
      </c>
      <c r="C1694" s="76" t="str">
        <f>IFERROR(VLOOKUP($A1694,EVENTO!$A$2:$C$4999,3,FALSE),"")</f>
        <v>PREFEITURA MUNICIPAL DE ARACATI - IQUAMA</v>
      </c>
      <c r="D1694" s="78" t="s">
        <v>1639</v>
      </c>
      <c r="F1694" s="78">
        <v>1.0</v>
      </c>
      <c r="G1694" s="101">
        <v>181.17</v>
      </c>
    </row>
    <row r="1695">
      <c r="A1695" s="6">
        <v>313.0</v>
      </c>
      <c r="B1695" s="76" t="str">
        <f>IFERROR(VLOOKUP($A1695,EVENTO!$A$2:$C$4999,2,FALSE),"")</f>
        <v>CADASTRO</v>
      </c>
      <c r="C1695" s="76" t="str">
        <f>IFERROR(VLOOKUP($A1695,EVENTO!$A$2:$C$4999,3,FALSE),"")</f>
        <v>PREFEITURA MUNICIPAL DE ARACATI - MEIO AMBIENTE</v>
      </c>
      <c r="D1695" s="100" t="s">
        <v>1456</v>
      </c>
      <c r="E1695" s="4" t="s">
        <v>1548</v>
      </c>
      <c r="F1695" s="78">
        <v>5.0</v>
      </c>
      <c r="G1695" s="92">
        <v>387.36</v>
      </c>
    </row>
    <row r="1696">
      <c r="A1696" s="6">
        <v>313.0</v>
      </c>
      <c r="B1696" s="76" t="str">
        <f>IFERROR(VLOOKUP($A1696,EVENTO!$A$2:$C$4999,2,FALSE),"")</f>
        <v>CADASTRO</v>
      </c>
      <c r="C1696" s="76" t="str">
        <f>IFERROR(VLOOKUP($A1696,EVENTO!$A$2:$C$4999,3,FALSE),"")</f>
        <v>PREFEITURA MUNICIPAL DE ARACATI - MEIO AMBIENTE</v>
      </c>
      <c r="D1696" s="100" t="s">
        <v>1549</v>
      </c>
      <c r="E1696" s="4" t="s">
        <v>1550</v>
      </c>
      <c r="F1696" s="78">
        <v>5.0</v>
      </c>
      <c r="G1696" s="92">
        <v>221.78</v>
      </c>
    </row>
    <row r="1697">
      <c r="A1697" s="6">
        <v>313.0</v>
      </c>
      <c r="B1697" s="76" t="str">
        <f>IFERROR(VLOOKUP($A1697,EVENTO!$A$2:$C$4999,2,FALSE),"")</f>
        <v>CADASTRO</v>
      </c>
      <c r="C1697" s="76" t="str">
        <f>IFERROR(VLOOKUP($A1697,EVENTO!$A$2:$C$4999,3,FALSE),"")</f>
        <v>PREFEITURA MUNICIPAL DE ARACATI - MEIO AMBIENTE</v>
      </c>
      <c r="D1697" s="100" t="s">
        <v>1551</v>
      </c>
      <c r="E1697" s="4" t="s">
        <v>1552</v>
      </c>
      <c r="F1697" s="78">
        <v>5.0</v>
      </c>
      <c r="G1697" s="92">
        <v>173.93</v>
      </c>
    </row>
    <row r="1698">
      <c r="A1698" s="6">
        <v>313.0</v>
      </c>
      <c r="B1698" s="76" t="str">
        <f>IFERROR(VLOOKUP($A1698,EVENTO!$A$2:$C$4999,2,FALSE),"")</f>
        <v>CADASTRO</v>
      </c>
      <c r="C1698" s="76" t="str">
        <f>IFERROR(VLOOKUP($A1698,EVENTO!$A$2:$C$4999,3,FALSE),"")</f>
        <v>PREFEITURA MUNICIPAL DE ARACATI - MEIO AMBIENTE</v>
      </c>
      <c r="D1698" s="100" t="s">
        <v>1553</v>
      </c>
      <c r="E1698" s="4"/>
      <c r="F1698" s="78">
        <v>5.0</v>
      </c>
      <c r="G1698" s="92">
        <v>286.34</v>
      </c>
    </row>
    <row r="1699">
      <c r="A1699" s="6">
        <v>313.0</v>
      </c>
      <c r="B1699" s="76" t="str">
        <f>IFERROR(VLOOKUP($A1699,EVENTO!$A$2:$C$4999,2,FALSE),"")</f>
        <v>CADASTRO</v>
      </c>
      <c r="C1699" s="76" t="str">
        <f>IFERROR(VLOOKUP($A1699,EVENTO!$A$2:$C$4999,3,FALSE),"")</f>
        <v>PREFEITURA MUNICIPAL DE ARACATI - MEIO AMBIENTE</v>
      </c>
      <c r="D1699" s="100" t="s">
        <v>1487</v>
      </c>
      <c r="E1699" s="4"/>
      <c r="F1699" s="78">
        <v>5.0</v>
      </c>
      <c r="G1699" s="92">
        <v>234.7</v>
      </c>
    </row>
    <row r="1700">
      <c r="A1700" s="6">
        <v>313.0</v>
      </c>
      <c r="B1700" s="76" t="str">
        <f>IFERROR(VLOOKUP($A1700,EVENTO!$A$2:$C$4999,2,FALSE),"")</f>
        <v>CADASTRO</v>
      </c>
      <c r="C1700" s="76" t="str">
        <f>IFERROR(VLOOKUP($A1700,EVENTO!$A$2:$C$4999,3,FALSE),"")</f>
        <v>PREFEITURA MUNICIPAL DE ARACATI - MEIO AMBIENTE</v>
      </c>
      <c r="D1700" s="100" t="s">
        <v>1556</v>
      </c>
      <c r="E1700" s="4"/>
      <c r="F1700" s="78">
        <v>5.0</v>
      </c>
      <c r="G1700" s="92">
        <v>148.11</v>
      </c>
    </row>
    <row r="1701">
      <c r="A1701" s="6">
        <v>313.0</v>
      </c>
      <c r="B1701" s="76" t="str">
        <f>IFERROR(VLOOKUP($A1701,EVENTO!$A$2:$C$4999,2,FALSE),"")</f>
        <v>CADASTRO</v>
      </c>
      <c r="C1701" s="76" t="str">
        <f>IFERROR(VLOOKUP($A1701,EVENTO!$A$2:$C$4999,3,FALSE),"")</f>
        <v>PREFEITURA MUNICIPAL DE ARACATI - MEIO AMBIENTE</v>
      </c>
      <c r="D1701" s="100" t="s">
        <v>1560</v>
      </c>
      <c r="E1701" s="4"/>
      <c r="F1701" s="78">
        <v>2.0</v>
      </c>
      <c r="G1701" s="92">
        <v>50.3</v>
      </c>
    </row>
    <row r="1702">
      <c r="A1702" s="6">
        <v>313.0</v>
      </c>
      <c r="B1702" s="76" t="str">
        <f>IFERROR(VLOOKUP($A1702,EVENTO!$A$2:$C$4999,2,FALSE),"")</f>
        <v>CADASTRO</v>
      </c>
      <c r="C1702" s="76" t="str">
        <f>IFERROR(VLOOKUP($A1702,EVENTO!$A$2:$C$4999,3,FALSE),"")</f>
        <v>PREFEITURA MUNICIPAL DE ARACATI - MEIO AMBIENTE</v>
      </c>
      <c r="D1702" s="100" t="s">
        <v>1575</v>
      </c>
      <c r="E1702" s="4"/>
      <c r="F1702" s="78">
        <v>1.0</v>
      </c>
      <c r="G1702" s="92">
        <v>13.42</v>
      </c>
    </row>
    <row r="1703">
      <c r="A1703" s="6">
        <v>313.0</v>
      </c>
      <c r="B1703" s="76" t="str">
        <f>IFERROR(VLOOKUP($A1703,EVENTO!$A$2:$C$4999,2,FALSE),"")</f>
        <v>CADASTRO</v>
      </c>
      <c r="C1703" s="76" t="str">
        <f>IFERROR(VLOOKUP($A1703,EVENTO!$A$2:$C$4999,3,FALSE),"")</f>
        <v>PREFEITURA MUNICIPAL DE ARACATI - MEIO AMBIENTE</v>
      </c>
      <c r="D1703" s="100" t="s">
        <v>1557</v>
      </c>
      <c r="E1703" s="4"/>
      <c r="F1703" s="78">
        <v>3.0</v>
      </c>
      <c r="G1703" s="92">
        <v>91.18</v>
      </c>
    </row>
    <row r="1704">
      <c r="A1704" s="6">
        <v>313.0</v>
      </c>
      <c r="B1704" s="76" t="str">
        <f>IFERROR(VLOOKUP($A1704,EVENTO!$A$2:$C$4999,2,FALSE),"")</f>
        <v>CADASTRO</v>
      </c>
      <c r="C1704" s="76" t="str">
        <f>IFERROR(VLOOKUP($A1704,EVENTO!$A$2:$C$4999,3,FALSE),"")</f>
        <v>PREFEITURA MUNICIPAL DE ARACATI - MEIO AMBIENTE</v>
      </c>
      <c r="D1704" s="87" t="s">
        <v>1644</v>
      </c>
      <c r="E1704" s="4"/>
      <c r="F1704" s="78">
        <v>4.0</v>
      </c>
      <c r="G1704" s="93">
        <v>41.95</v>
      </c>
    </row>
    <row r="1705">
      <c r="A1705" s="6">
        <v>314.0</v>
      </c>
      <c r="B1705" s="76" t="str">
        <f>IFERROR(VLOOKUP($A1705,EVENTO!$A$2:$C$4999,2,FALSE),"")</f>
        <v>ADITIVO DE PRAZO</v>
      </c>
      <c r="C1705" s="76" t="str">
        <f>IFERROR(VLOOKUP($A1705,EVENTO!$A$2:$C$4999,3,FALSE),"")</f>
        <v>PREFEITURA MUNICIPAL DE ARACATI - MEIO AMBIENTE</v>
      </c>
      <c r="D1705" s="100" t="s">
        <v>1456</v>
      </c>
      <c r="E1705" s="4" t="s">
        <v>1548</v>
      </c>
      <c r="F1705" s="78">
        <v>5.0</v>
      </c>
      <c r="G1705" s="92">
        <v>387.36</v>
      </c>
    </row>
    <row r="1706">
      <c r="A1706" s="6">
        <v>314.0</v>
      </c>
      <c r="B1706" s="76" t="str">
        <f>IFERROR(VLOOKUP($A1706,EVENTO!$A$2:$C$4999,2,FALSE),"")</f>
        <v>ADITIVO DE PRAZO</v>
      </c>
      <c r="C1706" s="76" t="str">
        <f>IFERROR(VLOOKUP($A1706,EVENTO!$A$2:$C$4999,3,FALSE),"")</f>
        <v>PREFEITURA MUNICIPAL DE ARACATI - MEIO AMBIENTE</v>
      </c>
      <c r="D1706" s="100" t="s">
        <v>1549</v>
      </c>
      <c r="E1706" s="4" t="s">
        <v>1550</v>
      </c>
      <c r="F1706" s="78">
        <v>5.0</v>
      </c>
      <c r="G1706" s="92">
        <v>221.78</v>
      </c>
    </row>
    <row r="1707">
      <c r="A1707" s="6">
        <v>314.0</v>
      </c>
      <c r="B1707" s="76" t="str">
        <f>IFERROR(VLOOKUP($A1707,EVENTO!$A$2:$C$4999,2,FALSE),"")</f>
        <v>ADITIVO DE PRAZO</v>
      </c>
      <c r="C1707" s="76" t="str">
        <f>IFERROR(VLOOKUP($A1707,EVENTO!$A$2:$C$4999,3,FALSE),"")</f>
        <v>PREFEITURA MUNICIPAL DE ARACATI - MEIO AMBIENTE</v>
      </c>
      <c r="D1707" s="100" t="s">
        <v>1551</v>
      </c>
      <c r="E1707" s="4" t="s">
        <v>1552</v>
      </c>
      <c r="F1707" s="78">
        <v>5.0</v>
      </c>
      <c r="G1707" s="92">
        <v>173.93</v>
      </c>
    </row>
    <row r="1708">
      <c r="A1708" s="6">
        <v>314.0</v>
      </c>
      <c r="B1708" s="76" t="str">
        <f>IFERROR(VLOOKUP($A1708,EVENTO!$A$2:$C$4999,2,FALSE),"")</f>
        <v>ADITIVO DE PRAZO</v>
      </c>
      <c r="C1708" s="76" t="str">
        <f>IFERROR(VLOOKUP($A1708,EVENTO!$A$2:$C$4999,3,FALSE),"")</f>
        <v>PREFEITURA MUNICIPAL DE ARACATI - MEIO AMBIENTE</v>
      </c>
      <c r="D1708" s="100" t="s">
        <v>1553</v>
      </c>
      <c r="E1708" s="4"/>
      <c r="F1708" s="78">
        <v>5.0</v>
      </c>
      <c r="G1708" s="92">
        <v>286.34</v>
      </c>
    </row>
    <row r="1709">
      <c r="A1709" s="6">
        <v>314.0</v>
      </c>
      <c r="B1709" s="76" t="str">
        <f>IFERROR(VLOOKUP($A1709,EVENTO!$A$2:$C$4999,2,FALSE),"")</f>
        <v>ADITIVO DE PRAZO</v>
      </c>
      <c r="C1709" s="76" t="str">
        <f>IFERROR(VLOOKUP($A1709,EVENTO!$A$2:$C$4999,3,FALSE),"")</f>
        <v>PREFEITURA MUNICIPAL DE ARACATI - MEIO AMBIENTE</v>
      </c>
      <c r="D1709" s="100" t="s">
        <v>1487</v>
      </c>
      <c r="E1709" s="4"/>
      <c r="F1709" s="78">
        <v>5.0</v>
      </c>
      <c r="G1709" s="92">
        <v>234.7</v>
      </c>
    </row>
    <row r="1710">
      <c r="A1710" s="6">
        <v>314.0</v>
      </c>
      <c r="B1710" s="76" t="str">
        <f>IFERROR(VLOOKUP($A1710,EVENTO!$A$2:$C$4999,2,FALSE),"")</f>
        <v>ADITIVO DE PRAZO</v>
      </c>
      <c r="C1710" s="76" t="str">
        <f>IFERROR(VLOOKUP($A1710,EVENTO!$A$2:$C$4999,3,FALSE),"")</f>
        <v>PREFEITURA MUNICIPAL DE ARACATI - MEIO AMBIENTE</v>
      </c>
      <c r="D1710" s="100" t="s">
        <v>1556</v>
      </c>
      <c r="E1710" s="4"/>
      <c r="F1710" s="78">
        <v>5.0</v>
      </c>
      <c r="G1710" s="92">
        <v>148.11</v>
      </c>
    </row>
    <row r="1711">
      <c r="A1711" s="6">
        <v>314.0</v>
      </c>
      <c r="B1711" s="76" t="str">
        <f>IFERROR(VLOOKUP($A1711,EVENTO!$A$2:$C$4999,2,FALSE),"")</f>
        <v>ADITIVO DE PRAZO</v>
      </c>
      <c r="C1711" s="76" t="str">
        <f>IFERROR(VLOOKUP($A1711,EVENTO!$A$2:$C$4999,3,FALSE),"")</f>
        <v>PREFEITURA MUNICIPAL DE ARACATI - MEIO AMBIENTE</v>
      </c>
      <c r="D1711" s="100" t="s">
        <v>1560</v>
      </c>
      <c r="E1711" s="4"/>
      <c r="F1711" s="78">
        <v>2.0</v>
      </c>
      <c r="G1711" s="92">
        <v>50.3</v>
      </c>
    </row>
    <row r="1712">
      <c r="A1712" s="6">
        <v>314.0</v>
      </c>
      <c r="B1712" s="76" t="str">
        <f>IFERROR(VLOOKUP($A1712,EVENTO!$A$2:$C$4999,2,FALSE),"")</f>
        <v>ADITIVO DE PRAZO</v>
      </c>
      <c r="C1712" s="76" t="str">
        <f>IFERROR(VLOOKUP($A1712,EVENTO!$A$2:$C$4999,3,FALSE),"")</f>
        <v>PREFEITURA MUNICIPAL DE ARACATI - MEIO AMBIENTE</v>
      </c>
      <c r="D1712" s="100" t="s">
        <v>1575</v>
      </c>
      <c r="E1712" s="4"/>
      <c r="F1712" s="78">
        <v>1.0</v>
      </c>
      <c r="G1712" s="92">
        <v>13.42</v>
      </c>
    </row>
    <row r="1713">
      <c r="A1713" s="6">
        <v>314.0</v>
      </c>
      <c r="B1713" s="76" t="str">
        <f>IFERROR(VLOOKUP($A1713,EVENTO!$A$2:$C$4999,2,FALSE),"")</f>
        <v>ADITIVO DE PRAZO</v>
      </c>
      <c r="C1713" s="76" t="str">
        <f>IFERROR(VLOOKUP($A1713,EVENTO!$A$2:$C$4999,3,FALSE),"")</f>
        <v>PREFEITURA MUNICIPAL DE ARACATI - MEIO AMBIENTE</v>
      </c>
      <c r="D1713" s="100" t="s">
        <v>1557</v>
      </c>
      <c r="E1713" s="4"/>
      <c r="F1713" s="78">
        <v>3.0</v>
      </c>
      <c r="G1713" s="92">
        <v>91.18</v>
      </c>
    </row>
    <row r="1714">
      <c r="A1714" s="6">
        <v>314.0</v>
      </c>
      <c r="B1714" s="76" t="str">
        <f>IFERROR(VLOOKUP($A1714,EVENTO!$A$2:$C$4999,2,FALSE),"")</f>
        <v>ADITIVO DE PRAZO</v>
      </c>
      <c r="C1714" s="76" t="str">
        <f>IFERROR(VLOOKUP($A1714,EVENTO!$A$2:$C$4999,3,FALSE),"")</f>
        <v>PREFEITURA MUNICIPAL DE ARACATI - MEIO AMBIENTE</v>
      </c>
      <c r="D1714" s="87" t="s">
        <v>1644</v>
      </c>
      <c r="E1714" s="4"/>
      <c r="F1714" s="78">
        <v>4.0</v>
      </c>
      <c r="G1714" s="93">
        <v>41.95</v>
      </c>
    </row>
    <row r="1715">
      <c r="A1715" s="6">
        <v>315.0</v>
      </c>
      <c r="B1715" s="76" t="str">
        <f>IFERROR(VLOOKUP($A1715,EVENTO!$A$2:$C$4999,2,FALSE),"")</f>
        <v>ADITIVO DE PRAZO</v>
      </c>
      <c r="C1715" s="76" t="str">
        <f>IFERROR(VLOOKUP($A1715,EVENTO!$A$2:$C$4999,3,FALSE),"")</f>
        <v>PREFEITURA MUNICIPAL DE ARACATI - MEIO AMBIENTE</v>
      </c>
      <c r="D1715" s="100" t="s">
        <v>1456</v>
      </c>
      <c r="E1715" s="4" t="s">
        <v>1548</v>
      </c>
      <c r="F1715" s="78">
        <v>5.0</v>
      </c>
      <c r="G1715" s="92">
        <v>387.36</v>
      </c>
    </row>
    <row r="1716">
      <c r="A1716" s="6">
        <v>315.0</v>
      </c>
      <c r="B1716" s="76" t="str">
        <f>IFERROR(VLOOKUP($A1716,EVENTO!$A$2:$C$4999,2,FALSE),"")</f>
        <v>ADITIVO DE PRAZO</v>
      </c>
      <c r="C1716" s="76" t="str">
        <f>IFERROR(VLOOKUP($A1716,EVENTO!$A$2:$C$4999,3,FALSE),"")</f>
        <v>PREFEITURA MUNICIPAL DE ARACATI - MEIO AMBIENTE</v>
      </c>
      <c r="D1716" s="100" t="s">
        <v>1549</v>
      </c>
      <c r="E1716" s="4" t="s">
        <v>1550</v>
      </c>
      <c r="F1716" s="78">
        <v>5.0</v>
      </c>
      <c r="G1716" s="92">
        <v>221.78</v>
      </c>
    </row>
    <row r="1717">
      <c r="A1717" s="6">
        <v>315.0</v>
      </c>
      <c r="B1717" s="76" t="str">
        <f>IFERROR(VLOOKUP($A1717,EVENTO!$A$2:$C$4999,2,FALSE),"")</f>
        <v>ADITIVO DE PRAZO</v>
      </c>
      <c r="C1717" s="76" t="str">
        <f>IFERROR(VLOOKUP($A1717,EVENTO!$A$2:$C$4999,3,FALSE),"")</f>
        <v>PREFEITURA MUNICIPAL DE ARACATI - MEIO AMBIENTE</v>
      </c>
      <c r="D1717" s="100" t="s">
        <v>1551</v>
      </c>
      <c r="E1717" s="4" t="s">
        <v>1552</v>
      </c>
      <c r="F1717" s="78">
        <v>5.0</v>
      </c>
      <c r="G1717" s="92">
        <v>173.93</v>
      </c>
    </row>
    <row r="1718">
      <c r="A1718" s="6">
        <v>315.0</v>
      </c>
      <c r="B1718" s="76" t="str">
        <f>IFERROR(VLOOKUP($A1718,EVENTO!$A$2:$C$4999,2,FALSE),"")</f>
        <v>ADITIVO DE PRAZO</v>
      </c>
      <c r="C1718" s="76" t="str">
        <f>IFERROR(VLOOKUP($A1718,EVENTO!$A$2:$C$4999,3,FALSE),"")</f>
        <v>PREFEITURA MUNICIPAL DE ARACATI - MEIO AMBIENTE</v>
      </c>
      <c r="D1718" s="100" t="s">
        <v>1553</v>
      </c>
      <c r="E1718" s="4"/>
      <c r="F1718" s="78">
        <v>5.0</v>
      </c>
      <c r="G1718" s="92">
        <v>286.34</v>
      </c>
    </row>
    <row r="1719">
      <c r="A1719" s="6">
        <v>315.0</v>
      </c>
      <c r="B1719" s="76" t="str">
        <f>IFERROR(VLOOKUP($A1719,EVENTO!$A$2:$C$4999,2,FALSE),"")</f>
        <v>ADITIVO DE PRAZO</v>
      </c>
      <c r="C1719" s="76" t="str">
        <f>IFERROR(VLOOKUP($A1719,EVENTO!$A$2:$C$4999,3,FALSE),"")</f>
        <v>PREFEITURA MUNICIPAL DE ARACATI - MEIO AMBIENTE</v>
      </c>
      <c r="D1719" s="100" t="s">
        <v>1487</v>
      </c>
      <c r="E1719" s="4"/>
      <c r="F1719" s="78">
        <v>5.0</v>
      </c>
      <c r="G1719" s="92">
        <v>234.7</v>
      </c>
    </row>
    <row r="1720">
      <c r="A1720" s="6">
        <v>315.0</v>
      </c>
      <c r="B1720" s="76" t="str">
        <f>IFERROR(VLOOKUP($A1720,EVENTO!$A$2:$C$4999,2,FALSE),"")</f>
        <v>ADITIVO DE PRAZO</v>
      </c>
      <c r="C1720" s="76" t="str">
        <f>IFERROR(VLOOKUP($A1720,EVENTO!$A$2:$C$4999,3,FALSE),"")</f>
        <v>PREFEITURA MUNICIPAL DE ARACATI - MEIO AMBIENTE</v>
      </c>
      <c r="D1720" s="100" t="s">
        <v>1556</v>
      </c>
      <c r="E1720" s="4"/>
      <c r="F1720" s="78">
        <v>5.0</v>
      </c>
      <c r="G1720" s="92">
        <v>148.11</v>
      </c>
    </row>
    <row r="1721">
      <c r="A1721" s="6">
        <v>315.0</v>
      </c>
      <c r="B1721" s="76" t="str">
        <f>IFERROR(VLOOKUP($A1721,EVENTO!$A$2:$C$4999,2,FALSE),"")</f>
        <v>ADITIVO DE PRAZO</v>
      </c>
      <c r="C1721" s="76" t="str">
        <f>IFERROR(VLOOKUP($A1721,EVENTO!$A$2:$C$4999,3,FALSE),"")</f>
        <v>PREFEITURA MUNICIPAL DE ARACATI - MEIO AMBIENTE</v>
      </c>
      <c r="D1721" s="100" t="s">
        <v>1560</v>
      </c>
      <c r="E1721" s="4"/>
      <c r="F1721" s="78">
        <v>2.0</v>
      </c>
      <c r="G1721" s="92">
        <v>50.3</v>
      </c>
    </row>
    <row r="1722">
      <c r="A1722" s="6">
        <v>315.0</v>
      </c>
      <c r="B1722" s="76" t="str">
        <f>IFERROR(VLOOKUP($A1722,EVENTO!$A$2:$C$4999,2,FALSE),"")</f>
        <v>ADITIVO DE PRAZO</v>
      </c>
      <c r="C1722" s="76" t="str">
        <f>IFERROR(VLOOKUP($A1722,EVENTO!$A$2:$C$4999,3,FALSE),"")</f>
        <v>PREFEITURA MUNICIPAL DE ARACATI - MEIO AMBIENTE</v>
      </c>
      <c r="D1722" s="100" t="s">
        <v>1575</v>
      </c>
      <c r="E1722" s="4"/>
      <c r="F1722" s="78">
        <v>1.0</v>
      </c>
      <c r="G1722" s="92">
        <v>13.42</v>
      </c>
    </row>
    <row r="1723">
      <c r="A1723" s="6">
        <v>315.0</v>
      </c>
      <c r="B1723" s="76" t="str">
        <f>IFERROR(VLOOKUP($A1723,EVENTO!$A$2:$C$4999,2,FALSE),"")</f>
        <v>ADITIVO DE PRAZO</v>
      </c>
      <c r="C1723" s="76" t="str">
        <f>IFERROR(VLOOKUP($A1723,EVENTO!$A$2:$C$4999,3,FALSE),"")</f>
        <v>PREFEITURA MUNICIPAL DE ARACATI - MEIO AMBIENTE</v>
      </c>
      <c r="D1723" s="100" t="s">
        <v>1557</v>
      </c>
      <c r="E1723" s="4"/>
      <c r="F1723" s="78">
        <v>3.0</v>
      </c>
      <c r="G1723" s="92">
        <v>91.18</v>
      </c>
    </row>
    <row r="1724">
      <c r="A1724" s="6">
        <v>315.0</v>
      </c>
      <c r="B1724" s="76" t="str">
        <f>IFERROR(VLOOKUP($A1724,EVENTO!$A$2:$C$4999,2,FALSE),"")</f>
        <v>ADITIVO DE PRAZO</v>
      </c>
      <c r="C1724" s="76" t="str">
        <f>IFERROR(VLOOKUP($A1724,EVENTO!$A$2:$C$4999,3,FALSE),"")</f>
        <v>PREFEITURA MUNICIPAL DE ARACATI - MEIO AMBIENTE</v>
      </c>
      <c r="D1724" s="87" t="s">
        <v>1644</v>
      </c>
      <c r="E1724" s="4"/>
      <c r="F1724" s="78">
        <v>4.0</v>
      </c>
      <c r="G1724" s="93">
        <v>41.95</v>
      </c>
    </row>
    <row r="1725">
      <c r="A1725" s="6">
        <v>316.0</v>
      </c>
      <c r="B1725" s="76" t="str">
        <f>IFERROR(VLOOKUP($A1725,EVENTO!$A$2:$C$4999,2,FALSE),"")</f>
        <v>ADITIVO DE PRAZO</v>
      </c>
      <c r="C1725" s="76" t="str">
        <f>IFERROR(VLOOKUP($A1725,EVENTO!$A$2:$C$4999,3,FALSE),"")</f>
        <v>PREFEITURA MUNICIPAL DE ARACATI - MEIO AMBIENTE</v>
      </c>
      <c r="D1725" s="100" t="s">
        <v>1456</v>
      </c>
      <c r="E1725" s="4" t="s">
        <v>1548</v>
      </c>
      <c r="F1725" s="78">
        <v>5.0</v>
      </c>
      <c r="G1725" s="92">
        <v>387.36</v>
      </c>
    </row>
    <row r="1726">
      <c r="A1726" s="6">
        <v>316.0</v>
      </c>
      <c r="B1726" s="76" t="str">
        <f>IFERROR(VLOOKUP($A1726,EVENTO!$A$2:$C$4999,2,FALSE),"")</f>
        <v>ADITIVO DE PRAZO</v>
      </c>
      <c r="C1726" s="76" t="str">
        <f>IFERROR(VLOOKUP($A1726,EVENTO!$A$2:$C$4999,3,FALSE),"")</f>
        <v>PREFEITURA MUNICIPAL DE ARACATI - MEIO AMBIENTE</v>
      </c>
      <c r="D1726" s="100" t="s">
        <v>1549</v>
      </c>
      <c r="E1726" s="4" t="s">
        <v>1550</v>
      </c>
      <c r="F1726" s="78">
        <v>5.0</v>
      </c>
      <c r="G1726" s="92">
        <v>221.78</v>
      </c>
    </row>
    <row r="1727">
      <c r="A1727" s="6">
        <v>316.0</v>
      </c>
      <c r="B1727" s="76" t="str">
        <f>IFERROR(VLOOKUP($A1727,EVENTO!$A$2:$C$4999,2,FALSE),"")</f>
        <v>ADITIVO DE PRAZO</v>
      </c>
      <c r="C1727" s="76" t="str">
        <f>IFERROR(VLOOKUP($A1727,EVENTO!$A$2:$C$4999,3,FALSE),"")</f>
        <v>PREFEITURA MUNICIPAL DE ARACATI - MEIO AMBIENTE</v>
      </c>
      <c r="D1727" s="100" t="s">
        <v>1551</v>
      </c>
      <c r="E1727" s="4" t="s">
        <v>1552</v>
      </c>
      <c r="F1727" s="78">
        <v>5.0</v>
      </c>
      <c r="G1727" s="92">
        <v>173.93</v>
      </c>
    </row>
    <row r="1728">
      <c r="A1728" s="6">
        <v>316.0</v>
      </c>
      <c r="B1728" s="76" t="str">
        <f>IFERROR(VLOOKUP($A1728,EVENTO!$A$2:$C$4999,2,FALSE),"")</f>
        <v>ADITIVO DE PRAZO</v>
      </c>
      <c r="C1728" s="76" t="str">
        <f>IFERROR(VLOOKUP($A1728,EVENTO!$A$2:$C$4999,3,FALSE),"")</f>
        <v>PREFEITURA MUNICIPAL DE ARACATI - MEIO AMBIENTE</v>
      </c>
      <c r="D1728" s="100" t="s">
        <v>1553</v>
      </c>
      <c r="E1728" s="4"/>
      <c r="F1728" s="78">
        <v>5.0</v>
      </c>
      <c r="G1728" s="92">
        <v>286.34</v>
      </c>
    </row>
    <row r="1729">
      <c r="A1729" s="6">
        <v>316.0</v>
      </c>
      <c r="B1729" s="76" t="str">
        <f>IFERROR(VLOOKUP($A1729,EVENTO!$A$2:$C$4999,2,FALSE),"")</f>
        <v>ADITIVO DE PRAZO</v>
      </c>
      <c r="C1729" s="76" t="str">
        <f>IFERROR(VLOOKUP($A1729,EVENTO!$A$2:$C$4999,3,FALSE),"")</f>
        <v>PREFEITURA MUNICIPAL DE ARACATI - MEIO AMBIENTE</v>
      </c>
      <c r="D1729" s="100" t="s">
        <v>1487</v>
      </c>
      <c r="E1729" s="4"/>
      <c r="F1729" s="78">
        <v>5.0</v>
      </c>
      <c r="G1729" s="92">
        <v>234.7</v>
      </c>
    </row>
    <row r="1730">
      <c r="A1730" s="6">
        <v>316.0</v>
      </c>
      <c r="B1730" s="76" t="str">
        <f>IFERROR(VLOOKUP($A1730,EVENTO!$A$2:$C$4999,2,FALSE),"")</f>
        <v>ADITIVO DE PRAZO</v>
      </c>
      <c r="C1730" s="76" t="str">
        <f>IFERROR(VLOOKUP($A1730,EVENTO!$A$2:$C$4999,3,FALSE),"")</f>
        <v>PREFEITURA MUNICIPAL DE ARACATI - MEIO AMBIENTE</v>
      </c>
      <c r="D1730" s="100" t="s">
        <v>1556</v>
      </c>
      <c r="E1730" s="4"/>
      <c r="F1730" s="78">
        <v>5.0</v>
      </c>
      <c r="G1730" s="92">
        <v>148.11</v>
      </c>
    </row>
    <row r="1731">
      <c r="A1731" s="6">
        <v>316.0</v>
      </c>
      <c r="B1731" s="76" t="str">
        <f>IFERROR(VLOOKUP($A1731,EVENTO!$A$2:$C$4999,2,FALSE),"")</f>
        <v>ADITIVO DE PRAZO</v>
      </c>
      <c r="C1731" s="76" t="str">
        <f>IFERROR(VLOOKUP($A1731,EVENTO!$A$2:$C$4999,3,FALSE),"")</f>
        <v>PREFEITURA MUNICIPAL DE ARACATI - MEIO AMBIENTE</v>
      </c>
      <c r="D1731" s="100" t="s">
        <v>1560</v>
      </c>
      <c r="E1731" s="4"/>
      <c r="F1731" s="78">
        <v>2.0</v>
      </c>
      <c r="G1731" s="92">
        <v>50.3</v>
      </c>
    </row>
    <row r="1732">
      <c r="A1732" s="6">
        <v>316.0</v>
      </c>
      <c r="B1732" s="76" t="str">
        <f>IFERROR(VLOOKUP($A1732,EVENTO!$A$2:$C$4999,2,FALSE),"")</f>
        <v>ADITIVO DE PRAZO</v>
      </c>
      <c r="C1732" s="76" t="str">
        <f>IFERROR(VLOOKUP($A1732,EVENTO!$A$2:$C$4999,3,FALSE),"")</f>
        <v>PREFEITURA MUNICIPAL DE ARACATI - MEIO AMBIENTE</v>
      </c>
      <c r="D1732" s="100" t="s">
        <v>1575</v>
      </c>
      <c r="E1732" s="4"/>
      <c r="F1732" s="78">
        <v>1.0</v>
      </c>
      <c r="G1732" s="92">
        <v>13.42</v>
      </c>
    </row>
    <row r="1733">
      <c r="A1733" s="6">
        <v>316.0</v>
      </c>
      <c r="B1733" s="76" t="str">
        <f>IFERROR(VLOOKUP($A1733,EVENTO!$A$2:$C$4999,2,FALSE),"")</f>
        <v>ADITIVO DE PRAZO</v>
      </c>
      <c r="C1733" s="76" t="str">
        <f>IFERROR(VLOOKUP($A1733,EVENTO!$A$2:$C$4999,3,FALSE),"")</f>
        <v>PREFEITURA MUNICIPAL DE ARACATI - MEIO AMBIENTE</v>
      </c>
      <c r="D1733" s="100" t="s">
        <v>1557</v>
      </c>
      <c r="E1733" s="4"/>
      <c r="F1733" s="78">
        <v>3.0</v>
      </c>
      <c r="G1733" s="92">
        <v>91.18</v>
      </c>
    </row>
    <row r="1734">
      <c r="A1734" s="6">
        <v>316.0</v>
      </c>
      <c r="B1734" s="76" t="str">
        <f>IFERROR(VLOOKUP($A1734,EVENTO!$A$2:$C$4999,2,FALSE),"")</f>
        <v>ADITIVO DE PRAZO</v>
      </c>
      <c r="C1734" s="76" t="str">
        <f>IFERROR(VLOOKUP($A1734,EVENTO!$A$2:$C$4999,3,FALSE),"")</f>
        <v>PREFEITURA MUNICIPAL DE ARACATI - MEIO AMBIENTE</v>
      </c>
      <c r="D1734" s="87" t="s">
        <v>1644</v>
      </c>
      <c r="E1734" s="4"/>
      <c r="F1734" s="78">
        <v>4.0</v>
      </c>
      <c r="G1734" s="93">
        <v>41.95</v>
      </c>
    </row>
    <row r="1735">
      <c r="A1735" s="6">
        <v>317.0</v>
      </c>
      <c r="B1735" s="76" t="str">
        <f>IFERROR(VLOOKUP($A1735,EVENTO!$A$2:$C$4999,2,FALSE),"")</f>
        <v>ADITIVO DE PRAZO</v>
      </c>
      <c r="C1735" s="76" t="str">
        <f>IFERROR(VLOOKUP($A1735,EVENTO!$A$2:$C$4999,3,FALSE),"")</f>
        <v>PREFEITURA MUNICIPAL DE ARACATI - MEIO AMBIENTE</v>
      </c>
      <c r="D1735" s="100" t="s">
        <v>1456</v>
      </c>
      <c r="E1735" s="4" t="s">
        <v>1548</v>
      </c>
      <c r="F1735" s="78">
        <v>5.0</v>
      </c>
      <c r="G1735" s="92">
        <v>387.36</v>
      </c>
    </row>
    <row r="1736">
      <c r="A1736" s="6">
        <v>317.0</v>
      </c>
      <c r="B1736" s="76" t="str">
        <f>IFERROR(VLOOKUP($A1736,EVENTO!$A$2:$C$4999,2,FALSE),"")</f>
        <v>ADITIVO DE PRAZO</v>
      </c>
      <c r="C1736" s="76" t="str">
        <f>IFERROR(VLOOKUP($A1736,EVENTO!$A$2:$C$4999,3,FALSE),"")</f>
        <v>PREFEITURA MUNICIPAL DE ARACATI - MEIO AMBIENTE</v>
      </c>
      <c r="D1736" s="100" t="s">
        <v>1549</v>
      </c>
      <c r="E1736" s="4" t="s">
        <v>1550</v>
      </c>
      <c r="F1736" s="78">
        <v>5.0</v>
      </c>
      <c r="G1736" s="92">
        <v>221.78</v>
      </c>
    </row>
    <row r="1737">
      <c r="A1737" s="6">
        <v>317.0</v>
      </c>
      <c r="B1737" s="76" t="str">
        <f>IFERROR(VLOOKUP($A1737,EVENTO!$A$2:$C$4999,2,FALSE),"")</f>
        <v>ADITIVO DE PRAZO</v>
      </c>
      <c r="C1737" s="76" t="str">
        <f>IFERROR(VLOOKUP($A1737,EVENTO!$A$2:$C$4999,3,FALSE),"")</f>
        <v>PREFEITURA MUNICIPAL DE ARACATI - MEIO AMBIENTE</v>
      </c>
      <c r="D1737" s="100" t="s">
        <v>1551</v>
      </c>
      <c r="E1737" s="4" t="s">
        <v>1552</v>
      </c>
      <c r="F1737" s="78">
        <v>5.0</v>
      </c>
      <c r="G1737" s="92">
        <v>173.93</v>
      </c>
    </row>
    <row r="1738">
      <c r="A1738" s="6">
        <v>317.0</v>
      </c>
      <c r="B1738" s="76" t="str">
        <f>IFERROR(VLOOKUP($A1738,EVENTO!$A$2:$C$4999,2,FALSE),"")</f>
        <v>ADITIVO DE PRAZO</v>
      </c>
      <c r="C1738" s="76" t="str">
        <f>IFERROR(VLOOKUP($A1738,EVENTO!$A$2:$C$4999,3,FALSE),"")</f>
        <v>PREFEITURA MUNICIPAL DE ARACATI - MEIO AMBIENTE</v>
      </c>
      <c r="D1738" s="100" t="s">
        <v>1553</v>
      </c>
      <c r="E1738" s="4"/>
      <c r="F1738" s="78">
        <v>5.0</v>
      </c>
      <c r="G1738" s="92">
        <v>286.34</v>
      </c>
    </row>
    <row r="1739">
      <c r="A1739" s="6">
        <v>317.0</v>
      </c>
      <c r="B1739" s="76" t="str">
        <f>IFERROR(VLOOKUP($A1739,EVENTO!$A$2:$C$4999,2,FALSE),"")</f>
        <v>ADITIVO DE PRAZO</v>
      </c>
      <c r="C1739" s="76" t="str">
        <f>IFERROR(VLOOKUP($A1739,EVENTO!$A$2:$C$4999,3,FALSE),"")</f>
        <v>PREFEITURA MUNICIPAL DE ARACATI - MEIO AMBIENTE</v>
      </c>
      <c r="D1739" s="100" t="s">
        <v>1487</v>
      </c>
      <c r="E1739" s="4"/>
      <c r="F1739" s="78">
        <v>5.0</v>
      </c>
      <c r="G1739" s="92">
        <v>234.7</v>
      </c>
    </row>
    <row r="1740">
      <c r="A1740" s="6">
        <v>317.0</v>
      </c>
      <c r="B1740" s="76" t="str">
        <f>IFERROR(VLOOKUP($A1740,EVENTO!$A$2:$C$4999,2,FALSE),"")</f>
        <v>ADITIVO DE PRAZO</v>
      </c>
      <c r="C1740" s="76" t="str">
        <f>IFERROR(VLOOKUP($A1740,EVENTO!$A$2:$C$4999,3,FALSE),"")</f>
        <v>PREFEITURA MUNICIPAL DE ARACATI - MEIO AMBIENTE</v>
      </c>
      <c r="D1740" s="100" t="s">
        <v>1556</v>
      </c>
      <c r="E1740" s="4"/>
      <c r="F1740" s="78">
        <v>5.0</v>
      </c>
      <c r="G1740" s="92">
        <v>148.11</v>
      </c>
    </row>
    <row r="1741">
      <c r="A1741" s="6">
        <v>317.0</v>
      </c>
      <c r="B1741" s="76" t="str">
        <f>IFERROR(VLOOKUP($A1741,EVENTO!$A$2:$C$4999,2,FALSE),"")</f>
        <v>ADITIVO DE PRAZO</v>
      </c>
      <c r="C1741" s="76" t="str">
        <f>IFERROR(VLOOKUP($A1741,EVENTO!$A$2:$C$4999,3,FALSE),"")</f>
        <v>PREFEITURA MUNICIPAL DE ARACATI - MEIO AMBIENTE</v>
      </c>
      <c r="D1741" s="100" t="s">
        <v>1560</v>
      </c>
      <c r="E1741" s="4"/>
      <c r="F1741" s="78">
        <v>2.0</v>
      </c>
      <c r="G1741" s="92">
        <v>50.3</v>
      </c>
    </row>
    <row r="1742">
      <c r="A1742" s="6">
        <v>317.0</v>
      </c>
      <c r="B1742" s="76" t="str">
        <f>IFERROR(VLOOKUP($A1742,EVENTO!$A$2:$C$4999,2,FALSE),"")</f>
        <v>ADITIVO DE PRAZO</v>
      </c>
      <c r="C1742" s="76" t="str">
        <f>IFERROR(VLOOKUP($A1742,EVENTO!$A$2:$C$4999,3,FALSE),"")</f>
        <v>PREFEITURA MUNICIPAL DE ARACATI - MEIO AMBIENTE</v>
      </c>
      <c r="D1742" s="100" t="s">
        <v>1575</v>
      </c>
      <c r="E1742" s="4"/>
      <c r="F1742" s="78">
        <v>1.0</v>
      </c>
      <c r="G1742" s="92">
        <v>13.42</v>
      </c>
    </row>
    <row r="1743">
      <c r="A1743" s="6">
        <v>317.0</v>
      </c>
      <c r="B1743" s="76" t="str">
        <f>IFERROR(VLOOKUP($A1743,EVENTO!$A$2:$C$4999,2,FALSE),"")</f>
        <v>ADITIVO DE PRAZO</v>
      </c>
      <c r="C1743" s="76" t="str">
        <f>IFERROR(VLOOKUP($A1743,EVENTO!$A$2:$C$4999,3,FALSE),"")</f>
        <v>PREFEITURA MUNICIPAL DE ARACATI - MEIO AMBIENTE</v>
      </c>
      <c r="D1743" s="100" t="s">
        <v>1557</v>
      </c>
      <c r="E1743" s="4"/>
      <c r="F1743" s="78">
        <v>3.0</v>
      </c>
      <c r="G1743" s="92">
        <v>91.18</v>
      </c>
    </row>
    <row r="1744">
      <c r="A1744" s="6">
        <v>317.0</v>
      </c>
      <c r="B1744" s="76" t="str">
        <f>IFERROR(VLOOKUP($A1744,EVENTO!$A$2:$C$4999,2,FALSE),"")</f>
        <v>ADITIVO DE PRAZO</v>
      </c>
      <c r="C1744" s="76" t="str">
        <f>IFERROR(VLOOKUP($A1744,EVENTO!$A$2:$C$4999,3,FALSE),"")</f>
        <v>PREFEITURA MUNICIPAL DE ARACATI - MEIO AMBIENTE</v>
      </c>
      <c r="D1744" s="87" t="s">
        <v>1644</v>
      </c>
      <c r="E1744" s="4"/>
      <c r="F1744" s="78">
        <v>4.0</v>
      </c>
      <c r="G1744" s="93">
        <v>41.95</v>
      </c>
    </row>
    <row r="1745">
      <c r="A1745" s="6">
        <v>318.0</v>
      </c>
      <c r="B1745" s="76" t="str">
        <f>IFERROR(VLOOKUP($A1745,EVENTO!$A$2:$C$4999,2,FALSE),"")</f>
        <v>ADITIVO DE PRAZO</v>
      </c>
      <c r="C1745" s="76" t="str">
        <f>IFERROR(VLOOKUP($A1745,EVENTO!$A$2:$C$4999,3,FALSE),"")</f>
        <v>PREFEITURA MUNICIPAL DE ARACATI - MEIO AMBIENTE</v>
      </c>
      <c r="D1745" s="100" t="s">
        <v>1456</v>
      </c>
      <c r="E1745" s="4" t="s">
        <v>1548</v>
      </c>
      <c r="F1745" s="78">
        <v>5.0</v>
      </c>
      <c r="G1745" s="92">
        <v>387.36</v>
      </c>
    </row>
    <row r="1746">
      <c r="A1746" s="6">
        <v>318.0</v>
      </c>
      <c r="B1746" s="76" t="str">
        <f>IFERROR(VLOOKUP($A1746,EVENTO!$A$2:$C$4999,2,FALSE),"")</f>
        <v>ADITIVO DE PRAZO</v>
      </c>
      <c r="C1746" s="76" t="str">
        <f>IFERROR(VLOOKUP($A1746,EVENTO!$A$2:$C$4999,3,FALSE),"")</f>
        <v>PREFEITURA MUNICIPAL DE ARACATI - MEIO AMBIENTE</v>
      </c>
      <c r="D1746" s="100" t="s">
        <v>1549</v>
      </c>
      <c r="E1746" s="4" t="s">
        <v>1550</v>
      </c>
      <c r="F1746" s="78">
        <v>5.0</v>
      </c>
      <c r="G1746" s="92">
        <v>221.78</v>
      </c>
    </row>
    <row r="1747">
      <c r="A1747" s="6">
        <v>318.0</v>
      </c>
      <c r="B1747" s="76" t="str">
        <f>IFERROR(VLOOKUP($A1747,EVENTO!$A$2:$C$4999,2,FALSE),"")</f>
        <v>ADITIVO DE PRAZO</v>
      </c>
      <c r="C1747" s="76" t="str">
        <f>IFERROR(VLOOKUP($A1747,EVENTO!$A$2:$C$4999,3,FALSE),"")</f>
        <v>PREFEITURA MUNICIPAL DE ARACATI - MEIO AMBIENTE</v>
      </c>
      <c r="D1747" s="100" t="s">
        <v>1551</v>
      </c>
      <c r="E1747" s="4" t="s">
        <v>1552</v>
      </c>
      <c r="F1747" s="78">
        <v>5.0</v>
      </c>
      <c r="G1747" s="92">
        <v>173.93</v>
      </c>
    </row>
    <row r="1748">
      <c r="A1748" s="6">
        <v>318.0</v>
      </c>
      <c r="B1748" s="76" t="str">
        <f>IFERROR(VLOOKUP($A1748,EVENTO!$A$2:$C$4999,2,FALSE),"")</f>
        <v>ADITIVO DE PRAZO</v>
      </c>
      <c r="C1748" s="76" t="str">
        <f>IFERROR(VLOOKUP($A1748,EVENTO!$A$2:$C$4999,3,FALSE),"")</f>
        <v>PREFEITURA MUNICIPAL DE ARACATI - MEIO AMBIENTE</v>
      </c>
      <c r="D1748" s="100" t="s">
        <v>1553</v>
      </c>
      <c r="E1748" s="4"/>
      <c r="F1748" s="78">
        <v>5.0</v>
      </c>
      <c r="G1748" s="92">
        <v>286.34</v>
      </c>
    </row>
    <row r="1749">
      <c r="A1749" s="6">
        <v>318.0</v>
      </c>
      <c r="B1749" s="76" t="str">
        <f>IFERROR(VLOOKUP($A1749,EVENTO!$A$2:$C$4999,2,FALSE),"")</f>
        <v>ADITIVO DE PRAZO</v>
      </c>
      <c r="C1749" s="76" t="str">
        <f>IFERROR(VLOOKUP($A1749,EVENTO!$A$2:$C$4999,3,FALSE),"")</f>
        <v>PREFEITURA MUNICIPAL DE ARACATI - MEIO AMBIENTE</v>
      </c>
      <c r="D1749" s="100" t="s">
        <v>1487</v>
      </c>
      <c r="E1749" s="4"/>
      <c r="F1749" s="78">
        <v>5.0</v>
      </c>
      <c r="G1749" s="92">
        <v>234.7</v>
      </c>
    </row>
    <row r="1750">
      <c r="A1750" s="6">
        <v>318.0</v>
      </c>
      <c r="B1750" s="76" t="str">
        <f>IFERROR(VLOOKUP($A1750,EVENTO!$A$2:$C$4999,2,FALSE),"")</f>
        <v>ADITIVO DE PRAZO</v>
      </c>
      <c r="C1750" s="76" t="str">
        <f>IFERROR(VLOOKUP($A1750,EVENTO!$A$2:$C$4999,3,FALSE),"")</f>
        <v>PREFEITURA MUNICIPAL DE ARACATI - MEIO AMBIENTE</v>
      </c>
      <c r="D1750" s="100" t="s">
        <v>1556</v>
      </c>
      <c r="E1750" s="4"/>
      <c r="F1750" s="78">
        <v>5.0</v>
      </c>
      <c r="G1750" s="92">
        <v>148.11</v>
      </c>
    </row>
    <row r="1751">
      <c r="A1751" s="6">
        <v>318.0</v>
      </c>
      <c r="B1751" s="76" t="str">
        <f>IFERROR(VLOOKUP($A1751,EVENTO!$A$2:$C$4999,2,FALSE),"")</f>
        <v>ADITIVO DE PRAZO</v>
      </c>
      <c r="C1751" s="76" t="str">
        <f>IFERROR(VLOOKUP($A1751,EVENTO!$A$2:$C$4999,3,FALSE),"")</f>
        <v>PREFEITURA MUNICIPAL DE ARACATI - MEIO AMBIENTE</v>
      </c>
      <c r="D1751" s="100" t="s">
        <v>1560</v>
      </c>
      <c r="E1751" s="4"/>
      <c r="F1751" s="78">
        <v>2.0</v>
      </c>
      <c r="G1751" s="92">
        <v>50.3</v>
      </c>
    </row>
    <row r="1752">
      <c r="A1752" s="6">
        <v>318.0</v>
      </c>
      <c r="B1752" s="76" t="str">
        <f>IFERROR(VLOOKUP($A1752,EVENTO!$A$2:$C$4999,2,FALSE),"")</f>
        <v>ADITIVO DE PRAZO</v>
      </c>
      <c r="C1752" s="76" t="str">
        <f>IFERROR(VLOOKUP($A1752,EVENTO!$A$2:$C$4999,3,FALSE),"")</f>
        <v>PREFEITURA MUNICIPAL DE ARACATI - MEIO AMBIENTE</v>
      </c>
      <c r="D1752" s="100" t="s">
        <v>1575</v>
      </c>
      <c r="E1752" s="4"/>
      <c r="F1752" s="78">
        <v>1.0</v>
      </c>
      <c r="G1752" s="92">
        <v>13.42</v>
      </c>
    </row>
    <row r="1753">
      <c r="A1753" s="6">
        <v>318.0</v>
      </c>
      <c r="B1753" s="76" t="str">
        <f>IFERROR(VLOOKUP($A1753,EVENTO!$A$2:$C$4999,2,FALSE),"")</f>
        <v>ADITIVO DE PRAZO</v>
      </c>
      <c r="C1753" s="76" t="str">
        <f>IFERROR(VLOOKUP($A1753,EVENTO!$A$2:$C$4999,3,FALSE),"")</f>
        <v>PREFEITURA MUNICIPAL DE ARACATI - MEIO AMBIENTE</v>
      </c>
      <c r="D1753" s="100" t="s">
        <v>1557</v>
      </c>
      <c r="E1753" s="4"/>
      <c r="F1753" s="78">
        <v>3.0</v>
      </c>
      <c r="G1753" s="92">
        <v>91.18</v>
      </c>
    </row>
    <row r="1754">
      <c r="A1754" s="6">
        <v>318.0</v>
      </c>
      <c r="B1754" s="76" t="str">
        <f>IFERROR(VLOOKUP($A1754,EVENTO!$A$2:$C$4999,2,FALSE),"")</f>
        <v>ADITIVO DE PRAZO</v>
      </c>
      <c r="C1754" s="76" t="str">
        <f>IFERROR(VLOOKUP($A1754,EVENTO!$A$2:$C$4999,3,FALSE),"")</f>
        <v>PREFEITURA MUNICIPAL DE ARACATI - MEIO AMBIENTE</v>
      </c>
      <c r="D1754" s="87" t="s">
        <v>1644</v>
      </c>
      <c r="E1754" s="4"/>
      <c r="F1754" s="78">
        <v>4.0</v>
      </c>
      <c r="G1754" s="93">
        <v>41.95</v>
      </c>
    </row>
    <row r="1755">
      <c r="A1755" s="6">
        <v>319.0</v>
      </c>
      <c r="B1755" s="76" t="str">
        <f>IFERROR(VLOOKUP($A1755,EVENTO!$A$2:$C$4999,2,FALSE),"")</f>
        <v>CADASTRO</v>
      </c>
      <c r="C1755" s="76" t="str">
        <f>IFERROR(VLOOKUP($A1755,EVENTO!$A$2:$C$4999,3,FALSE),"")</f>
        <v>PREFEITURA MUNICIPAL DE ARACATI - PLANEJAMENTO E ADMINISTRAÇÃO</v>
      </c>
      <c r="D1755" s="78" t="s">
        <v>1544</v>
      </c>
      <c r="E1755" s="6" t="s">
        <v>1545</v>
      </c>
      <c r="F1755" s="78">
        <v>1.0</v>
      </c>
      <c r="G1755" s="79">
        <v>534.71</v>
      </c>
    </row>
    <row r="1756">
      <c r="A1756" s="6">
        <v>319.0</v>
      </c>
      <c r="B1756" s="76" t="str">
        <f>IFERROR(VLOOKUP($A1756,EVENTO!$A$2:$C$4999,2,FALSE),"")</f>
        <v>CADASTRO</v>
      </c>
      <c r="C1756" s="76" t="str">
        <f>IFERROR(VLOOKUP($A1756,EVENTO!$A$2:$C$4999,3,FALSE),"")</f>
        <v>PREFEITURA MUNICIPAL DE ARACATI - PLANEJAMENTO E ADMINISTRAÇÃO</v>
      </c>
      <c r="D1756" s="78" t="s">
        <v>1458</v>
      </c>
      <c r="E1756" s="6" t="s">
        <v>1535</v>
      </c>
      <c r="F1756" s="78">
        <v>1.0</v>
      </c>
      <c r="G1756" s="79">
        <v>344.75</v>
      </c>
    </row>
    <row r="1757">
      <c r="A1757" s="6">
        <v>319.0</v>
      </c>
      <c r="B1757" s="76" t="str">
        <f>IFERROR(VLOOKUP($A1757,EVENTO!$A$2:$C$4999,2,FALSE),"")</f>
        <v>CADASTRO</v>
      </c>
      <c r="C1757" s="76" t="str">
        <f>IFERROR(VLOOKUP($A1757,EVENTO!$A$2:$C$4999,3,FALSE),"")</f>
        <v>PREFEITURA MUNICIPAL DE ARACATI - PLANEJAMENTO E ADMINISTRAÇÃO</v>
      </c>
      <c r="D1757" s="100" t="s">
        <v>1549</v>
      </c>
      <c r="E1757" s="4" t="s">
        <v>1550</v>
      </c>
      <c r="F1757" s="78">
        <v>5.0</v>
      </c>
      <c r="G1757" s="92">
        <v>221.78</v>
      </c>
    </row>
    <row r="1758">
      <c r="A1758" s="6">
        <v>319.0</v>
      </c>
      <c r="B1758" s="76" t="str">
        <f>IFERROR(VLOOKUP($A1758,EVENTO!$A$2:$C$4999,2,FALSE),"")</f>
        <v>CADASTRO</v>
      </c>
      <c r="C1758" s="76" t="str">
        <f>IFERROR(VLOOKUP($A1758,EVENTO!$A$2:$C$4999,3,FALSE),"")</f>
        <v>PREFEITURA MUNICIPAL DE ARACATI - PLANEJAMENTO E ADMINISTRAÇÃO</v>
      </c>
      <c r="D1758" s="100" t="s">
        <v>1553</v>
      </c>
      <c r="E1758" s="4"/>
      <c r="F1758" s="78">
        <v>6.0</v>
      </c>
      <c r="G1758" s="92">
        <v>286.34</v>
      </c>
    </row>
    <row r="1759">
      <c r="A1759" s="6">
        <v>319.0</v>
      </c>
      <c r="B1759" s="76" t="str">
        <f>IFERROR(VLOOKUP($A1759,EVENTO!$A$2:$C$4999,2,FALSE),"")</f>
        <v>CADASTRO</v>
      </c>
      <c r="C1759" s="76" t="str">
        <f>IFERROR(VLOOKUP($A1759,EVENTO!$A$2:$C$4999,3,FALSE),"")</f>
        <v>PREFEITURA MUNICIPAL DE ARACATI - PLANEJAMENTO E ADMINISTRAÇÃO</v>
      </c>
      <c r="D1759" s="100" t="s">
        <v>1487</v>
      </c>
      <c r="E1759" s="4"/>
      <c r="F1759" s="78">
        <v>1.0</v>
      </c>
      <c r="G1759" s="92">
        <v>234.7</v>
      </c>
    </row>
    <row r="1760">
      <c r="A1760" s="6">
        <v>319.0</v>
      </c>
      <c r="B1760" s="76" t="str">
        <f>IFERROR(VLOOKUP($A1760,EVENTO!$A$2:$C$4999,2,FALSE),"")</f>
        <v>CADASTRO</v>
      </c>
      <c r="C1760" s="76" t="str">
        <f>IFERROR(VLOOKUP($A1760,EVENTO!$A$2:$C$4999,3,FALSE),"")</f>
        <v>PREFEITURA MUNICIPAL DE ARACATI - PLANEJAMENTO E ADMINISTRAÇÃO</v>
      </c>
      <c r="D1760" s="100" t="s">
        <v>1556</v>
      </c>
      <c r="E1760" s="4"/>
      <c r="F1760" s="78">
        <v>1.0</v>
      </c>
      <c r="G1760" s="92">
        <v>148.11</v>
      </c>
    </row>
    <row r="1761">
      <c r="A1761" s="6">
        <v>319.0</v>
      </c>
      <c r="B1761" s="76" t="str">
        <f>IFERROR(VLOOKUP($A1761,EVENTO!$A$2:$C$4999,2,FALSE),"")</f>
        <v>CADASTRO</v>
      </c>
      <c r="C1761" s="76" t="str">
        <f>IFERROR(VLOOKUP($A1761,EVENTO!$A$2:$C$4999,3,FALSE),"")</f>
        <v>PREFEITURA MUNICIPAL DE ARACATI - PLANEJAMENTO E ADMINISTRAÇÃO</v>
      </c>
      <c r="D1761" s="81" t="s">
        <v>1384</v>
      </c>
      <c r="F1761" s="78">
        <v>1.0</v>
      </c>
      <c r="G1761" s="79">
        <v>1239.56</v>
      </c>
    </row>
    <row r="1762">
      <c r="A1762" s="6">
        <v>319.0</v>
      </c>
      <c r="B1762" s="76" t="str">
        <f>IFERROR(VLOOKUP($A1762,EVENTO!$A$2:$C$4999,2,FALSE),"")</f>
        <v>CADASTRO</v>
      </c>
      <c r="C1762" s="76" t="str">
        <f>IFERROR(VLOOKUP($A1762,EVENTO!$A$2:$C$4999,3,FALSE),"")</f>
        <v>PREFEITURA MUNICIPAL DE ARACATI - PLANEJAMENTO E ADMINISTRAÇÃO</v>
      </c>
      <c r="D1762" s="87" t="s">
        <v>1650</v>
      </c>
      <c r="E1762" s="4"/>
      <c r="F1762" s="78">
        <v>1.0</v>
      </c>
      <c r="G1762" s="92">
        <v>201.73</v>
      </c>
    </row>
    <row r="1763">
      <c r="A1763" s="6">
        <v>319.0</v>
      </c>
      <c r="B1763" s="76" t="str">
        <f>IFERROR(VLOOKUP($A1763,EVENTO!$A$2:$C$4999,2,FALSE),"")</f>
        <v>CADASTRO</v>
      </c>
      <c r="C1763" s="76" t="str">
        <f>IFERROR(VLOOKUP($A1763,EVENTO!$A$2:$C$4999,3,FALSE),"")</f>
        <v>PREFEITURA MUNICIPAL DE ARACATI - PLANEJAMENTO E ADMINISTRAÇÃO</v>
      </c>
      <c r="D1763" s="87" t="s">
        <v>1580</v>
      </c>
      <c r="E1763" s="4"/>
      <c r="F1763" s="78">
        <v>1.0</v>
      </c>
      <c r="G1763" s="92">
        <v>193.47</v>
      </c>
    </row>
    <row r="1764">
      <c r="A1764" s="6">
        <v>319.0</v>
      </c>
      <c r="B1764" s="76" t="str">
        <f>IFERROR(VLOOKUP($A1764,EVENTO!$A$2:$C$4999,2,FALSE),"")</f>
        <v>CADASTRO</v>
      </c>
      <c r="C1764" s="76" t="str">
        <f>IFERROR(VLOOKUP($A1764,EVENTO!$A$2:$C$4999,3,FALSE),"")</f>
        <v>PREFEITURA MUNICIPAL DE ARACATI - PLANEJAMENTO E ADMINISTRAÇÃO</v>
      </c>
      <c r="D1764" s="87" t="s">
        <v>1575</v>
      </c>
      <c r="E1764" s="4"/>
      <c r="F1764" s="78">
        <v>1.0</v>
      </c>
      <c r="G1764" s="92">
        <v>13.42</v>
      </c>
    </row>
    <row r="1765">
      <c r="A1765" s="6">
        <v>319.0</v>
      </c>
      <c r="B1765" s="76" t="str">
        <f>IFERROR(VLOOKUP($A1765,EVENTO!$A$2:$C$4999,2,FALSE),"")</f>
        <v>CADASTRO</v>
      </c>
      <c r="C1765" s="76" t="str">
        <f>IFERROR(VLOOKUP($A1765,EVENTO!$A$2:$C$4999,3,FALSE),"")</f>
        <v>PREFEITURA MUNICIPAL DE ARACATI - PLANEJAMENTO E ADMINISTRAÇÃO</v>
      </c>
      <c r="D1765" s="87" t="s">
        <v>1557</v>
      </c>
      <c r="E1765" s="4"/>
      <c r="F1765" s="78">
        <v>3.0</v>
      </c>
      <c r="G1765" s="92">
        <v>91.18</v>
      </c>
    </row>
    <row r="1766">
      <c r="A1766" s="6">
        <v>319.0</v>
      </c>
      <c r="B1766" s="76" t="str">
        <f>IFERROR(VLOOKUP($A1766,EVENTO!$A$2:$C$4999,2,FALSE),"")</f>
        <v>CADASTRO</v>
      </c>
      <c r="C1766" s="76" t="str">
        <f>IFERROR(VLOOKUP($A1766,EVENTO!$A$2:$C$4999,3,FALSE),"")</f>
        <v>PREFEITURA MUNICIPAL DE ARACATI - PLANEJAMENTO E ADMINISTRAÇÃO</v>
      </c>
      <c r="D1766" s="87" t="s">
        <v>1538</v>
      </c>
      <c r="E1766" s="4"/>
      <c r="F1766" s="78">
        <v>1.0</v>
      </c>
      <c r="G1766" s="92">
        <v>199.46</v>
      </c>
    </row>
    <row r="1767">
      <c r="A1767" s="6">
        <v>320.0</v>
      </c>
      <c r="B1767" s="76" t="str">
        <f>IFERROR(VLOOKUP($A1767,EVENTO!$A$2:$C$4999,2,FALSE),"")</f>
        <v>ADITIVO DE PRAZO</v>
      </c>
      <c r="C1767" s="76" t="str">
        <f>IFERROR(VLOOKUP($A1767,EVENTO!$A$2:$C$4999,3,FALSE),"")</f>
        <v>PREFEITURA MUNICIPAL DE ARACATI - PLANEJAMENTO E ADMINISTRAÇÃO</v>
      </c>
      <c r="D1767" s="78" t="s">
        <v>1544</v>
      </c>
      <c r="E1767" s="6" t="s">
        <v>1545</v>
      </c>
      <c r="F1767" s="78">
        <v>1.0</v>
      </c>
      <c r="G1767" s="79">
        <v>534.71</v>
      </c>
    </row>
    <row r="1768">
      <c r="A1768" s="6">
        <v>320.0</v>
      </c>
      <c r="B1768" s="76" t="str">
        <f>IFERROR(VLOOKUP($A1768,EVENTO!$A$2:$C$4999,2,FALSE),"")</f>
        <v>ADITIVO DE PRAZO</v>
      </c>
      <c r="C1768" s="76" t="str">
        <f>IFERROR(VLOOKUP($A1768,EVENTO!$A$2:$C$4999,3,FALSE),"")</f>
        <v>PREFEITURA MUNICIPAL DE ARACATI - PLANEJAMENTO E ADMINISTRAÇÃO</v>
      </c>
      <c r="D1768" s="78" t="s">
        <v>1458</v>
      </c>
      <c r="E1768" s="6" t="s">
        <v>1535</v>
      </c>
      <c r="F1768" s="78">
        <v>1.0</v>
      </c>
      <c r="G1768" s="79">
        <v>344.75</v>
      </c>
    </row>
    <row r="1769">
      <c r="A1769" s="6">
        <v>320.0</v>
      </c>
      <c r="B1769" s="76" t="str">
        <f>IFERROR(VLOOKUP($A1769,EVENTO!$A$2:$C$4999,2,FALSE),"")</f>
        <v>ADITIVO DE PRAZO</v>
      </c>
      <c r="C1769" s="76" t="str">
        <f>IFERROR(VLOOKUP($A1769,EVENTO!$A$2:$C$4999,3,FALSE),"")</f>
        <v>PREFEITURA MUNICIPAL DE ARACATI - PLANEJAMENTO E ADMINISTRAÇÃO</v>
      </c>
      <c r="D1769" s="100" t="s">
        <v>1549</v>
      </c>
      <c r="E1769" s="4" t="s">
        <v>1550</v>
      </c>
      <c r="F1769" s="78">
        <v>5.0</v>
      </c>
      <c r="G1769" s="92">
        <v>221.78</v>
      </c>
    </row>
    <row r="1770">
      <c r="A1770" s="6">
        <v>320.0</v>
      </c>
      <c r="B1770" s="76" t="str">
        <f>IFERROR(VLOOKUP($A1770,EVENTO!$A$2:$C$4999,2,FALSE),"")</f>
        <v>ADITIVO DE PRAZO</v>
      </c>
      <c r="C1770" s="76" t="str">
        <f>IFERROR(VLOOKUP($A1770,EVENTO!$A$2:$C$4999,3,FALSE),"")</f>
        <v>PREFEITURA MUNICIPAL DE ARACATI - PLANEJAMENTO E ADMINISTRAÇÃO</v>
      </c>
      <c r="D1770" s="100" t="s">
        <v>1553</v>
      </c>
      <c r="E1770" s="4"/>
      <c r="F1770" s="78">
        <v>6.0</v>
      </c>
      <c r="G1770" s="92">
        <v>286.34</v>
      </c>
    </row>
    <row r="1771">
      <c r="A1771" s="6">
        <v>320.0</v>
      </c>
      <c r="B1771" s="76" t="str">
        <f>IFERROR(VLOOKUP($A1771,EVENTO!$A$2:$C$4999,2,FALSE),"")</f>
        <v>ADITIVO DE PRAZO</v>
      </c>
      <c r="C1771" s="76" t="str">
        <f>IFERROR(VLOOKUP($A1771,EVENTO!$A$2:$C$4999,3,FALSE),"")</f>
        <v>PREFEITURA MUNICIPAL DE ARACATI - PLANEJAMENTO E ADMINISTRAÇÃO</v>
      </c>
      <c r="D1771" s="100" t="s">
        <v>1487</v>
      </c>
      <c r="E1771" s="4"/>
      <c r="F1771" s="78">
        <v>1.0</v>
      </c>
      <c r="G1771" s="92">
        <v>234.7</v>
      </c>
    </row>
    <row r="1772">
      <c r="A1772" s="6">
        <v>320.0</v>
      </c>
      <c r="B1772" s="76" t="str">
        <f>IFERROR(VLOOKUP($A1772,EVENTO!$A$2:$C$4999,2,FALSE),"")</f>
        <v>ADITIVO DE PRAZO</v>
      </c>
      <c r="C1772" s="76" t="str">
        <f>IFERROR(VLOOKUP($A1772,EVENTO!$A$2:$C$4999,3,FALSE),"")</f>
        <v>PREFEITURA MUNICIPAL DE ARACATI - PLANEJAMENTO E ADMINISTRAÇÃO</v>
      </c>
      <c r="D1772" s="100" t="s">
        <v>1556</v>
      </c>
      <c r="E1772" s="4"/>
      <c r="F1772" s="78">
        <v>1.0</v>
      </c>
      <c r="G1772" s="92">
        <v>148.11</v>
      </c>
    </row>
    <row r="1773">
      <c r="A1773" s="6">
        <v>320.0</v>
      </c>
      <c r="B1773" s="76" t="str">
        <f>IFERROR(VLOOKUP($A1773,EVENTO!$A$2:$C$4999,2,FALSE),"")</f>
        <v>ADITIVO DE PRAZO</v>
      </c>
      <c r="C1773" s="76" t="str">
        <f>IFERROR(VLOOKUP($A1773,EVENTO!$A$2:$C$4999,3,FALSE),"")</f>
        <v>PREFEITURA MUNICIPAL DE ARACATI - PLANEJAMENTO E ADMINISTRAÇÃO</v>
      </c>
      <c r="D1773" s="81" t="s">
        <v>1384</v>
      </c>
      <c r="F1773" s="78">
        <v>1.0</v>
      </c>
      <c r="G1773" s="79">
        <v>1239.56</v>
      </c>
    </row>
    <row r="1774">
      <c r="A1774" s="6">
        <v>320.0</v>
      </c>
      <c r="B1774" s="76" t="str">
        <f>IFERROR(VLOOKUP($A1774,EVENTO!$A$2:$C$4999,2,FALSE),"")</f>
        <v>ADITIVO DE PRAZO</v>
      </c>
      <c r="C1774" s="76" t="str">
        <f>IFERROR(VLOOKUP($A1774,EVENTO!$A$2:$C$4999,3,FALSE),"")</f>
        <v>PREFEITURA MUNICIPAL DE ARACATI - PLANEJAMENTO E ADMINISTRAÇÃO</v>
      </c>
      <c r="D1774" s="87" t="s">
        <v>1650</v>
      </c>
      <c r="E1774" s="4"/>
      <c r="F1774" s="78">
        <v>1.0</v>
      </c>
      <c r="G1774" s="92">
        <v>201.73</v>
      </c>
    </row>
    <row r="1775">
      <c r="A1775" s="6">
        <v>320.0</v>
      </c>
      <c r="B1775" s="76" t="str">
        <f>IFERROR(VLOOKUP($A1775,EVENTO!$A$2:$C$4999,2,FALSE),"")</f>
        <v>ADITIVO DE PRAZO</v>
      </c>
      <c r="C1775" s="76" t="str">
        <f>IFERROR(VLOOKUP($A1775,EVENTO!$A$2:$C$4999,3,FALSE),"")</f>
        <v>PREFEITURA MUNICIPAL DE ARACATI - PLANEJAMENTO E ADMINISTRAÇÃO</v>
      </c>
      <c r="D1775" s="87" t="s">
        <v>1580</v>
      </c>
      <c r="E1775" s="4"/>
      <c r="F1775" s="78">
        <v>1.0</v>
      </c>
      <c r="G1775" s="92">
        <v>193.47</v>
      </c>
    </row>
    <row r="1776">
      <c r="A1776" s="6">
        <v>320.0</v>
      </c>
      <c r="B1776" s="76" t="str">
        <f>IFERROR(VLOOKUP($A1776,EVENTO!$A$2:$C$4999,2,FALSE),"")</f>
        <v>ADITIVO DE PRAZO</v>
      </c>
      <c r="C1776" s="76" t="str">
        <f>IFERROR(VLOOKUP($A1776,EVENTO!$A$2:$C$4999,3,FALSE),"")</f>
        <v>PREFEITURA MUNICIPAL DE ARACATI - PLANEJAMENTO E ADMINISTRAÇÃO</v>
      </c>
      <c r="D1776" s="87" t="s">
        <v>1575</v>
      </c>
      <c r="E1776" s="4"/>
      <c r="F1776" s="78">
        <v>1.0</v>
      </c>
      <c r="G1776" s="92">
        <v>13.42</v>
      </c>
    </row>
    <row r="1777">
      <c r="A1777" s="6">
        <v>320.0</v>
      </c>
      <c r="B1777" s="76" t="str">
        <f>IFERROR(VLOOKUP($A1777,EVENTO!$A$2:$C$4999,2,FALSE),"")</f>
        <v>ADITIVO DE PRAZO</v>
      </c>
      <c r="C1777" s="76" t="str">
        <f>IFERROR(VLOOKUP($A1777,EVENTO!$A$2:$C$4999,3,FALSE),"")</f>
        <v>PREFEITURA MUNICIPAL DE ARACATI - PLANEJAMENTO E ADMINISTRAÇÃO</v>
      </c>
      <c r="D1777" s="87" t="s">
        <v>1557</v>
      </c>
      <c r="E1777" s="4"/>
      <c r="F1777" s="78">
        <v>3.0</v>
      </c>
      <c r="G1777" s="92">
        <v>91.18</v>
      </c>
    </row>
    <row r="1778">
      <c r="A1778" s="6">
        <v>320.0</v>
      </c>
      <c r="B1778" s="76" t="str">
        <f>IFERROR(VLOOKUP($A1778,EVENTO!$A$2:$C$4999,2,FALSE),"")</f>
        <v>ADITIVO DE PRAZO</v>
      </c>
      <c r="C1778" s="76" t="str">
        <f>IFERROR(VLOOKUP($A1778,EVENTO!$A$2:$C$4999,3,FALSE),"")</f>
        <v>PREFEITURA MUNICIPAL DE ARACATI - PLANEJAMENTO E ADMINISTRAÇÃO</v>
      </c>
      <c r="D1778" s="87" t="s">
        <v>1538</v>
      </c>
      <c r="E1778" s="4"/>
      <c r="F1778" s="78">
        <v>1.0</v>
      </c>
      <c r="G1778" s="92">
        <v>199.46</v>
      </c>
    </row>
    <row r="1779">
      <c r="A1779" s="6">
        <v>321.0</v>
      </c>
      <c r="B1779" s="76" t="str">
        <f>IFERROR(VLOOKUP($A1779,EVENTO!$A$2:$C$4999,2,FALSE),"")</f>
        <v>ADITIVO DE PRAZO</v>
      </c>
      <c r="C1779" s="76" t="str">
        <f>IFERROR(VLOOKUP($A1779,EVENTO!$A$2:$C$4999,3,FALSE),"")</f>
        <v>PREFEITURA MUNICIPAL DE ARACATI - PLANEJAMENTO E ADMINISTRAÇÃO</v>
      </c>
      <c r="D1779" s="78" t="s">
        <v>1544</v>
      </c>
      <c r="E1779" s="6" t="s">
        <v>1545</v>
      </c>
      <c r="F1779" s="78">
        <v>1.0</v>
      </c>
      <c r="G1779" s="79">
        <v>534.71</v>
      </c>
    </row>
    <row r="1780">
      <c r="A1780" s="6">
        <v>321.0</v>
      </c>
      <c r="B1780" s="76" t="str">
        <f>IFERROR(VLOOKUP($A1780,EVENTO!$A$2:$C$4999,2,FALSE),"")</f>
        <v>ADITIVO DE PRAZO</v>
      </c>
      <c r="C1780" s="76" t="str">
        <f>IFERROR(VLOOKUP($A1780,EVENTO!$A$2:$C$4999,3,FALSE),"")</f>
        <v>PREFEITURA MUNICIPAL DE ARACATI - PLANEJAMENTO E ADMINISTRAÇÃO</v>
      </c>
      <c r="D1780" s="78" t="s">
        <v>1458</v>
      </c>
      <c r="E1780" s="6" t="s">
        <v>1535</v>
      </c>
      <c r="F1780" s="78">
        <v>1.0</v>
      </c>
      <c r="G1780" s="79">
        <v>344.75</v>
      </c>
    </row>
    <row r="1781">
      <c r="A1781" s="6">
        <v>321.0</v>
      </c>
      <c r="B1781" s="76" t="str">
        <f>IFERROR(VLOOKUP($A1781,EVENTO!$A$2:$C$4999,2,FALSE),"")</f>
        <v>ADITIVO DE PRAZO</v>
      </c>
      <c r="C1781" s="76" t="str">
        <f>IFERROR(VLOOKUP($A1781,EVENTO!$A$2:$C$4999,3,FALSE),"")</f>
        <v>PREFEITURA MUNICIPAL DE ARACATI - PLANEJAMENTO E ADMINISTRAÇÃO</v>
      </c>
      <c r="D1781" s="100" t="s">
        <v>1549</v>
      </c>
      <c r="E1781" s="4" t="s">
        <v>1550</v>
      </c>
      <c r="F1781" s="78">
        <v>5.0</v>
      </c>
      <c r="G1781" s="92">
        <v>221.78</v>
      </c>
    </row>
    <row r="1782">
      <c r="A1782" s="6">
        <v>321.0</v>
      </c>
      <c r="B1782" s="76" t="str">
        <f>IFERROR(VLOOKUP($A1782,EVENTO!$A$2:$C$4999,2,FALSE),"")</f>
        <v>ADITIVO DE PRAZO</v>
      </c>
      <c r="C1782" s="76" t="str">
        <f>IFERROR(VLOOKUP($A1782,EVENTO!$A$2:$C$4999,3,FALSE),"")</f>
        <v>PREFEITURA MUNICIPAL DE ARACATI - PLANEJAMENTO E ADMINISTRAÇÃO</v>
      </c>
      <c r="D1782" s="100" t="s">
        <v>1553</v>
      </c>
      <c r="E1782" s="4"/>
      <c r="F1782" s="78">
        <v>6.0</v>
      </c>
      <c r="G1782" s="92">
        <v>286.34</v>
      </c>
    </row>
    <row r="1783">
      <c r="A1783" s="6">
        <v>321.0</v>
      </c>
      <c r="B1783" s="76" t="str">
        <f>IFERROR(VLOOKUP($A1783,EVENTO!$A$2:$C$4999,2,FALSE),"")</f>
        <v>ADITIVO DE PRAZO</v>
      </c>
      <c r="C1783" s="76" t="str">
        <f>IFERROR(VLOOKUP($A1783,EVENTO!$A$2:$C$4999,3,FALSE),"")</f>
        <v>PREFEITURA MUNICIPAL DE ARACATI - PLANEJAMENTO E ADMINISTRAÇÃO</v>
      </c>
      <c r="D1783" s="100" t="s">
        <v>1487</v>
      </c>
      <c r="E1783" s="4"/>
      <c r="F1783" s="78">
        <v>1.0</v>
      </c>
      <c r="G1783" s="92">
        <v>234.7</v>
      </c>
    </row>
    <row r="1784">
      <c r="A1784" s="6">
        <v>321.0</v>
      </c>
      <c r="B1784" s="76" t="str">
        <f>IFERROR(VLOOKUP($A1784,EVENTO!$A$2:$C$4999,2,FALSE),"")</f>
        <v>ADITIVO DE PRAZO</v>
      </c>
      <c r="C1784" s="76" t="str">
        <f>IFERROR(VLOOKUP($A1784,EVENTO!$A$2:$C$4999,3,FALSE),"")</f>
        <v>PREFEITURA MUNICIPAL DE ARACATI - PLANEJAMENTO E ADMINISTRAÇÃO</v>
      </c>
      <c r="D1784" s="100" t="s">
        <v>1556</v>
      </c>
      <c r="E1784" s="4"/>
      <c r="F1784" s="78">
        <v>1.0</v>
      </c>
      <c r="G1784" s="92">
        <v>148.11</v>
      </c>
    </row>
    <row r="1785">
      <c r="A1785" s="6">
        <v>321.0</v>
      </c>
      <c r="B1785" s="76" t="str">
        <f>IFERROR(VLOOKUP($A1785,EVENTO!$A$2:$C$4999,2,FALSE),"")</f>
        <v>ADITIVO DE PRAZO</v>
      </c>
      <c r="C1785" s="76" t="str">
        <f>IFERROR(VLOOKUP($A1785,EVENTO!$A$2:$C$4999,3,FALSE),"")</f>
        <v>PREFEITURA MUNICIPAL DE ARACATI - PLANEJAMENTO E ADMINISTRAÇÃO</v>
      </c>
      <c r="D1785" s="81" t="s">
        <v>1384</v>
      </c>
      <c r="F1785" s="78">
        <v>1.0</v>
      </c>
      <c r="G1785" s="79">
        <v>1239.56</v>
      </c>
    </row>
    <row r="1786">
      <c r="A1786" s="6">
        <v>321.0</v>
      </c>
      <c r="B1786" s="76" t="str">
        <f>IFERROR(VLOOKUP($A1786,EVENTO!$A$2:$C$4999,2,FALSE),"")</f>
        <v>ADITIVO DE PRAZO</v>
      </c>
      <c r="C1786" s="76" t="str">
        <f>IFERROR(VLOOKUP($A1786,EVENTO!$A$2:$C$4999,3,FALSE),"")</f>
        <v>PREFEITURA MUNICIPAL DE ARACATI - PLANEJAMENTO E ADMINISTRAÇÃO</v>
      </c>
      <c r="D1786" s="87" t="s">
        <v>1650</v>
      </c>
      <c r="E1786" s="4"/>
      <c r="F1786" s="78">
        <v>1.0</v>
      </c>
      <c r="G1786" s="92">
        <v>201.73</v>
      </c>
    </row>
    <row r="1787">
      <c r="A1787" s="6">
        <v>321.0</v>
      </c>
      <c r="B1787" s="76" t="str">
        <f>IFERROR(VLOOKUP($A1787,EVENTO!$A$2:$C$4999,2,FALSE),"")</f>
        <v>ADITIVO DE PRAZO</v>
      </c>
      <c r="C1787" s="76" t="str">
        <f>IFERROR(VLOOKUP($A1787,EVENTO!$A$2:$C$4999,3,FALSE),"")</f>
        <v>PREFEITURA MUNICIPAL DE ARACATI - PLANEJAMENTO E ADMINISTRAÇÃO</v>
      </c>
      <c r="D1787" s="87" t="s">
        <v>1580</v>
      </c>
      <c r="E1787" s="4"/>
      <c r="F1787" s="78">
        <v>1.0</v>
      </c>
      <c r="G1787" s="92">
        <v>193.47</v>
      </c>
    </row>
    <row r="1788">
      <c r="A1788" s="6">
        <v>321.0</v>
      </c>
      <c r="B1788" s="76" t="str">
        <f>IFERROR(VLOOKUP($A1788,EVENTO!$A$2:$C$4999,2,FALSE),"")</f>
        <v>ADITIVO DE PRAZO</v>
      </c>
      <c r="C1788" s="76" t="str">
        <f>IFERROR(VLOOKUP($A1788,EVENTO!$A$2:$C$4999,3,FALSE),"")</f>
        <v>PREFEITURA MUNICIPAL DE ARACATI - PLANEJAMENTO E ADMINISTRAÇÃO</v>
      </c>
      <c r="D1788" s="87" t="s">
        <v>1575</v>
      </c>
      <c r="E1788" s="4"/>
      <c r="F1788" s="78">
        <v>1.0</v>
      </c>
      <c r="G1788" s="92">
        <v>13.42</v>
      </c>
    </row>
    <row r="1789">
      <c r="A1789" s="6">
        <v>321.0</v>
      </c>
      <c r="B1789" s="76" t="str">
        <f>IFERROR(VLOOKUP($A1789,EVENTO!$A$2:$C$4999,2,FALSE),"")</f>
        <v>ADITIVO DE PRAZO</v>
      </c>
      <c r="C1789" s="76" t="str">
        <f>IFERROR(VLOOKUP($A1789,EVENTO!$A$2:$C$4999,3,FALSE),"")</f>
        <v>PREFEITURA MUNICIPAL DE ARACATI - PLANEJAMENTO E ADMINISTRAÇÃO</v>
      </c>
      <c r="D1789" s="87" t="s">
        <v>1557</v>
      </c>
      <c r="E1789" s="4"/>
      <c r="F1789" s="78">
        <v>3.0</v>
      </c>
      <c r="G1789" s="92">
        <v>91.18</v>
      </c>
    </row>
    <row r="1790">
      <c r="A1790" s="6">
        <v>321.0</v>
      </c>
      <c r="B1790" s="76" t="str">
        <f>IFERROR(VLOOKUP($A1790,EVENTO!$A$2:$C$4999,2,FALSE),"")</f>
        <v>ADITIVO DE PRAZO</v>
      </c>
      <c r="C1790" s="76" t="str">
        <f>IFERROR(VLOOKUP($A1790,EVENTO!$A$2:$C$4999,3,FALSE),"")</f>
        <v>PREFEITURA MUNICIPAL DE ARACATI - PLANEJAMENTO E ADMINISTRAÇÃO</v>
      </c>
      <c r="D1790" s="87" t="s">
        <v>1538</v>
      </c>
      <c r="E1790" s="4"/>
      <c r="F1790" s="78">
        <v>1.0</v>
      </c>
      <c r="G1790" s="92">
        <v>199.46</v>
      </c>
    </row>
    <row r="1791">
      <c r="A1791" s="6">
        <v>322.0</v>
      </c>
      <c r="B1791" s="76" t="str">
        <f>IFERROR(VLOOKUP($A1791,EVENTO!$A$2:$C$4999,2,FALSE),"")</f>
        <v>ADITIVO DE PRAZO</v>
      </c>
      <c r="C1791" s="76" t="str">
        <f>IFERROR(VLOOKUP($A1791,EVENTO!$A$2:$C$4999,3,FALSE),"")</f>
        <v>PREFEITURA MUNICIPAL DE ARACATI - PLANEJAMENTO E ADMINISTRAÇÃO</v>
      </c>
      <c r="D1791" s="78" t="s">
        <v>1544</v>
      </c>
      <c r="E1791" s="6" t="s">
        <v>1545</v>
      </c>
      <c r="F1791" s="78">
        <v>1.0</v>
      </c>
      <c r="G1791" s="79">
        <v>534.71</v>
      </c>
    </row>
    <row r="1792">
      <c r="A1792" s="6">
        <v>322.0</v>
      </c>
      <c r="B1792" s="76" t="str">
        <f>IFERROR(VLOOKUP($A1792,EVENTO!$A$2:$C$4999,2,FALSE),"")</f>
        <v>ADITIVO DE PRAZO</v>
      </c>
      <c r="C1792" s="76" t="str">
        <f>IFERROR(VLOOKUP($A1792,EVENTO!$A$2:$C$4999,3,FALSE),"")</f>
        <v>PREFEITURA MUNICIPAL DE ARACATI - PLANEJAMENTO E ADMINISTRAÇÃO</v>
      </c>
      <c r="D1792" s="78" t="s">
        <v>1458</v>
      </c>
      <c r="E1792" s="6" t="s">
        <v>1535</v>
      </c>
      <c r="F1792" s="78">
        <v>1.0</v>
      </c>
      <c r="G1792" s="79">
        <v>344.75</v>
      </c>
    </row>
    <row r="1793">
      <c r="A1793" s="6">
        <v>322.0</v>
      </c>
      <c r="B1793" s="76" t="str">
        <f>IFERROR(VLOOKUP($A1793,EVENTO!$A$2:$C$4999,2,FALSE),"")</f>
        <v>ADITIVO DE PRAZO</v>
      </c>
      <c r="C1793" s="76" t="str">
        <f>IFERROR(VLOOKUP($A1793,EVENTO!$A$2:$C$4999,3,FALSE),"")</f>
        <v>PREFEITURA MUNICIPAL DE ARACATI - PLANEJAMENTO E ADMINISTRAÇÃO</v>
      </c>
      <c r="D1793" s="100" t="s">
        <v>1549</v>
      </c>
      <c r="E1793" s="4" t="s">
        <v>1550</v>
      </c>
      <c r="F1793" s="78">
        <v>5.0</v>
      </c>
      <c r="G1793" s="92">
        <v>221.78</v>
      </c>
    </row>
    <row r="1794">
      <c r="A1794" s="6">
        <v>322.0</v>
      </c>
      <c r="B1794" s="76" t="str">
        <f>IFERROR(VLOOKUP($A1794,EVENTO!$A$2:$C$4999,2,FALSE),"")</f>
        <v>ADITIVO DE PRAZO</v>
      </c>
      <c r="C1794" s="76" t="str">
        <f>IFERROR(VLOOKUP($A1794,EVENTO!$A$2:$C$4999,3,FALSE),"")</f>
        <v>PREFEITURA MUNICIPAL DE ARACATI - PLANEJAMENTO E ADMINISTRAÇÃO</v>
      </c>
      <c r="D1794" s="100" t="s">
        <v>1553</v>
      </c>
      <c r="E1794" s="4"/>
      <c r="F1794" s="78">
        <v>6.0</v>
      </c>
      <c r="G1794" s="92">
        <v>286.34</v>
      </c>
    </row>
    <row r="1795">
      <c r="A1795" s="6">
        <v>322.0</v>
      </c>
      <c r="B1795" s="76" t="str">
        <f>IFERROR(VLOOKUP($A1795,EVENTO!$A$2:$C$4999,2,FALSE),"")</f>
        <v>ADITIVO DE PRAZO</v>
      </c>
      <c r="C1795" s="76" t="str">
        <f>IFERROR(VLOOKUP($A1795,EVENTO!$A$2:$C$4999,3,FALSE),"")</f>
        <v>PREFEITURA MUNICIPAL DE ARACATI - PLANEJAMENTO E ADMINISTRAÇÃO</v>
      </c>
      <c r="D1795" s="100" t="s">
        <v>1487</v>
      </c>
      <c r="E1795" s="4"/>
      <c r="F1795" s="78">
        <v>1.0</v>
      </c>
      <c r="G1795" s="92">
        <v>234.7</v>
      </c>
    </row>
    <row r="1796">
      <c r="A1796" s="6">
        <v>322.0</v>
      </c>
      <c r="B1796" s="76" t="str">
        <f>IFERROR(VLOOKUP($A1796,EVENTO!$A$2:$C$4999,2,FALSE),"")</f>
        <v>ADITIVO DE PRAZO</v>
      </c>
      <c r="C1796" s="76" t="str">
        <f>IFERROR(VLOOKUP($A1796,EVENTO!$A$2:$C$4999,3,FALSE),"")</f>
        <v>PREFEITURA MUNICIPAL DE ARACATI - PLANEJAMENTO E ADMINISTRAÇÃO</v>
      </c>
      <c r="D1796" s="100" t="s">
        <v>1556</v>
      </c>
      <c r="E1796" s="4"/>
      <c r="F1796" s="78">
        <v>1.0</v>
      </c>
      <c r="G1796" s="92">
        <v>148.11</v>
      </c>
    </row>
    <row r="1797">
      <c r="A1797" s="6">
        <v>322.0</v>
      </c>
      <c r="B1797" s="76" t="str">
        <f>IFERROR(VLOOKUP($A1797,EVENTO!$A$2:$C$4999,2,FALSE),"")</f>
        <v>ADITIVO DE PRAZO</v>
      </c>
      <c r="C1797" s="76" t="str">
        <f>IFERROR(VLOOKUP($A1797,EVENTO!$A$2:$C$4999,3,FALSE),"")</f>
        <v>PREFEITURA MUNICIPAL DE ARACATI - PLANEJAMENTO E ADMINISTRAÇÃO</v>
      </c>
      <c r="D1797" s="81" t="s">
        <v>1384</v>
      </c>
      <c r="F1797" s="78">
        <v>1.0</v>
      </c>
      <c r="G1797" s="79">
        <v>1239.56</v>
      </c>
    </row>
    <row r="1798">
      <c r="A1798" s="6">
        <v>322.0</v>
      </c>
      <c r="B1798" s="76" t="str">
        <f>IFERROR(VLOOKUP($A1798,EVENTO!$A$2:$C$4999,2,FALSE),"")</f>
        <v>ADITIVO DE PRAZO</v>
      </c>
      <c r="C1798" s="76" t="str">
        <f>IFERROR(VLOOKUP($A1798,EVENTO!$A$2:$C$4999,3,FALSE),"")</f>
        <v>PREFEITURA MUNICIPAL DE ARACATI - PLANEJAMENTO E ADMINISTRAÇÃO</v>
      </c>
      <c r="D1798" s="87" t="s">
        <v>1650</v>
      </c>
      <c r="E1798" s="4"/>
      <c r="F1798" s="78">
        <v>1.0</v>
      </c>
      <c r="G1798" s="92">
        <v>201.73</v>
      </c>
    </row>
    <row r="1799">
      <c r="A1799" s="6">
        <v>322.0</v>
      </c>
      <c r="B1799" s="76" t="str">
        <f>IFERROR(VLOOKUP($A1799,EVENTO!$A$2:$C$4999,2,FALSE),"")</f>
        <v>ADITIVO DE PRAZO</v>
      </c>
      <c r="C1799" s="76" t="str">
        <f>IFERROR(VLOOKUP($A1799,EVENTO!$A$2:$C$4999,3,FALSE),"")</f>
        <v>PREFEITURA MUNICIPAL DE ARACATI - PLANEJAMENTO E ADMINISTRAÇÃO</v>
      </c>
      <c r="D1799" s="87" t="s">
        <v>1580</v>
      </c>
      <c r="E1799" s="4"/>
      <c r="F1799" s="78">
        <v>1.0</v>
      </c>
      <c r="G1799" s="92">
        <v>193.47</v>
      </c>
    </row>
    <row r="1800">
      <c r="A1800" s="6">
        <v>322.0</v>
      </c>
      <c r="B1800" s="76" t="str">
        <f>IFERROR(VLOOKUP($A1800,EVENTO!$A$2:$C$4999,2,FALSE),"")</f>
        <v>ADITIVO DE PRAZO</v>
      </c>
      <c r="C1800" s="76" t="str">
        <f>IFERROR(VLOOKUP($A1800,EVENTO!$A$2:$C$4999,3,FALSE),"")</f>
        <v>PREFEITURA MUNICIPAL DE ARACATI - PLANEJAMENTO E ADMINISTRAÇÃO</v>
      </c>
      <c r="D1800" s="87" t="s">
        <v>1575</v>
      </c>
      <c r="E1800" s="4"/>
      <c r="F1800" s="78">
        <v>1.0</v>
      </c>
      <c r="G1800" s="92">
        <v>13.42</v>
      </c>
    </row>
    <row r="1801">
      <c r="A1801" s="6">
        <v>322.0</v>
      </c>
      <c r="B1801" s="76" t="str">
        <f>IFERROR(VLOOKUP($A1801,EVENTO!$A$2:$C$4999,2,FALSE),"")</f>
        <v>ADITIVO DE PRAZO</v>
      </c>
      <c r="C1801" s="76" t="str">
        <f>IFERROR(VLOOKUP($A1801,EVENTO!$A$2:$C$4999,3,FALSE),"")</f>
        <v>PREFEITURA MUNICIPAL DE ARACATI - PLANEJAMENTO E ADMINISTRAÇÃO</v>
      </c>
      <c r="D1801" s="87" t="s">
        <v>1557</v>
      </c>
      <c r="E1801" s="4"/>
      <c r="F1801" s="78">
        <v>3.0</v>
      </c>
      <c r="G1801" s="92">
        <v>91.18</v>
      </c>
    </row>
    <row r="1802">
      <c r="A1802" s="6">
        <v>322.0</v>
      </c>
      <c r="B1802" s="76" t="str">
        <f>IFERROR(VLOOKUP($A1802,EVENTO!$A$2:$C$4999,2,FALSE),"")</f>
        <v>ADITIVO DE PRAZO</v>
      </c>
      <c r="C1802" s="76" t="str">
        <f>IFERROR(VLOOKUP($A1802,EVENTO!$A$2:$C$4999,3,FALSE),"")</f>
        <v>PREFEITURA MUNICIPAL DE ARACATI - PLANEJAMENTO E ADMINISTRAÇÃO</v>
      </c>
      <c r="D1802" s="87" t="s">
        <v>1538</v>
      </c>
      <c r="E1802" s="4"/>
      <c r="F1802" s="78">
        <v>1.0</v>
      </c>
      <c r="G1802" s="92">
        <v>199.46</v>
      </c>
    </row>
    <row r="1803">
      <c r="A1803" s="6">
        <v>324.0</v>
      </c>
      <c r="B1803" s="76" t="str">
        <f>IFERROR(VLOOKUP($A1803,EVENTO!$A$2:$C$4999,2,FALSE),"")</f>
        <v>ADITIVO DE PRAZO</v>
      </c>
      <c r="C1803" s="76" t="str">
        <f>IFERROR(VLOOKUP($A1803,EVENTO!$A$2:$C$4999,3,FALSE),"")</f>
        <v>PREFEITURA MUNICIPAL DE ARACATI - PLANEJAMENTO E ADMINISTRAÇÃO</v>
      </c>
      <c r="D1803" s="78" t="s">
        <v>1544</v>
      </c>
      <c r="E1803" s="6" t="s">
        <v>1545</v>
      </c>
      <c r="F1803" s="78">
        <v>1.0</v>
      </c>
      <c r="G1803" s="79">
        <v>534.71</v>
      </c>
    </row>
    <row r="1804">
      <c r="A1804" s="6">
        <v>324.0</v>
      </c>
      <c r="B1804" s="76" t="str">
        <f>IFERROR(VLOOKUP($A1804,EVENTO!$A$2:$C$4999,2,FALSE),"")</f>
        <v>ADITIVO DE PRAZO</v>
      </c>
      <c r="C1804" s="76" t="str">
        <f>IFERROR(VLOOKUP($A1804,EVENTO!$A$2:$C$4999,3,FALSE),"")</f>
        <v>PREFEITURA MUNICIPAL DE ARACATI - PLANEJAMENTO E ADMINISTRAÇÃO</v>
      </c>
      <c r="D1804" s="78" t="s">
        <v>1458</v>
      </c>
      <c r="E1804" s="6" t="s">
        <v>1535</v>
      </c>
      <c r="F1804" s="78">
        <v>1.0</v>
      </c>
      <c r="G1804" s="79">
        <v>344.75</v>
      </c>
    </row>
    <row r="1805">
      <c r="A1805" s="6">
        <v>324.0</v>
      </c>
      <c r="B1805" s="76" t="str">
        <f>IFERROR(VLOOKUP($A1805,EVENTO!$A$2:$C$4999,2,FALSE),"")</f>
        <v>ADITIVO DE PRAZO</v>
      </c>
      <c r="C1805" s="76" t="str">
        <f>IFERROR(VLOOKUP($A1805,EVENTO!$A$2:$C$4999,3,FALSE),"")</f>
        <v>PREFEITURA MUNICIPAL DE ARACATI - PLANEJAMENTO E ADMINISTRAÇÃO</v>
      </c>
      <c r="D1805" s="100" t="s">
        <v>1549</v>
      </c>
      <c r="E1805" s="4" t="s">
        <v>1550</v>
      </c>
      <c r="F1805" s="78">
        <v>5.0</v>
      </c>
      <c r="G1805" s="92">
        <v>221.78</v>
      </c>
    </row>
    <row r="1806">
      <c r="A1806" s="6">
        <v>324.0</v>
      </c>
      <c r="B1806" s="76" t="str">
        <f>IFERROR(VLOOKUP($A1806,EVENTO!$A$2:$C$4999,2,FALSE),"")</f>
        <v>ADITIVO DE PRAZO</v>
      </c>
      <c r="C1806" s="76" t="str">
        <f>IFERROR(VLOOKUP($A1806,EVENTO!$A$2:$C$4999,3,FALSE),"")</f>
        <v>PREFEITURA MUNICIPAL DE ARACATI - PLANEJAMENTO E ADMINISTRAÇÃO</v>
      </c>
      <c r="D1806" s="100" t="s">
        <v>1553</v>
      </c>
      <c r="E1806" s="4"/>
      <c r="F1806" s="78">
        <v>6.0</v>
      </c>
      <c r="G1806" s="92">
        <v>286.34</v>
      </c>
    </row>
    <row r="1807">
      <c r="A1807" s="6">
        <v>324.0</v>
      </c>
      <c r="B1807" s="76" t="str">
        <f>IFERROR(VLOOKUP($A1807,EVENTO!$A$2:$C$4999,2,FALSE),"")</f>
        <v>ADITIVO DE PRAZO</v>
      </c>
      <c r="C1807" s="76" t="str">
        <f>IFERROR(VLOOKUP($A1807,EVENTO!$A$2:$C$4999,3,FALSE),"")</f>
        <v>PREFEITURA MUNICIPAL DE ARACATI - PLANEJAMENTO E ADMINISTRAÇÃO</v>
      </c>
      <c r="D1807" s="100" t="s">
        <v>1487</v>
      </c>
      <c r="E1807" s="4"/>
      <c r="F1807" s="78">
        <v>1.0</v>
      </c>
      <c r="G1807" s="92">
        <v>234.7</v>
      </c>
    </row>
    <row r="1808">
      <c r="A1808" s="6">
        <v>324.0</v>
      </c>
      <c r="B1808" s="76" t="str">
        <f>IFERROR(VLOOKUP($A1808,EVENTO!$A$2:$C$4999,2,FALSE),"")</f>
        <v>ADITIVO DE PRAZO</v>
      </c>
      <c r="C1808" s="76" t="str">
        <f>IFERROR(VLOOKUP($A1808,EVENTO!$A$2:$C$4999,3,FALSE),"")</f>
        <v>PREFEITURA MUNICIPAL DE ARACATI - PLANEJAMENTO E ADMINISTRAÇÃO</v>
      </c>
      <c r="D1808" s="100" t="s">
        <v>1556</v>
      </c>
      <c r="E1808" s="4"/>
      <c r="F1808" s="78">
        <v>1.0</v>
      </c>
      <c r="G1808" s="92">
        <v>148.11</v>
      </c>
    </row>
    <row r="1809">
      <c r="A1809" s="6">
        <v>324.0</v>
      </c>
      <c r="B1809" s="76" t="str">
        <f>IFERROR(VLOOKUP($A1809,EVENTO!$A$2:$C$4999,2,FALSE),"")</f>
        <v>ADITIVO DE PRAZO</v>
      </c>
      <c r="C1809" s="76" t="str">
        <f>IFERROR(VLOOKUP($A1809,EVENTO!$A$2:$C$4999,3,FALSE),"")</f>
        <v>PREFEITURA MUNICIPAL DE ARACATI - PLANEJAMENTO E ADMINISTRAÇÃO</v>
      </c>
      <c r="D1809" s="81" t="s">
        <v>1384</v>
      </c>
      <c r="F1809" s="78">
        <v>1.0</v>
      </c>
      <c r="G1809" s="79">
        <v>1239.56</v>
      </c>
    </row>
    <row r="1810">
      <c r="A1810" s="6">
        <v>324.0</v>
      </c>
      <c r="B1810" s="76" t="str">
        <f>IFERROR(VLOOKUP($A1810,EVENTO!$A$2:$C$4999,2,FALSE),"")</f>
        <v>ADITIVO DE PRAZO</v>
      </c>
      <c r="C1810" s="76" t="str">
        <f>IFERROR(VLOOKUP($A1810,EVENTO!$A$2:$C$4999,3,FALSE),"")</f>
        <v>PREFEITURA MUNICIPAL DE ARACATI - PLANEJAMENTO E ADMINISTRAÇÃO</v>
      </c>
      <c r="D1810" s="87" t="s">
        <v>1650</v>
      </c>
      <c r="E1810" s="4"/>
      <c r="F1810" s="78">
        <v>1.0</v>
      </c>
      <c r="G1810" s="92">
        <v>201.73</v>
      </c>
    </row>
    <row r="1811">
      <c r="A1811" s="6">
        <v>324.0</v>
      </c>
      <c r="B1811" s="76" t="str">
        <f>IFERROR(VLOOKUP($A1811,EVENTO!$A$2:$C$4999,2,FALSE),"")</f>
        <v>ADITIVO DE PRAZO</v>
      </c>
      <c r="C1811" s="76" t="str">
        <f>IFERROR(VLOOKUP($A1811,EVENTO!$A$2:$C$4999,3,FALSE),"")</f>
        <v>PREFEITURA MUNICIPAL DE ARACATI - PLANEJAMENTO E ADMINISTRAÇÃO</v>
      </c>
      <c r="D1811" s="87" t="s">
        <v>1580</v>
      </c>
      <c r="E1811" s="4"/>
      <c r="F1811" s="78">
        <v>1.0</v>
      </c>
      <c r="G1811" s="92">
        <v>193.47</v>
      </c>
    </row>
    <row r="1812">
      <c r="A1812" s="6">
        <v>324.0</v>
      </c>
      <c r="B1812" s="76" t="str">
        <f>IFERROR(VLOOKUP($A1812,EVENTO!$A$2:$C$4999,2,FALSE),"")</f>
        <v>ADITIVO DE PRAZO</v>
      </c>
      <c r="C1812" s="76" t="str">
        <f>IFERROR(VLOOKUP($A1812,EVENTO!$A$2:$C$4999,3,FALSE),"")</f>
        <v>PREFEITURA MUNICIPAL DE ARACATI - PLANEJAMENTO E ADMINISTRAÇÃO</v>
      </c>
      <c r="D1812" s="87" t="s">
        <v>1575</v>
      </c>
      <c r="E1812" s="4"/>
      <c r="F1812" s="78">
        <v>1.0</v>
      </c>
      <c r="G1812" s="92">
        <v>13.42</v>
      </c>
    </row>
    <row r="1813">
      <c r="A1813" s="6">
        <v>324.0</v>
      </c>
      <c r="B1813" s="76" t="str">
        <f>IFERROR(VLOOKUP($A1813,EVENTO!$A$2:$C$4999,2,FALSE),"")</f>
        <v>ADITIVO DE PRAZO</v>
      </c>
      <c r="C1813" s="76" t="str">
        <f>IFERROR(VLOOKUP($A1813,EVENTO!$A$2:$C$4999,3,FALSE),"")</f>
        <v>PREFEITURA MUNICIPAL DE ARACATI - PLANEJAMENTO E ADMINISTRAÇÃO</v>
      </c>
      <c r="D1813" s="87" t="s">
        <v>1557</v>
      </c>
      <c r="E1813" s="4"/>
      <c r="F1813" s="78">
        <v>3.0</v>
      </c>
      <c r="G1813" s="92">
        <v>91.18</v>
      </c>
    </row>
    <row r="1814">
      <c r="A1814" s="6">
        <v>324.0</v>
      </c>
      <c r="B1814" s="76" t="str">
        <f>IFERROR(VLOOKUP($A1814,EVENTO!$A$2:$C$4999,2,FALSE),"")</f>
        <v>ADITIVO DE PRAZO</v>
      </c>
      <c r="C1814" s="76" t="str">
        <f>IFERROR(VLOOKUP($A1814,EVENTO!$A$2:$C$4999,3,FALSE),"")</f>
        <v>PREFEITURA MUNICIPAL DE ARACATI - PLANEJAMENTO E ADMINISTRAÇÃO</v>
      </c>
      <c r="D1814" s="87" t="s">
        <v>1538</v>
      </c>
      <c r="E1814" s="4"/>
      <c r="F1814" s="78">
        <v>1.0</v>
      </c>
      <c r="G1814" s="92">
        <v>199.46</v>
      </c>
    </row>
    <row r="1815">
      <c r="A1815" s="6">
        <v>333.0</v>
      </c>
      <c r="B1815" s="76" t="str">
        <f>IFERROR(VLOOKUP($A1815,EVENTO!$A$2:$C$4999,2,FALSE),"")</f>
        <v>CADASTRO</v>
      </c>
      <c r="C1815" s="76" t="str">
        <f>IFERROR(VLOOKUP($A1815,EVENTO!$A$2:$C$4999,3,FALSE),"")</f>
        <v>PREFEITURA MUNICIPAL DE CANINDE - SECRETARIA CHEFIA DE GABINETE</v>
      </c>
      <c r="D1815" s="78" t="s">
        <v>1562</v>
      </c>
      <c r="E1815" s="6" t="s">
        <v>1563</v>
      </c>
      <c r="F1815" s="78">
        <v>24.0</v>
      </c>
      <c r="G1815" s="79">
        <v>502.37</v>
      </c>
    </row>
    <row r="1816">
      <c r="A1816" s="6">
        <v>333.0</v>
      </c>
      <c r="B1816" s="76" t="str">
        <f>IFERROR(VLOOKUP($A1816,EVENTO!$A$2:$C$4999,2,FALSE),"")</f>
        <v>CADASTRO</v>
      </c>
      <c r="C1816" s="76" t="str">
        <f>IFERROR(VLOOKUP($A1816,EVENTO!$A$2:$C$4999,3,FALSE),"")</f>
        <v>PREFEITURA MUNICIPAL DE CANINDE - SECRETARIA CHEFIA DE GABINETE</v>
      </c>
      <c r="D1816" s="78" t="s">
        <v>1562</v>
      </c>
      <c r="E1816" s="6" t="s">
        <v>1651</v>
      </c>
      <c r="F1816" s="78">
        <v>24.0</v>
      </c>
      <c r="G1816" s="79">
        <v>350.0</v>
      </c>
    </row>
    <row r="1817">
      <c r="A1817" s="6">
        <v>335.0</v>
      </c>
      <c r="B1817" s="76" t="str">
        <f>IFERROR(VLOOKUP($A1817,EVENTO!$A$2:$C$4999,2,FALSE),"")</f>
        <v>ADITIVO DE QUANTIDADE</v>
      </c>
      <c r="C1817" s="76" t="str">
        <f>IFERROR(VLOOKUP($A1817,EVENTO!$A$2:$C$4999,3,FALSE),"")</f>
        <v>PREFEITURA MUNICIPAL DE CANINDE - SECRETARIA CHEFIA DE GABINETE</v>
      </c>
      <c r="D1817" s="78" t="s">
        <v>1562</v>
      </c>
      <c r="E1817" s="6" t="s">
        <v>1651</v>
      </c>
      <c r="F1817" s="78">
        <v>36.0</v>
      </c>
      <c r="G1817" s="79">
        <v>350.0</v>
      </c>
    </row>
    <row r="1818">
      <c r="A1818" s="6">
        <v>338.0</v>
      </c>
      <c r="B1818" s="76" t="str">
        <f>IFERROR(VLOOKUP($A1818,EVENTO!$A$2:$C$4999,2,FALSE),"")</f>
        <v>CADASTRO</v>
      </c>
      <c r="C1818" s="76" t="str">
        <f>IFERROR(VLOOKUP($A1818,EVENTO!$A$2:$C$4999,3,FALSE),"")</f>
        <v>PREFEITURA MUNICIPAL DE CANINDE - CONTROLADORIA GERAL DO MUNICÍPIO</v>
      </c>
      <c r="D1818" s="78" t="s">
        <v>1562</v>
      </c>
      <c r="E1818" s="6" t="s">
        <v>1651</v>
      </c>
      <c r="F1818" s="78">
        <v>12.0</v>
      </c>
      <c r="G1818" s="79">
        <v>350.0</v>
      </c>
    </row>
    <row r="1819">
      <c r="A1819" s="6">
        <v>338.0</v>
      </c>
      <c r="B1819" s="76" t="str">
        <f>IFERROR(VLOOKUP($A1819,EVENTO!$A$2:$C$4999,2,FALSE),"")</f>
        <v>CADASTRO</v>
      </c>
      <c r="C1819" s="76" t="str">
        <f>IFERROR(VLOOKUP($A1819,EVENTO!$A$2:$C$4999,3,FALSE),"")</f>
        <v>PREFEITURA MUNICIPAL DE CANINDE - CONTROLADORIA GERAL DO MUNICÍPIO</v>
      </c>
      <c r="D1819" s="102" t="s">
        <v>1727</v>
      </c>
      <c r="E1819" s="96" t="s">
        <v>1565</v>
      </c>
      <c r="F1819" s="78">
        <v>12.0</v>
      </c>
      <c r="G1819" s="79">
        <v>200.0</v>
      </c>
    </row>
    <row r="1820">
      <c r="A1820" s="6">
        <v>342.0</v>
      </c>
      <c r="B1820" s="76" t="str">
        <f>IFERROR(VLOOKUP($A1820,EVENTO!$A$2:$C$4999,2,FALSE),"")</f>
        <v>CADASTRO</v>
      </c>
      <c r="C1820" s="76" t="str">
        <f>IFERROR(VLOOKUP($A1820,EVENTO!$A$2:$C$4999,3,FALSE),"")</f>
        <v>PREFEITURA MUNICIPAL DE CANINDE - SECRETARIA DE DESENVOLVIMENTO ECONÔMICO E 
TURISMO</v>
      </c>
      <c r="D1820" s="78" t="s">
        <v>1562</v>
      </c>
      <c r="E1820" s="6" t="s">
        <v>1651</v>
      </c>
      <c r="F1820" s="78">
        <v>12.0</v>
      </c>
      <c r="G1820" s="79">
        <v>350.0</v>
      </c>
    </row>
    <row r="1821">
      <c r="A1821" s="6">
        <v>346.0</v>
      </c>
      <c r="B1821" s="76" t="str">
        <f>IFERROR(VLOOKUP($A1821,EVENTO!$A$2:$C$4999,2,FALSE),"")</f>
        <v>CADASTRO</v>
      </c>
      <c r="C1821" s="76" t="str">
        <f>IFERROR(VLOOKUP($A1821,EVENTO!$A$2:$C$4999,3,FALSE),"")</f>
        <v>PREFEITURA MUNICIPAL DE CANINDE - SECRETARIA MUNICIPAL DE DESENVOLVIMENTO URBANO, INFRAESTRUTURA E SERVIÇOS PÚBLICOS</v>
      </c>
      <c r="D1821" s="102" t="s">
        <v>1727</v>
      </c>
      <c r="E1821" s="96" t="s">
        <v>1565</v>
      </c>
      <c r="F1821" s="78">
        <v>12.0</v>
      </c>
      <c r="G1821" s="79">
        <v>200.0</v>
      </c>
    </row>
    <row r="1822">
      <c r="A1822" s="6">
        <v>350.0</v>
      </c>
      <c r="B1822" s="76" t="str">
        <f>IFERROR(VLOOKUP($A1822,EVENTO!$A$2:$C$4999,2,FALSE),"")</f>
        <v>CADASTRO</v>
      </c>
      <c r="C1822" s="76" t="str">
        <f>IFERROR(VLOOKUP($A1822,EVENTO!$A$2:$C$4999,3,FALSE),"")</f>
        <v>PREFEITURA MUNICIPAL DE CANINDE - FUNDAÇÃO DE ESPORTE, CULTURA E PATRIMÔNIO</v>
      </c>
      <c r="D1822" s="78" t="s">
        <v>1562</v>
      </c>
      <c r="E1822" s="6" t="s">
        <v>1651</v>
      </c>
      <c r="F1822" s="78">
        <v>12.0</v>
      </c>
      <c r="G1822" s="79">
        <v>350.0</v>
      </c>
    </row>
    <row r="1823">
      <c r="A1823" s="6">
        <v>354.0</v>
      </c>
      <c r="B1823" s="76" t="str">
        <f>IFERROR(VLOOKUP($A1823,EVENTO!$A$2:$C$4999,2,FALSE),"")</f>
        <v>CADASTRO</v>
      </c>
      <c r="C1823" s="76" t="str">
        <f>IFERROR(VLOOKUP($A1823,EVENTO!$A$2:$C$4999,3,FALSE),"")</f>
        <v>PREFEITURA MUNICIPAL DE CANINDE - SECRETARIA DE PLANEJAMENTO, ADMINISTRAÇÃO E FINANÇAS</v>
      </c>
      <c r="D1823" s="78" t="s">
        <v>1562</v>
      </c>
      <c r="E1823" s="6" t="s">
        <v>1563</v>
      </c>
      <c r="F1823" s="78">
        <v>192.0</v>
      </c>
      <c r="G1823" s="79">
        <v>502.37</v>
      </c>
    </row>
    <row r="1824">
      <c r="A1824" s="6">
        <v>358.0</v>
      </c>
      <c r="B1824" s="76" t="str">
        <f>IFERROR(VLOOKUP($A1824,EVENTO!$A$2:$C$4999,2,FALSE),"")</f>
        <v>CADASTRO</v>
      </c>
      <c r="C1824" s="76" t="str">
        <f>IFERROR(VLOOKUP($A1824,EVENTO!$A$2:$C$4999,3,FALSE),"")</f>
        <v>PREFEITURA MUNICIPAL DE CANINDE - PROCURADORIA GERAL DO MUNICÍPIO</v>
      </c>
      <c r="D1824" s="78" t="s">
        <v>1562</v>
      </c>
      <c r="E1824" s="6" t="s">
        <v>1563</v>
      </c>
      <c r="F1824" s="78">
        <v>12.0</v>
      </c>
      <c r="G1824" s="79">
        <v>502.37</v>
      </c>
    </row>
    <row r="1825">
      <c r="A1825" s="6">
        <v>362.0</v>
      </c>
      <c r="B1825" s="76" t="str">
        <f>IFERROR(VLOOKUP($A1825,EVENTO!$A$2:$C$4999,2,FALSE),"")</f>
        <v>CADASTRO</v>
      </c>
      <c r="C1825" s="76" t="str">
        <f>IFERROR(VLOOKUP($A1825,EVENTO!$A$2:$C$4999,3,FALSE),"")</f>
        <v>PREFEITURA MUNICIPAL DE CANINDE - SECRETARIA DE SAÚDE</v>
      </c>
      <c r="D1825" s="78" t="s">
        <v>1562</v>
      </c>
      <c r="E1825" s="6" t="s">
        <v>1563</v>
      </c>
      <c r="F1825" s="78">
        <v>12.0</v>
      </c>
      <c r="G1825" s="79">
        <v>502.37</v>
      </c>
    </row>
    <row r="1826">
      <c r="A1826" s="6">
        <v>362.0</v>
      </c>
      <c r="B1826" s="76" t="str">
        <f>IFERROR(VLOOKUP($A1826,EVENTO!$A$2:$C$4999,2,FALSE),"")</f>
        <v>CADASTRO</v>
      </c>
      <c r="C1826" s="76" t="str">
        <f>IFERROR(VLOOKUP($A1826,EVENTO!$A$2:$C$4999,3,FALSE),"")</f>
        <v>PREFEITURA MUNICIPAL DE CANINDE - SECRETARIA DE SAÚDE</v>
      </c>
      <c r="D1826" s="78" t="s">
        <v>1562</v>
      </c>
      <c r="E1826" s="6" t="s">
        <v>1651</v>
      </c>
      <c r="F1826" s="78">
        <v>48.0</v>
      </c>
      <c r="G1826" s="79">
        <v>350.0</v>
      </c>
    </row>
    <row r="1827">
      <c r="A1827" s="6">
        <v>363.0</v>
      </c>
      <c r="B1827" s="76" t="str">
        <f>IFERROR(VLOOKUP($A1827,EVENTO!$A$2:$C$4999,2,FALSE),"")</f>
        <v>ADITIVO DE QUANTIDADE</v>
      </c>
      <c r="C1827" s="76" t="str">
        <f>IFERROR(VLOOKUP($A1827,EVENTO!$A$2:$C$4999,3,FALSE),"")</f>
        <v>PREFEITURA MUNICIPAL DE CANINDE - SECRETARIA DE SAÚDE</v>
      </c>
      <c r="D1827" s="78" t="s">
        <v>1562</v>
      </c>
      <c r="E1827" s="6" t="s">
        <v>1651</v>
      </c>
      <c r="F1827" s="78">
        <v>60.0</v>
      </c>
      <c r="G1827" s="79">
        <v>350.0</v>
      </c>
    </row>
    <row r="1828">
      <c r="A1828" s="6">
        <v>367.0</v>
      </c>
      <c r="B1828" s="76" t="str">
        <f>IFERROR(VLOOKUP($A1828,EVENTO!$A$2:$C$4999,2,FALSE),"")</f>
        <v>CADASTRO</v>
      </c>
      <c r="C1828" s="76" t="str">
        <f>IFERROR(VLOOKUP($A1828,EVENTO!$A$2:$C$4999,3,FALSE),"")</f>
        <v>PREFEITURA MUNICIPAL DE CANINDE - SECRETARIA DE SEGURANÇA PÚBLICA E TRÂNSITO</v>
      </c>
      <c r="D1828" s="78" t="s">
        <v>1562</v>
      </c>
      <c r="E1828" s="6" t="s">
        <v>1651</v>
      </c>
      <c r="F1828" s="78">
        <v>24.0</v>
      </c>
      <c r="G1828" s="79">
        <v>350.0</v>
      </c>
    </row>
    <row r="1829">
      <c r="A1829" s="6">
        <v>371.0</v>
      </c>
      <c r="B1829" s="76" t="str">
        <f>IFERROR(VLOOKUP($A1829,EVENTO!$A$2:$C$4999,2,FALSE),"")</f>
        <v>CADASTRO</v>
      </c>
      <c r="C1829" s="76" t="str">
        <f>IFERROR(VLOOKUP($A1829,EVENTO!$A$2:$C$4999,3,FALSE),"")</f>
        <v>PREFEITURA MUNICIPAL DE ARACATI - PROCURADORIA</v>
      </c>
      <c r="D1829" s="100" t="s">
        <v>1544</v>
      </c>
      <c r="E1829" s="4" t="s">
        <v>1545</v>
      </c>
      <c r="F1829" s="78">
        <v>4.0</v>
      </c>
      <c r="G1829" s="92">
        <v>534.71</v>
      </c>
    </row>
    <row r="1830">
      <c r="A1830" s="6">
        <v>371.0</v>
      </c>
      <c r="B1830" s="76" t="str">
        <f>IFERROR(VLOOKUP($A1830,EVENTO!$A$2:$C$4999,2,FALSE),"")</f>
        <v>CADASTRO</v>
      </c>
      <c r="C1830" s="76" t="str">
        <f>IFERROR(VLOOKUP($A1830,EVENTO!$A$2:$C$4999,3,FALSE),"")</f>
        <v>PREFEITURA MUNICIPAL DE ARACATI - PROCURADORIA</v>
      </c>
      <c r="D1830" s="100" t="s">
        <v>1458</v>
      </c>
      <c r="E1830" s="4" t="s">
        <v>1535</v>
      </c>
      <c r="F1830" s="78">
        <v>6.0</v>
      </c>
      <c r="G1830" s="92">
        <v>344.75</v>
      </c>
    </row>
    <row r="1831">
      <c r="A1831" s="6">
        <v>371.0</v>
      </c>
      <c r="B1831" s="76" t="str">
        <f>IFERROR(VLOOKUP($A1831,EVENTO!$A$2:$C$4999,2,FALSE),"")</f>
        <v>CADASTRO</v>
      </c>
      <c r="C1831" s="76" t="str">
        <f>IFERROR(VLOOKUP($A1831,EVENTO!$A$2:$C$4999,3,FALSE),"")</f>
        <v>PREFEITURA MUNICIPAL DE ARACATI - PROCURADORIA</v>
      </c>
      <c r="D1831" s="100" t="s">
        <v>1456</v>
      </c>
      <c r="E1831" s="4" t="s">
        <v>1548</v>
      </c>
      <c r="F1831" s="78">
        <v>7.0</v>
      </c>
      <c r="G1831" s="92">
        <v>387.36</v>
      </c>
    </row>
    <row r="1832">
      <c r="A1832" s="6">
        <v>371.0</v>
      </c>
      <c r="B1832" s="76" t="str">
        <f>IFERROR(VLOOKUP($A1832,EVENTO!$A$2:$C$4999,2,FALSE),"")</f>
        <v>CADASTRO</v>
      </c>
      <c r="C1832" s="76" t="str">
        <f>IFERROR(VLOOKUP($A1832,EVENTO!$A$2:$C$4999,3,FALSE),"")</f>
        <v>PREFEITURA MUNICIPAL DE ARACATI - PROCURADORIA</v>
      </c>
      <c r="D1832" s="100" t="s">
        <v>1549</v>
      </c>
      <c r="E1832" s="4" t="s">
        <v>1550</v>
      </c>
      <c r="F1832" s="78">
        <v>5.0</v>
      </c>
      <c r="G1832" s="92">
        <v>221.78</v>
      </c>
    </row>
    <row r="1833">
      <c r="A1833" s="6">
        <v>371.0</v>
      </c>
      <c r="B1833" s="76" t="str">
        <f>IFERROR(VLOOKUP($A1833,EVENTO!$A$2:$C$4999,2,FALSE),"")</f>
        <v>CADASTRO</v>
      </c>
      <c r="C1833" s="76" t="str">
        <f>IFERROR(VLOOKUP($A1833,EVENTO!$A$2:$C$4999,3,FALSE),"")</f>
        <v>PREFEITURA MUNICIPAL DE ARACATI - PROCURADORIA</v>
      </c>
      <c r="D1833" s="100" t="s">
        <v>1551</v>
      </c>
      <c r="E1833" s="4" t="s">
        <v>1552</v>
      </c>
      <c r="F1833" s="78">
        <v>5.0</v>
      </c>
      <c r="G1833" s="92">
        <v>173.93</v>
      </c>
    </row>
    <row r="1834">
      <c r="A1834" s="6">
        <v>371.0</v>
      </c>
      <c r="B1834" s="76" t="str">
        <f>IFERROR(VLOOKUP($A1834,EVENTO!$A$2:$C$4999,2,FALSE),"")</f>
        <v>CADASTRO</v>
      </c>
      <c r="C1834" s="76" t="str">
        <f>IFERROR(VLOOKUP($A1834,EVENTO!$A$2:$C$4999,3,FALSE),"")</f>
        <v>PREFEITURA MUNICIPAL DE ARACATI - PROCURADORIA</v>
      </c>
      <c r="D1834" s="100" t="s">
        <v>1553</v>
      </c>
      <c r="E1834" s="4"/>
      <c r="F1834" s="78">
        <v>6.0</v>
      </c>
      <c r="G1834" s="92">
        <v>286.34</v>
      </c>
    </row>
    <row r="1835">
      <c r="A1835" s="6">
        <v>371.0</v>
      </c>
      <c r="B1835" s="76" t="str">
        <f>IFERROR(VLOOKUP($A1835,EVENTO!$A$2:$C$4999,2,FALSE),"")</f>
        <v>CADASTRO</v>
      </c>
      <c r="C1835" s="76" t="str">
        <f>IFERROR(VLOOKUP($A1835,EVENTO!$A$2:$C$4999,3,FALSE),"")</f>
        <v>PREFEITURA MUNICIPAL DE ARACATI - PROCURADORIA</v>
      </c>
      <c r="D1835" s="100" t="s">
        <v>1487</v>
      </c>
      <c r="E1835" s="4"/>
      <c r="F1835" s="78">
        <v>5.0</v>
      </c>
      <c r="G1835" s="92">
        <v>234.7</v>
      </c>
    </row>
    <row r="1836">
      <c r="A1836" s="6">
        <v>371.0</v>
      </c>
      <c r="B1836" s="76" t="str">
        <f>IFERROR(VLOOKUP($A1836,EVENTO!$A$2:$C$4999,2,FALSE),"")</f>
        <v>CADASTRO</v>
      </c>
      <c r="C1836" s="76" t="str">
        <f>IFERROR(VLOOKUP($A1836,EVENTO!$A$2:$C$4999,3,FALSE),"")</f>
        <v>PREFEITURA MUNICIPAL DE ARACATI - PROCURADORIA</v>
      </c>
      <c r="D1836" s="100" t="s">
        <v>1556</v>
      </c>
      <c r="E1836" s="4"/>
      <c r="F1836" s="78">
        <v>5.0</v>
      </c>
      <c r="G1836" s="92">
        <v>148.11</v>
      </c>
    </row>
    <row r="1837">
      <c r="A1837" s="6">
        <v>371.0</v>
      </c>
      <c r="B1837" s="76" t="str">
        <f>IFERROR(VLOOKUP($A1837,EVENTO!$A$2:$C$4999,2,FALSE),"")</f>
        <v>CADASTRO</v>
      </c>
      <c r="C1837" s="76" t="str">
        <f>IFERROR(VLOOKUP($A1837,EVENTO!$A$2:$C$4999,3,FALSE),"")</f>
        <v>PREFEITURA MUNICIPAL DE ARACATI - PROCURADORIA</v>
      </c>
      <c r="D1837" s="100" t="s">
        <v>1580</v>
      </c>
      <c r="E1837" s="4"/>
      <c r="F1837" s="78">
        <v>1.0</v>
      </c>
      <c r="G1837" s="92">
        <v>193.47</v>
      </c>
    </row>
    <row r="1838">
      <c r="A1838" s="6">
        <v>371.0</v>
      </c>
      <c r="B1838" s="76" t="str">
        <f>IFERROR(VLOOKUP($A1838,EVENTO!$A$2:$C$4999,2,FALSE),"")</f>
        <v>CADASTRO</v>
      </c>
      <c r="C1838" s="76" t="str">
        <f>IFERROR(VLOOKUP($A1838,EVENTO!$A$2:$C$4999,3,FALSE),"")</f>
        <v>PREFEITURA MUNICIPAL DE ARACATI - PROCURADORIA</v>
      </c>
      <c r="D1838" s="100" t="s">
        <v>1557</v>
      </c>
      <c r="E1838" s="4"/>
      <c r="F1838" s="78">
        <v>5.0</v>
      </c>
      <c r="G1838" s="92">
        <v>91.18</v>
      </c>
    </row>
    <row r="1839">
      <c r="A1839" s="6">
        <v>372.0</v>
      </c>
      <c r="B1839" s="76" t="str">
        <f>IFERROR(VLOOKUP($A1839,EVENTO!$A$2:$C$4999,2,FALSE),"")</f>
        <v>ADITIVO DE PRAZO</v>
      </c>
      <c r="C1839" s="76" t="str">
        <f>IFERROR(VLOOKUP($A1839,EVENTO!$A$2:$C$4999,3,FALSE),"")</f>
        <v>PREFEITURA MUNICIPAL DE ARACATI - PROCURADORIA</v>
      </c>
      <c r="D1839" s="100" t="s">
        <v>1544</v>
      </c>
      <c r="E1839" s="4" t="s">
        <v>1545</v>
      </c>
      <c r="F1839" s="78">
        <v>4.0</v>
      </c>
      <c r="G1839" s="92">
        <v>534.71</v>
      </c>
    </row>
    <row r="1840">
      <c r="A1840" s="6">
        <v>372.0</v>
      </c>
      <c r="B1840" s="76" t="str">
        <f>IFERROR(VLOOKUP($A1840,EVENTO!$A$2:$C$4999,2,FALSE),"")</f>
        <v>ADITIVO DE PRAZO</v>
      </c>
      <c r="C1840" s="76" t="str">
        <f>IFERROR(VLOOKUP($A1840,EVENTO!$A$2:$C$4999,3,FALSE),"")</f>
        <v>PREFEITURA MUNICIPAL DE ARACATI - PROCURADORIA</v>
      </c>
      <c r="D1840" s="100" t="s">
        <v>1458</v>
      </c>
      <c r="E1840" s="4" t="s">
        <v>1535</v>
      </c>
      <c r="F1840" s="78">
        <v>6.0</v>
      </c>
      <c r="G1840" s="92">
        <v>344.75</v>
      </c>
    </row>
    <row r="1841">
      <c r="A1841" s="6">
        <v>372.0</v>
      </c>
      <c r="B1841" s="76" t="str">
        <f>IFERROR(VLOOKUP($A1841,EVENTO!$A$2:$C$4999,2,FALSE),"")</f>
        <v>ADITIVO DE PRAZO</v>
      </c>
      <c r="C1841" s="76" t="str">
        <f>IFERROR(VLOOKUP($A1841,EVENTO!$A$2:$C$4999,3,FALSE),"")</f>
        <v>PREFEITURA MUNICIPAL DE ARACATI - PROCURADORIA</v>
      </c>
      <c r="D1841" s="100" t="s">
        <v>1456</v>
      </c>
      <c r="E1841" s="4" t="s">
        <v>1548</v>
      </c>
      <c r="F1841" s="78">
        <v>7.0</v>
      </c>
      <c r="G1841" s="92">
        <v>387.36</v>
      </c>
    </row>
    <row r="1842">
      <c r="A1842" s="6">
        <v>372.0</v>
      </c>
      <c r="B1842" s="76" t="str">
        <f>IFERROR(VLOOKUP($A1842,EVENTO!$A$2:$C$4999,2,FALSE),"")</f>
        <v>ADITIVO DE PRAZO</v>
      </c>
      <c r="C1842" s="76" t="str">
        <f>IFERROR(VLOOKUP($A1842,EVENTO!$A$2:$C$4999,3,FALSE),"")</f>
        <v>PREFEITURA MUNICIPAL DE ARACATI - PROCURADORIA</v>
      </c>
      <c r="D1842" s="100" t="s">
        <v>1549</v>
      </c>
      <c r="E1842" s="4" t="s">
        <v>1550</v>
      </c>
      <c r="F1842" s="78">
        <v>5.0</v>
      </c>
      <c r="G1842" s="92">
        <v>221.78</v>
      </c>
    </row>
    <row r="1843">
      <c r="A1843" s="6">
        <v>372.0</v>
      </c>
      <c r="B1843" s="76" t="str">
        <f>IFERROR(VLOOKUP($A1843,EVENTO!$A$2:$C$4999,2,FALSE),"")</f>
        <v>ADITIVO DE PRAZO</v>
      </c>
      <c r="C1843" s="76" t="str">
        <f>IFERROR(VLOOKUP($A1843,EVENTO!$A$2:$C$4999,3,FALSE),"")</f>
        <v>PREFEITURA MUNICIPAL DE ARACATI - PROCURADORIA</v>
      </c>
      <c r="D1843" s="100" t="s">
        <v>1551</v>
      </c>
      <c r="E1843" s="4" t="s">
        <v>1552</v>
      </c>
      <c r="F1843" s="78">
        <v>5.0</v>
      </c>
      <c r="G1843" s="92">
        <v>173.93</v>
      </c>
    </row>
    <row r="1844">
      <c r="A1844" s="6">
        <v>372.0</v>
      </c>
      <c r="B1844" s="76" t="str">
        <f>IFERROR(VLOOKUP($A1844,EVENTO!$A$2:$C$4999,2,FALSE),"")</f>
        <v>ADITIVO DE PRAZO</v>
      </c>
      <c r="C1844" s="76" t="str">
        <f>IFERROR(VLOOKUP($A1844,EVENTO!$A$2:$C$4999,3,FALSE),"")</f>
        <v>PREFEITURA MUNICIPAL DE ARACATI - PROCURADORIA</v>
      </c>
      <c r="D1844" s="100" t="s">
        <v>1553</v>
      </c>
      <c r="E1844" s="4"/>
      <c r="F1844" s="78">
        <v>6.0</v>
      </c>
      <c r="G1844" s="92">
        <v>286.34</v>
      </c>
    </row>
    <row r="1845">
      <c r="A1845" s="6">
        <v>372.0</v>
      </c>
      <c r="B1845" s="76" t="str">
        <f>IFERROR(VLOOKUP($A1845,EVENTO!$A$2:$C$4999,2,FALSE),"")</f>
        <v>ADITIVO DE PRAZO</v>
      </c>
      <c r="C1845" s="76" t="str">
        <f>IFERROR(VLOOKUP($A1845,EVENTO!$A$2:$C$4999,3,FALSE),"")</f>
        <v>PREFEITURA MUNICIPAL DE ARACATI - PROCURADORIA</v>
      </c>
      <c r="D1845" s="100" t="s">
        <v>1487</v>
      </c>
      <c r="E1845" s="4"/>
      <c r="F1845" s="78">
        <v>5.0</v>
      </c>
      <c r="G1845" s="92">
        <v>234.7</v>
      </c>
    </row>
    <row r="1846">
      <c r="A1846" s="6">
        <v>372.0</v>
      </c>
      <c r="B1846" s="76" t="str">
        <f>IFERROR(VLOOKUP($A1846,EVENTO!$A$2:$C$4999,2,FALSE),"")</f>
        <v>ADITIVO DE PRAZO</v>
      </c>
      <c r="C1846" s="76" t="str">
        <f>IFERROR(VLOOKUP($A1846,EVENTO!$A$2:$C$4999,3,FALSE),"")</f>
        <v>PREFEITURA MUNICIPAL DE ARACATI - PROCURADORIA</v>
      </c>
      <c r="D1846" s="100" t="s">
        <v>1556</v>
      </c>
      <c r="E1846" s="4"/>
      <c r="F1846" s="78">
        <v>5.0</v>
      </c>
      <c r="G1846" s="92">
        <v>148.11</v>
      </c>
    </row>
    <row r="1847">
      <c r="A1847" s="6">
        <v>372.0</v>
      </c>
      <c r="B1847" s="76" t="str">
        <f>IFERROR(VLOOKUP($A1847,EVENTO!$A$2:$C$4999,2,FALSE),"")</f>
        <v>ADITIVO DE PRAZO</v>
      </c>
      <c r="C1847" s="76" t="str">
        <f>IFERROR(VLOOKUP($A1847,EVENTO!$A$2:$C$4999,3,FALSE),"")</f>
        <v>PREFEITURA MUNICIPAL DE ARACATI - PROCURADORIA</v>
      </c>
      <c r="D1847" s="100" t="s">
        <v>1580</v>
      </c>
      <c r="E1847" s="4"/>
      <c r="F1847" s="78">
        <v>1.0</v>
      </c>
      <c r="G1847" s="92">
        <v>193.47</v>
      </c>
    </row>
    <row r="1848">
      <c r="A1848" s="6">
        <v>372.0</v>
      </c>
      <c r="B1848" s="76" t="str">
        <f>IFERROR(VLOOKUP($A1848,EVENTO!$A$2:$C$4999,2,FALSE),"")</f>
        <v>ADITIVO DE PRAZO</v>
      </c>
      <c r="C1848" s="76" t="str">
        <f>IFERROR(VLOOKUP($A1848,EVENTO!$A$2:$C$4999,3,FALSE),"")</f>
        <v>PREFEITURA MUNICIPAL DE ARACATI - PROCURADORIA</v>
      </c>
      <c r="D1848" s="100" t="s">
        <v>1557</v>
      </c>
      <c r="E1848" s="4"/>
      <c r="F1848" s="78">
        <v>5.0</v>
      </c>
      <c r="G1848" s="92">
        <v>91.18</v>
      </c>
    </row>
    <row r="1849">
      <c r="A1849" s="6">
        <v>373.0</v>
      </c>
      <c r="B1849" s="76" t="str">
        <f>IFERROR(VLOOKUP($A1849,EVENTO!$A$2:$C$4999,2,FALSE),"")</f>
        <v>ADITIVO DE PRAZO</v>
      </c>
      <c r="C1849" s="76" t="str">
        <f>IFERROR(VLOOKUP($A1849,EVENTO!$A$2:$C$4999,3,FALSE),"")</f>
        <v>PREFEITURA MUNICIPAL DE ARACATI - PROCURADORIA</v>
      </c>
      <c r="D1849" s="100" t="s">
        <v>1544</v>
      </c>
      <c r="E1849" s="4" t="s">
        <v>1545</v>
      </c>
      <c r="F1849" s="78">
        <v>4.0</v>
      </c>
      <c r="G1849" s="92">
        <v>534.71</v>
      </c>
    </row>
    <row r="1850">
      <c r="A1850" s="6">
        <v>373.0</v>
      </c>
      <c r="B1850" s="76" t="str">
        <f>IFERROR(VLOOKUP($A1850,EVENTO!$A$2:$C$4999,2,FALSE),"")</f>
        <v>ADITIVO DE PRAZO</v>
      </c>
      <c r="C1850" s="76" t="str">
        <f>IFERROR(VLOOKUP($A1850,EVENTO!$A$2:$C$4999,3,FALSE),"")</f>
        <v>PREFEITURA MUNICIPAL DE ARACATI - PROCURADORIA</v>
      </c>
      <c r="D1850" s="100" t="s">
        <v>1458</v>
      </c>
      <c r="E1850" s="4" t="s">
        <v>1535</v>
      </c>
      <c r="F1850" s="78">
        <v>6.0</v>
      </c>
      <c r="G1850" s="92">
        <v>344.75</v>
      </c>
    </row>
    <row r="1851">
      <c r="A1851" s="6">
        <v>373.0</v>
      </c>
      <c r="B1851" s="76" t="str">
        <f>IFERROR(VLOOKUP($A1851,EVENTO!$A$2:$C$4999,2,FALSE),"")</f>
        <v>ADITIVO DE PRAZO</v>
      </c>
      <c r="C1851" s="76" t="str">
        <f>IFERROR(VLOOKUP($A1851,EVENTO!$A$2:$C$4999,3,FALSE),"")</f>
        <v>PREFEITURA MUNICIPAL DE ARACATI - PROCURADORIA</v>
      </c>
      <c r="D1851" s="100" t="s">
        <v>1456</v>
      </c>
      <c r="E1851" s="4" t="s">
        <v>1548</v>
      </c>
      <c r="F1851" s="78">
        <v>7.0</v>
      </c>
      <c r="G1851" s="92">
        <v>387.36</v>
      </c>
    </row>
    <row r="1852">
      <c r="A1852" s="6">
        <v>373.0</v>
      </c>
      <c r="B1852" s="76" t="str">
        <f>IFERROR(VLOOKUP($A1852,EVENTO!$A$2:$C$4999,2,FALSE),"")</f>
        <v>ADITIVO DE PRAZO</v>
      </c>
      <c r="C1852" s="76" t="str">
        <f>IFERROR(VLOOKUP($A1852,EVENTO!$A$2:$C$4999,3,FALSE),"")</f>
        <v>PREFEITURA MUNICIPAL DE ARACATI - PROCURADORIA</v>
      </c>
      <c r="D1852" s="100" t="s">
        <v>1549</v>
      </c>
      <c r="E1852" s="4" t="s">
        <v>1550</v>
      </c>
      <c r="F1852" s="78">
        <v>5.0</v>
      </c>
      <c r="G1852" s="92">
        <v>221.78</v>
      </c>
    </row>
    <row r="1853">
      <c r="A1853" s="6">
        <v>373.0</v>
      </c>
      <c r="B1853" s="76" t="str">
        <f>IFERROR(VLOOKUP($A1853,EVENTO!$A$2:$C$4999,2,FALSE),"")</f>
        <v>ADITIVO DE PRAZO</v>
      </c>
      <c r="C1853" s="76" t="str">
        <f>IFERROR(VLOOKUP($A1853,EVENTO!$A$2:$C$4999,3,FALSE),"")</f>
        <v>PREFEITURA MUNICIPAL DE ARACATI - PROCURADORIA</v>
      </c>
      <c r="D1853" s="100" t="s">
        <v>1551</v>
      </c>
      <c r="E1853" s="4" t="s">
        <v>1552</v>
      </c>
      <c r="F1853" s="78">
        <v>5.0</v>
      </c>
      <c r="G1853" s="92">
        <v>173.93</v>
      </c>
    </row>
    <row r="1854">
      <c r="A1854" s="6">
        <v>373.0</v>
      </c>
      <c r="B1854" s="76" t="str">
        <f>IFERROR(VLOOKUP($A1854,EVENTO!$A$2:$C$4999,2,FALSE),"")</f>
        <v>ADITIVO DE PRAZO</v>
      </c>
      <c r="C1854" s="76" t="str">
        <f>IFERROR(VLOOKUP($A1854,EVENTO!$A$2:$C$4999,3,FALSE),"")</f>
        <v>PREFEITURA MUNICIPAL DE ARACATI - PROCURADORIA</v>
      </c>
      <c r="D1854" s="100" t="s">
        <v>1553</v>
      </c>
      <c r="E1854" s="4"/>
      <c r="F1854" s="78">
        <v>6.0</v>
      </c>
      <c r="G1854" s="92">
        <v>286.34</v>
      </c>
    </row>
    <row r="1855">
      <c r="A1855" s="6">
        <v>373.0</v>
      </c>
      <c r="B1855" s="76" t="str">
        <f>IFERROR(VLOOKUP($A1855,EVENTO!$A$2:$C$4999,2,FALSE),"")</f>
        <v>ADITIVO DE PRAZO</v>
      </c>
      <c r="C1855" s="76" t="str">
        <f>IFERROR(VLOOKUP($A1855,EVENTO!$A$2:$C$4999,3,FALSE),"")</f>
        <v>PREFEITURA MUNICIPAL DE ARACATI - PROCURADORIA</v>
      </c>
      <c r="D1855" s="100" t="s">
        <v>1487</v>
      </c>
      <c r="E1855" s="4"/>
      <c r="F1855" s="78">
        <v>5.0</v>
      </c>
      <c r="G1855" s="92">
        <v>234.7</v>
      </c>
    </row>
    <row r="1856">
      <c r="A1856" s="6">
        <v>373.0</v>
      </c>
      <c r="B1856" s="76" t="str">
        <f>IFERROR(VLOOKUP($A1856,EVENTO!$A$2:$C$4999,2,FALSE),"")</f>
        <v>ADITIVO DE PRAZO</v>
      </c>
      <c r="C1856" s="76" t="str">
        <f>IFERROR(VLOOKUP($A1856,EVENTO!$A$2:$C$4999,3,FALSE),"")</f>
        <v>PREFEITURA MUNICIPAL DE ARACATI - PROCURADORIA</v>
      </c>
      <c r="D1856" s="100" t="s">
        <v>1556</v>
      </c>
      <c r="E1856" s="4"/>
      <c r="F1856" s="78">
        <v>5.0</v>
      </c>
      <c r="G1856" s="92">
        <v>148.11</v>
      </c>
    </row>
    <row r="1857">
      <c r="A1857" s="6">
        <v>373.0</v>
      </c>
      <c r="B1857" s="76" t="str">
        <f>IFERROR(VLOOKUP($A1857,EVENTO!$A$2:$C$4999,2,FALSE),"")</f>
        <v>ADITIVO DE PRAZO</v>
      </c>
      <c r="C1857" s="76" t="str">
        <f>IFERROR(VLOOKUP($A1857,EVENTO!$A$2:$C$4999,3,FALSE),"")</f>
        <v>PREFEITURA MUNICIPAL DE ARACATI - PROCURADORIA</v>
      </c>
      <c r="D1857" s="100" t="s">
        <v>1580</v>
      </c>
      <c r="E1857" s="4"/>
      <c r="F1857" s="78">
        <v>1.0</v>
      </c>
      <c r="G1857" s="92">
        <v>193.47</v>
      </c>
    </row>
    <row r="1858">
      <c r="A1858" s="6">
        <v>373.0</v>
      </c>
      <c r="B1858" s="76" t="str">
        <f>IFERROR(VLOOKUP($A1858,EVENTO!$A$2:$C$4999,2,FALSE),"")</f>
        <v>ADITIVO DE PRAZO</v>
      </c>
      <c r="C1858" s="76" t="str">
        <f>IFERROR(VLOOKUP($A1858,EVENTO!$A$2:$C$4999,3,FALSE),"")</f>
        <v>PREFEITURA MUNICIPAL DE ARACATI - PROCURADORIA</v>
      </c>
      <c r="D1858" s="100" t="s">
        <v>1557</v>
      </c>
      <c r="E1858" s="4"/>
      <c r="F1858" s="78">
        <v>5.0</v>
      </c>
      <c r="G1858" s="92">
        <v>91.18</v>
      </c>
    </row>
    <row r="1859">
      <c r="A1859" s="6">
        <v>374.0</v>
      </c>
      <c r="B1859" s="76" t="str">
        <f>IFERROR(VLOOKUP($A1859,EVENTO!$A$2:$C$4999,2,FALSE),"")</f>
        <v>ADITIVO DE PRAZO</v>
      </c>
      <c r="C1859" s="76" t="str">
        <f>IFERROR(VLOOKUP($A1859,EVENTO!$A$2:$C$4999,3,FALSE),"")</f>
        <v>PREFEITURA MUNICIPAL DE ARACATI - PROCURADORIA</v>
      </c>
      <c r="D1859" s="100" t="s">
        <v>1544</v>
      </c>
      <c r="E1859" s="4" t="s">
        <v>1545</v>
      </c>
      <c r="F1859" s="78">
        <v>4.0</v>
      </c>
      <c r="G1859" s="92">
        <v>534.71</v>
      </c>
    </row>
    <row r="1860">
      <c r="A1860" s="6">
        <v>374.0</v>
      </c>
      <c r="B1860" s="76" t="str">
        <f>IFERROR(VLOOKUP($A1860,EVENTO!$A$2:$C$4999,2,FALSE),"")</f>
        <v>ADITIVO DE PRAZO</v>
      </c>
      <c r="C1860" s="76" t="str">
        <f>IFERROR(VLOOKUP($A1860,EVENTO!$A$2:$C$4999,3,FALSE),"")</f>
        <v>PREFEITURA MUNICIPAL DE ARACATI - PROCURADORIA</v>
      </c>
      <c r="D1860" s="100" t="s">
        <v>1458</v>
      </c>
      <c r="E1860" s="4" t="s">
        <v>1535</v>
      </c>
      <c r="F1860" s="78">
        <v>6.0</v>
      </c>
      <c r="G1860" s="92">
        <v>344.75</v>
      </c>
    </row>
    <row r="1861">
      <c r="A1861" s="6">
        <v>374.0</v>
      </c>
      <c r="B1861" s="76" t="str">
        <f>IFERROR(VLOOKUP($A1861,EVENTO!$A$2:$C$4999,2,FALSE),"")</f>
        <v>ADITIVO DE PRAZO</v>
      </c>
      <c r="C1861" s="76" t="str">
        <f>IFERROR(VLOOKUP($A1861,EVENTO!$A$2:$C$4999,3,FALSE),"")</f>
        <v>PREFEITURA MUNICIPAL DE ARACATI - PROCURADORIA</v>
      </c>
      <c r="D1861" s="100" t="s">
        <v>1456</v>
      </c>
      <c r="E1861" s="4" t="s">
        <v>1548</v>
      </c>
      <c r="F1861" s="78">
        <v>7.0</v>
      </c>
      <c r="G1861" s="92">
        <v>387.36</v>
      </c>
    </row>
    <row r="1862">
      <c r="A1862" s="6">
        <v>374.0</v>
      </c>
      <c r="B1862" s="76" t="str">
        <f>IFERROR(VLOOKUP($A1862,EVENTO!$A$2:$C$4999,2,FALSE),"")</f>
        <v>ADITIVO DE PRAZO</v>
      </c>
      <c r="C1862" s="76" t="str">
        <f>IFERROR(VLOOKUP($A1862,EVENTO!$A$2:$C$4999,3,FALSE),"")</f>
        <v>PREFEITURA MUNICIPAL DE ARACATI - PROCURADORIA</v>
      </c>
      <c r="D1862" s="100" t="s">
        <v>1549</v>
      </c>
      <c r="E1862" s="4" t="s">
        <v>1550</v>
      </c>
      <c r="F1862" s="78">
        <v>5.0</v>
      </c>
      <c r="G1862" s="92">
        <v>221.78</v>
      </c>
    </row>
    <row r="1863">
      <c r="A1863" s="6">
        <v>374.0</v>
      </c>
      <c r="B1863" s="76" t="str">
        <f>IFERROR(VLOOKUP($A1863,EVENTO!$A$2:$C$4999,2,FALSE),"")</f>
        <v>ADITIVO DE PRAZO</v>
      </c>
      <c r="C1863" s="76" t="str">
        <f>IFERROR(VLOOKUP($A1863,EVENTO!$A$2:$C$4999,3,FALSE),"")</f>
        <v>PREFEITURA MUNICIPAL DE ARACATI - PROCURADORIA</v>
      </c>
      <c r="D1863" s="100" t="s">
        <v>1551</v>
      </c>
      <c r="E1863" s="4" t="s">
        <v>1552</v>
      </c>
      <c r="F1863" s="78">
        <v>5.0</v>
      </c>
      <c r="G1863" s="92">
        <v>173.93</v>
      </c>
    </row>
    <row r="1864">
      <c r="A1864" s="6">
        <v>374.0</v>
      </c>
      <c r="B1864" s="76" t="str">
        <f>IFERROR(VLOOKUP($A1864,EVENTO!$A$2:$C$4999,2,FALSE),"")</f>
        <v>ADITIVO DE PRAZO</v>
      </c>
      <c r="C1864" s="76" t="str">
        <f>IFERROR(VLOOKUP($A1864,EVENTO!$A$2:$C$4999,3,FALSE),"")</f>
        <v>PREFEITURA MUNICIPAL DE ARACATI - PROCURADORIA</v>
      </c>
      <c r="D1864" s="100" t="s">
        <v>1553</v>
      </c>
      <c r="E1864" s="4"/>
      <c r="F1864" s="78">
        <v>6.0</v>
      </c>
      <c r="G1864" s="92">
        <v>286.34</v>
      </c>
    </row>
    <row r="1865">
      <c r="A1865" s="6">
        <v>374.0</v>
      </c>
      <c r="B1865" s="76" t="str">
        <f>IFERROR(VLOOKUP($A1865,EVENTO!$A$2:$C$4999,2,FALSE),"")</f>
        <v>ADITIVO DE PRAZO</v>
      </c>
      <c r="C1865" s="76" t="str">
        <f>IFERROR(VLOOKUP($A1865,EVENTO!$A$2:$C$4999,3,FALSE),"")</f>
        <v>PREFEITURA MUNICIPAL DE ARACATI - PROCURADORIA</v>
      </c>
      <c r="D1865" s="100" t="s">
        <v>1487</v>
      </c>
      <c r="E1865" s="4"/>
      <c r="F1865" s="78">
        <v>5.0</v>
      </c>
      <c r="G1865" s="92">
        <v>234.7</v>
      </c>
    </row>
    <row r="1866">
      <c r="A1866" s="6">
        <v>374.0</v>
      </c>
      <c r="B1866" s="76" t="str">
        <f>IFERROR(VLOOKUP($A1866,EVENTO!$A$2:$C$4999,2,FALSE),"")</f>
        <v>ADITIVO DE PRAZO</v>
      </c>
      <c r="C1866" s="76" t="str">
        <f>IFERROR(VLOOKUP($A1866,EVENTO!$A$2:$C$4999,3,FALSE),"")</f>
        <v>PREFEITURA MUNICIPAL DE ARACATI - PROCURADORIA</v>
      </c>
      <c r="D1866" s="100" t="s">
        <v>1556</v>
      </c>
      <c r="E1866" s="4"/>
      <c r="F1866" s="78">
        <v>5.0</v>
      </c>
      <c r="G1866" s="92">
        <v>148.11</v>
      </c>
    </row>
    <row r="1867">
      <c r="A1867" s="6">
        <v>374.0</v>
      </c>
      <c r="B1867" s="76" t="str">
        <f>IFERROR(VLOOKUP($A1867,EVENTO!$A$2:$C$4999,2,FALSE),"")</f>
        <v>ADITIVO DE PRAZO</v>
      </c>
      <c r="C1867" s="76" t="str">
        <f>IFERROR(VLOOKUP($A1867,EVENTO!$A$2:$C$4999,3,FALSE),"")</f>
        <v>PREFEITURA MUNICIPAL DE ARACATI - PROCURADORIA</v>
      </c>
      <c r="D1867" s="100" t="s">
        <v>1580</v>
      </c>
      <c r="E1867" s="4"/>
      <c r="F1867" s="78">
        <v>1.0</v>
      </c>
      <c r="G1867" s="92">
        <v>193.47</v>
      </c>
    </row>
    <row r="1868">
      <c r="A1868" s="6">
        <v>374.0</v>
      </c>
      <c r="B1868" s="76" t="str">
        <f>IFERROR(VLOOKUP($A1868,EVENTO!$A$2:$C$4999,2,FALSE),"")</f>
        <v>ADITIVO DE PRAZO</v>
      </c>
      <c r="C1868" s="76" t="str">
        <f>IFERROR(VLOOKUP($A1868,EVENTO!$A$2:$C$4999,3,FALSE),"")</f>
        <v>PREFEITURA MUNICIPAL DE ARACATI - PROCURADORIA</v>
      </c>
      <c r="D1868" s="100" t="s">
        <v>1557</v>
      </c>
      <c r="E1868" s="4"/>
      <c r="F1868" s="78">
        <v>5.0</v>
      </c>
      <c r="G1868" s="92">
        <v>91.18</v>
      </c>
    </row>
    <row r="1869">
      <c r="A1869" s="6">
        <v>375.0</v>
      </c>
      <c r="B1869" s="76" t="str">
        <f>IFERROR(VLOOKUP($A1869,EVENTO!$A$2:$C$4999,2,FALSE),"")</f>
        <v>ADITIVO DE PRAZO</v>
      </c>
      <c r="C1869" s="76" t="str">
        <f>IFERROR(VLOOKUP($A1869,EVENTO!$A$2:$C$4999,3,FALSE),"")</f>
        <v>PREFEITURA MUNICIPAL DE ARACATI - PROCURADORIA</v>
      </c>
      <c r="D1869" s="100" t="s">
        <v>1544</v>
      </c>
      <c r="E1869" s="4" t="s">
        <v>1545</v>
      </c>
      <c r="F1869" s="78">
        <v>4.0</v>
      </c>
      <c r="G1869" s="92">
        <v>534.71</v>
      </c>
    </row>
    <row r="1870">
      <c r="A1870" s="6">
        <v>375.0</v>
      </c>
      <c r="B1870" s="76" t="str">
        <f>IFERROR(VLOOKUP($A1870,EVENTO!$A$2:$C$4999,2,FALSE),"")</f>
        <v>ADITIVO DE PRAZO</v>
      </c>
      <c r="C1870" s="76" t="str">
        <f>IFERROR(VLOOKUP($A1870,EVENTO!$A$2:$C$4999,3,FALSE),"")</f>
        <v>PREFEITURA MUNICIPAL DE ARACATI - PROCURADORIA</v>
      </c>
      <c r="D1870" s="100" t="s">
        <v>1458</v>
      </c>
      <c r="E1870" s="4" t="s">
        <v>1535</v>
      </c>
      <c r="F1870" s="78">
        <v>6.0</v>
      </c>
      <c r="G1870" s="92">
        <v>344.75</v>
      </c>
    </row>
    <row r="1871">
      <c r="A1871" s="6">
        <v>375.0</v>
      </c>
      <c r="B1871" s="76" t="str">
        <f>IFERROR(VLOOKUP($A1871,EVENTO!$A$2:$C$4999,2,FALSE),"")</f>
        <v>ADITIVO DE PRAZO</v>
      </c>
      <c r="C1871" s="76" t="str">
        <f>IFERROR(VLOOKUP($A1871,EVENTO!$A$2:$C$4999,3,FALSE),"")</f>
        <v>PREFEITURA MUNICIPAL DE ARACATI - PROCURADORIA</v>
      </c>
      <c r="D1871" s="100" t="s">
        <v>1456</v>
      </c>
      <c r="E1871" s="4" t="s">
        <v>1548</v>
      </c>
      <c r="F1871" s="78">
        <v>7.0</v>
      </c>
      <c r="G1871" s="92">
        <v>387.36</v>
      </c>
    </row>
    <row r="1872">
      <c r="A1872" s="6">
        <v>375.0</v>
      </c>
      <c r="B1872" s="76" t="str">
        <f>IFERROR(VLOOKUP($A1872,EVENTO!$A$2:$C$4999,2,FALSE),"")</f>
        <v>ADITIVO DE PRAZO</v>
      </c>
      <c r="C1872" s="76" t="str">
        <f>IFERROR(VLOOKUP($A1872,EVENTO!$A$2:$C$4999,3,FALSE),"")</f>
        <v>PREFEITURA MUNICIPAL DE ARACATI - PROCURADORIA</v>
      </c>
      <c r="D1872" s="100" t="s">
        <v>1549</v>
      </c>
      <c r="E1872" s="4" t="s">
        <v>1550</v>
      </c>
      <c r="F1872" s="78">
        <v>5.0</v>
      </c>
      <c r="G1872" s="92">
        <v>221.78</v>
      </c>
    </row>
    <row r="1873">
      <c r="A1873" s="6">
        <v>375.0</v>
      </c>
      <c r="B1873" s="76" t="str">
        <f>IFERROR(VLOOKUP($A1873,EVENTO!$A$2:$C$4999,2,FALSE),"")</f>
        <v>ADITIVO DE PRAZO</v>
      </c>
      <c r="C1873" s="76" t="str">
        <f>IFERROR(VLOOKUP($A1873,EVENTO!$A$2:$C$4999,3,FALSE),"")</f>
        <v>PREFEITURA MUNICIPAL DE ARACATI - PROCURADORIA</v>
      </c>
      <c r="D1873" s="100" t="s">
        <v>1551</v>
      </c>
      <c r="E1873" s="4" t="s">
        <v>1552</v>
      </c>
      <c r="F1873" s="78">
        <v>5.0</v>
      </c>
      <c r="G1873" s="92">
        <v>173.93</v>
      </c>
    </row>
    <row r="1874">
      <c r="A1874" s="6">
        <v>375.0</v>
      </c>
      <c r="B1874" s="76" t="str">
        <f>IFERROR(VLOOKUP($A1874,EVENTO!$A$2:$C$4999,2,FALSE),"")</f>
        <v>ADITIVO DE PRAZO</v>
      </c>
      <c r="C1874" s="76" t="str">
        <f>IFERROR(VLOOKUP($A1874,EVENTO!$A$2:$C$4999,3,FALSE),"")</f>
        <v>PREFEITURA MUNICIPAL DE ARACATI - PROCURADORIA</v>
      </c>
      <c r="D1874" s="100" t="s">
        <v>1553</v>
      </c>
      <c r="E1874" s="4"/>
      <c r="F1874" s="78">
        <v>6.0</v>
      </c>
      <c r="G1874" s="92">
        <v>286.34</v>
      </c>
    </row>
    <row r="1875">
      <c r="A1875" s="6">
        <v>375.0</v>
      </c>
      <c r="B1875" s="76" t="str">
        <f>IFERROR(VLOOKUP($A1875,EVENTO!$A$2:$C$4999,2,FALSE),"")</f>
        <v>ADITIVO DE PRAZO</v>
      </c>
      <c r="C1875" s="76" t="str">
        <f>IFERROR(VLOOKUP($A1875,EVENTO!$A$2:$C$4999,3,FALSE),"")</f>
        <v>PREFEITURA MUNICIPAL DE ARACATI - PROCURADORIA</v>
      </c>
      <c r="D1875" s="100" t="s">
        <v>1487</v>
      </c>
      <c r="E1875" s="4"/>
      <c r="F1875" s="78">
        <v>5.0</v>
      </c>
      <c r="G1875" s="92">
        <v>234.7</v>
      </c>
    </row>
    <row r="1876">
      <c r="A1876" s="6">
        <v>375.0</v>
      </c>
      <c r="B1876" s="76" t="str">
        <f>IFERROR(VLOOKUP($A1876,EVENTO!$A$2:$C$4999,2,FALSE),"")</f>
        <v>ADITIVO DE PRAZO</v>
      </c>
      <c r="C1876" s="76" t="str">
        <f>IFERROR(VLOOKUP($A1876,EVENTO!$A$2:$C$4999,3,FALSE),"")</f>
        <v>PREFEITURA MUNICIPAL DE ARACATI - PROCURADORIA</v>
      </c>
      <c r="D1876" s="100" t="s">
        <v>1556</v>
      </c>
      <c r="E1876" s="4"/>
      <c r="F1876" s="78">
        <v>5.0</v>
      </c>
      <c r="G1876" s="92">
        <v>148.11</v>
      </c>
    </row>
    <row r="1877">
      <c r="A1877" s="6">
        <v>375.0</v>
      </c>
      <c r="B1877" s="76" t="str">
        <f>IFERROR(VLOOKUP($A1877,EVENTO!$A$2:$C$4999,2,FALSE),"")</f>
        <v>ADITIVO DE PRAZO</v>
      </c>
      <c r="C1877" s="76" t="str">
        <f>IFERROR(VLOOKUP($A1877,EVENTO!$A$2:$C$4999,3,FALSE),"")</f>
        <v>PREFEITURA MUNICIPAL DE ARACATI - PROCURADORIA</v>
      </c>
      <c r="D1877" s="100" t="s">
        <v>1580</v>
      </c>
      <c r="E1877" s="4"/>
      <c r="F1877" s="78">
        <v>1.0</v>
      </c>
      <c r="G1877" s="92">
        <v>193.47</v>
      </c>
    </row>
    <row r="1878">
      <c r="A1878" s="6">
        <v>375.0</v>
      </c>
      <c r="B1878" s="76" t="str">
        <f>IFERROR(VLOOKUP($A1878,EVENTO!$A$2:$C$4999,2,FALSE),"")</f>
        <v>ADITIVO DE PRAZO</v>
      </c>
      <c r="C1878" s="76" t="str">
        <f>IFERROR(VLOOKUP($A1878,EVENTO!$A$2:$C$4999,3,FALSE),"")</f>
        <v>PREFEITURA MUNICIPAL DE ARACATI - PROCURADORIA</v>
      </c>
      <c r="D1878" s="100" t="s">
        <v>1557</v>
      </c>
      <c r="E1878" s="4"/>
      <c r="F1878" s="78">
        <v>5.0</v>
      </c>
      <c r="G1878" s="92">
        <v>91.18</v>
      </c>
    </row>
    <row r="1879">
      <c r="A1879" s="6">
        <v>377.0</v>
      </c>
      <c r="B1879" s="76" t="str">
        <f>IFERROR(VLOOKUP($A1879,EVENTO!$A$2:$C$4999,2,FALSE),"")</f>
        <v>CADASTRO</v>
      </c>
      <c r="C1879" s="76" t="str">
        <f>IFERROR(VLOOKUP($A1879,EVENTO!$A$2:$C$4999,3,FALSE),"")</f>
        <v>PREFEITURA MUNICIPAL DE ARACATI - SAÚDE</v>
      </c>
      <c r="D1879" s="78" t="s">
        <v>1544</v>
      </c>
      <c r="E1879" s="6" t="s">
        <v>1545</v>
      </c>
      <c r="F1879" s="78">
        <v>5.0</v>
      </c>
      <c r="G1879" s="79">
        <v>534.71</v>
      </c>
    </row>
    <row r="1880">
      <c r="A1880" s="6">
        <v>377.0</v>
      </c>
      <c r="B1880" s="76" t="str">
        <f>IFERROR(VLOOKUP($A1880,EVENTO!$A$2:$C$4999,2,FALSE),"")</f>
        <v>CADASTRO</v>
      </c>
      <c r="C1880" s="76" t="str">
        <f>IFERROR(VLOOKUP($A1880,EVENTO!$A$2:$C$4999,3,FALSE),"")</f>
        <v>PREFEITURA MUNICIPAL DE ARACATI - SAÚDE</v>
      </c>
      <c r="D1880" s="78" t="s">
        <v>1458</v>
      </c>
      <c r="E1880" s="6" t="s">
        <v>1535</v>
      </c>
      <c r="F1880" s="78">
        <v>7.0</v>
      </c>
      <c r="G1880" s="79">
        <v>344.75</v>
      </c>
    </row>
    <row r="1881">
      <c r="A1881" s="6">
        <v>377.0</v>
      </c>
      <c r="B1881" s="76" t="str">
        <f>IFERROR(VLOOKUP($A1881,EVENTO!$A$2:$C$4999,2,FALSE),"")</f>
        <v>CADASTRO</v>
      </c>
      <c r="C1881" s="76" t="str">
        <f>IFERROR(VLOOKUP($A1881,EVENTO!$A$2:$C$4999,3,FALSE),"")</f>
        <v>PREFEITURA MUNICIPAL DE ARACATI - SAÚDE</v>
      </c>
      <c r="D1881" s="78" t="s">
        <v>1546</v>
      </c>
      <c r="E1881" s="6" t="s">
        <v>1547</v>
      </c>
      <c r="F1881" s="78">
        <v>15.0</v>
      </c>
      <c r="G1881" s="79">
        <v>270.39</v>
      </c>
    </row>
    <row r="1882">
      <c r="A1882" s="6">
        <v>377.0</v>
      </c>
      <c r="B1882" s="76" t="str">
        <f>IFERROR(VLOOKUP($A1882,EVENTO!$A$2:$C$4999,2,FALSE),"")</f>
        <v>CADASTRO</v>
      </c>
      <c r="C1882" s="76" t="str">
        <f>IFERROR(VLOOKUP($A1882,EVENTO!$A$2:$C$4999,3,FALSE),"")</f>
        <v>PREFEITURA MUNICIPAL DE ARACATI - SAÚDE</v>
      </c>
      <c r="D1882" s="78" t="s">
        <v>1456</v>
      </c>
      <c r="E1882" s="6" t="s">
        <v>1548</v>
      </c>
      <c r="F1882" s="78">
        <v>7.0</v>
      </c>
      <c r="G1882" s="79">
        <v>387.36</v>
      </c>
    </row>
    <row r="1883">
      <c r="A1883" s="6">
        <v>377.0</v>
      </c>
      <c r="B1883" s="76" t="str">
        <f>IFERROR(VLOOKUP($A1883,EVENTO!$A$2:$C$4999,2,FALSE),"")</f>
        <v>CADASTRO</v>
      </c>
      <c r="C1883" s="76" t="str">
        <f>IFERROR(VLOOKUP($A1883,EVENTO!$A$2:$C$4999,3,FALSE),"")</f>
        <v>PREFEITURA MUNICIPAL DE ARACATI - SAÚDE</v>
      </c>
      <c r="D1883" s="78" t="s">
        <v>1549</v>
      </c>
      <c r="E1883" s="6" t="s">
        <v>1550</v>
      </c>
      <c r="F1883" s="78">
        <v>281.0</v>
      </c>
      <c r="G1883" s="79">
        <v>221.78</v>
      </c>
    </row>
    <row r="1884">
      <c r="A1884" s="6">
        <v>377.0</v>
      </c>
      <c r="B1884" s="76" t="str">
        <f>IFERROR(VLOOKUP($A1884,EVENTO!$A$2:$C$4999,2,FALSE),"")</f>
        <v>CADASTRO</v>
      </c>
      <c r="C1884" s="76" t="str">
        <f>IFERROR(VLOOKUP($A1884,EVENTO!$A$2:$C$4999,3,FALSE),"")</f>
        <v>PREFEITURA MUNICIPAL DE ARACATI - SAÚDE</v>
      </c>
      <c r="D1884" s="78" t="s">
        <v>1553</v>
      </c>
      <c r="F1884" s="78">
        <v>69.0</v>
      </c>
      <c r="G1884" s="79">
        <v>286.34</v>
      </c>
    </row>
    <row r="1885">
      <c r="A1885" s="6">
        <v>377.0</v>
      </c>
      <c r="B1885" s="76" t="str">
        <f>IFERROR(VLOOKUP($A1885,EVENTO!$A$2:$C$4999,2,FALSE),"")</f>
        <v>CADASTRO</v>
      </c>
      <c r="C1885" s="76" t="str">
        <f>IFERROR(VLOOKUP($A1885,EVENTO!$A$2:$C$4999,3,FALSE),"")</f>
        <v>PREFEITURA MUNICIPAL DE ARACATI - SAÚDE</v>
      </c>
      <c r="D1885" s="78" t="s">
        <v>1487</v>
      </c>
      <c r="F1885" s="78">
        <v>42.0</v>
      </c>
      <c r="G1885" s="79">
        <v>234.7</v>
      </c>
    </row>
    <row r="1886">
      <c r="A1886" s="6">
        <v>377.0</v>
      </c>
      <c r="B1886" s="76" t="str">
        <f>IFERROR(VLOOKUP($A1886,EVENTO!$A$2:$C$4999,2,FALSE),"")</f>
        <v>CADASTRO</v>
      </c>
      <c r="C1886" s="76" t="str">
        <f>IFERROR(VLOOKUP($A1886,EVENTO!$A$2:$C$4999,3,FALSE),"")</f>
        <v>PREFEITURA MUNICIPAL DE ARACATI - SAÚDE</v>
      </c>
      <c r="D1886" s="85" t="s">
        <v>1556</v>
      </c>
      <c r="E1886" s="86"/>
      <c r="F1886" s="78">
        <v>33.0</v>
      </c>
      <c r="G1886" s="79">
        <v>148.11</v>
      </c>
    </row>
    <row r="1887">
      <c r="A1887" s="6">
        <v>377.0</v>
      </c>
      <c r="B1887" s="76" t="str">
        <f>IFERROR(VLOOKUP($A1887,EVENTO!$A$2:$C$4999,2,FALSE),"")</f>
        <v>CADASTRO</v>
      </c>
      <c r="C1887" s="76" t="str">
        <f>IFERROR(VLOOKUP($A1887,EVENTO!$A$2:$C$4999,3,FALSE),"")</f>
        <v>PREFEITURA MUNICIPAL DE ARACATI - SAÚDE</v>
      </c>
      <c r="D1887" s="81" t="s">
        <v>1728</v>
      </c>
      <c r="F1887" s="78">
        <v>1.0</v>
      </c>
      <c r="G1887" s="79">
        <v>1239.56</v>
      </c>
    </row>
    <row r="1888">
      <c r="A1888" s="6">
        <v>377.0</v>
      </c>
      <c r="B1888" s="76" t="str">
        <f>IFERROR(VLOOKUP($A1888,EVENTO!$A$2:$C$4999,2,FALSE),"")</f>
        <v>CADASTRO</v>
      </c>
      <c r="C1888" s="76" t="str">
        <f>IFERROR(VLOOKUP($A1888,EVENTO!$A$2:$C$4999,3,FALSE),"")</f>
        <v>PREFEITURA MUNICIPAL DE ARACATI - SAÚDE</v>
      </c>
      <c r="D1888" s="78" t="s">
        <v>1729</v>
      </c>
      <c r="F1888" s="78">
        <v>6.0</v>
      </c>
      <c r="G1888" s="79">
        <v>80.51</v>
      </c>
    </row>
    <row r="1889">
      <c r="A1889" s="6">
        <v>377.0</v>
      </c>
      <c r="B1889" s="76" t="str">
        <f>IFERROR(VLOOKUP($A1889,EVENTO!$A$2:$C$4999,2,FALSE),"")</f>
        <v>CADASTRO</v>
      </c>
      <c r="C1889" s="76" t="str">
        <f>IFERROR(VLOOKUP($A1889,EVENTO!$A$2:$C$4999,3,FALSE),"")</f>
        <v>PREFEITURA MUNICIPAL DE ARACATI - SAÚDE</v>
      </c>
      <c r="D1889" s="78" t="s">
        <v>1650</v>
      </c>
      <c r="F1889" s="78">
        <v>1.0</v>
      </c>
      <c r="G1889" s="79">
        <v>201.73</v>
      </c>
    </row>
    <row r="1890">
      <c r="A1890" s="6">
        <v>377.0</v>
      </c>
      <c r="B1890" s="76" t="str">
        <f>IFERROR(VLOOKUP($A1890,EVENTO!$A$2:$C$4999,2,FALSE),"")</f>
        <v>CADASTRO</v>
      </c>
      <c r="C1890" s="76" t="str">
        <f>IFERROR(VLOOKUP($A1890,EVENTO!$A$2:$C$4999,3,FALSE),"")</f>
        <v>PREFEITURA MUNICIPAL DE ARACATI - SAÚDE</v>
      </c>
      <c r="D1890" s="78" t="s">
        <v>1730</v>
      </c>
      <c r="F1890" s="78">
        <v>1.0</v>
      </c>
      <c r="G1890" s="79">
        <v>1325.36</v>
      </c>
    </row>
    <row r="1891">
      <c r="A1891" s="6">
        <v>377.0</v>
      </c>
      <c r="B1891" s="76" t="str">
        <f>IFERROR(VLOOKUP($A1891,EVENTO!$A$2:$C$4999,2,FALSE),"")</f>
        <v>CADASTRO</v>
      </c>
      <c r="C1891" s="76" t="str">
        <f>IFERROR(VLOOKUP($A1891,EVENTO!$A$2:$C$4999,3,FALSE),"")</f>
        <v>PREFEITURA MUNICIPAL DE ARACATI - SAÚDE</v>
      </c>
      <c r="D1891" s="78" t="s">
        <v>1639</v>
      </c>
      <c r="F1891" s="78">
        <v>2.0</v>
      </c>
      <c r="G1891" s="79">
        <v>181.17</v>
      </c>
    </row>
    <row r="1892">
      <c r="A1892" s="6">
        <v>377.0</v>
      </c>
      <c r="B1892" s="76" t="str">
        <f>IFERROR(VLOOKUP($A1892,EVENTO!$A$2:$C$4999,2,FALSE),"")</f>
        <v>CADASTRO</v>
      </c>
      <c r="C1892" s="76" t="str">
        <f>IFERROR(VLOOKUP($A1892,EVENTO!$A$2:$C$4999,3,FALSE),"")</f>
        <v>PREFEITURA MUNICIPAL DE ARACATI - SAÚDE</v>
      </c>
      <c r="D1892" s="100" t="s">
        <v>1580</v>
      </c>
      <c r="E1892" s="4"/>
      <c r="F1892" s="78">
        <v>8.0</v>
      </c>
      <c r="G1892" s="92">
        <v>193.47</v>
      </c>
    </row>
    <row r="1893">
      <c r="A1893" s="6">
        <v>377.0</v>
      </c>
      <c r="B1893" s="76" t="str">
        <f>IFERROR(VLOOKUP($A1893,EVENTO!$A$2:$C$4999,2,FALSE),"")</f>
        <v>CADASTRO</v>
      </c>
      <c r="C1893" s="76" t="str">
        <f>IFERROR(VLOOKUP($A1893,EVENTO!$A$2:$C$4999,3,FALSE),"")</f>
        <v>PREFEITURA MUNICIPAL DE ARACATI - SAÚDE</v>
      </c>
      <c r="D1893" s="100" t="s">
        <v>1557</v>
      </c>
      <c r="E1893" s="4"/>
      <c r="F1893" s="78">
        <v>12.0</v>
      </c>
      <c r="G1893" s="92">
        <v>91.18</v>
      </c>
    </row>
    <row r="1894">
      <c r="A1894" s="6">
        <v>377.0</v>
      </c>
      <c r="B1894" s="76" t="str">
        <f>IFERROR(VLOOKUP($A1894,EVENTO!$A$2:$C$4999,2,FALSE),"")</f>
        <v>CADASTRO</v>
      </c>
      <c r="C1894" s="76" t="str">
        <f>IFERROR(VLOOKUP($A1894,EVENTO!$A$2:$C$4999,3,FALSE),"")</f>
        <v>PREFEITURA MUNICIPAL DE ARACATI - SAÚDE</v>
      </c>
      <c r="D1894" s="78" t="s">
        <v>1540</v>
      </c>
      <c r="F1894" s="78">
        <v>8.0</v>
      </c>
      <c r="G1894" s="90">
        <v>63.8</v>
      </c>
    </row>
    <row r="1895">
      <c r="A1895" s="6">
        <v>377.0</v>
      </c>
      <c r="B1895" s="76" t="str">
        <f>IFERROR(VLOOKUP($A1895,EVENTO!$A$2:$C$4999,2,FALSE),"")</f>
        <v>CADASTRO</v>
      </c>
      <c r="C1895" s="76" t="str">
        <f>IFERROR(VLOOKUP($A1895,EVENTO!$A$2:$C$4999,3,FALSE),"")</f>
        <v>PREFEITURA MUNICIPAL DE ARACATI - SAÚDE</v>
      </c>
      <c r="D1895" s="78" t="s">
        <v>1559</v>
      </c>
      <c r="F1895" s="78">
        <v>10.0</v>
      </c>
      <c r="G1895" s="79">
        <v>105.09</v>
      </c>
    </row>
    <row r="1896">
      <c r="A1896" s="6">
        <v>378.0</v>
      </c>
      <c r="B1896" s="76" t="str">
        <f>IFERROR(VLOOKUP($A1896,EVENTO!$A$2:$C$4999,2,FALSE),"")</f>
        <v>ADITIVO DE PRAZO</v>
      </c>
      <c r="C1896" s="76" t="str">
        <f>IFERROR(VLOOKUP($A1896,EVENTO!$A$2:$C$4999,3,FALSE),"")</f>
        <v>PREFEITURA MUNICIPAL DE ARACATI - SAÚDE</v>
      </c>
      <c r="D1896" s="78" t="s">
        <v>1544</v>
      </c>
      <c r="E1896" s="6" t="s">
        <v>1545</v>
      </c>
      <c r="F1896" s="78">
        <v>5.0</v>
      </c>
      <c r="G1896" s="79">
        <v>534.71</v>
      </c>
    </row>
    <row r="1897">
      <c r="A1897" s="6">
        <v>378.0</v>
      </c>
      <c r="B1897" s="76" t="str">
        <f>IFERROR(VLOOKUP($A1897,EVENTO!$A$2:$C$4999,2,FALSE),"")</f>
        <v>ADITIVO DE PRAZO</v>
      </c>
      <c r="C1897" s="76" t="str">
        <f>IFERROR(VLOOKUP($A1897,EVENTO!$A$2:$C$4999,3,FALSE),"")</f>
        <v>PREFEITURA MUNICIPAL DE ARACATI - SAÚDE</v>
      </c>
      <c r="D1897" s="78" t="s">
        <v>1458</v>
      </c>
      <c r="E1897" s="6" t="s">
        <v>1535</v>
      </c>
      <c r="F1897" s="78">
        <v>7.0</v>
      </c>
      <c r="G1897" s="79">
        <v>344.75</v>
      </c>
    </row>
    <row r="1898">
      <c r="A1898" s="6">
        <v>378.0</v>
      </c>
      <c r="B1898" s="76" t="str">
        <f>IFERROR(VLOOKUP($A1898,EVENTO!$A$2:$C$4999,2,FALSE),"")</f>
        <v>ADITIVO DE PRAZO</v>
      </c>
      <c r="C1898" s="76" t="str">
        <f>IFERROR(VLOOKUP($A1898,EVENTO!$A$2:$C$4999,3,FALSE),"")</f>
        <v>PREFEITURA MUNICIPAL DE ARACATI - SAÚDE</v>
      </c>
      <c r="D1898" s="78" t="s">
        <v>1546</v>
      </c>
      <c r="E1898" s="6" t="s">
        <v>1547</v>
      </c>
      <c r="F1898" s="78">
        <v>15.0</v>
      </c>
      <c r="G1898" s="79">
        <v>270.39</v>
      </c>
    </row>
    <row r="1899">
      <c r="A1899" s="6">
        <v>378.0</v>
      </c>
      <c r="B1899" s="76" t="str">
        <f>IFERROR(VLOOKUP($A1899,EVENTO!$A$2:$C$4999,2,FALSE),"")</f>
        <v>ADITIVO DE PRAZO</v>
      </c>
      <c r="C1899" s="76" t="str">
        <f>IFERROR(VLOOKUP($A1899,EVENTO!$A$2:$C$4999,3,FALSE),"")</f>
        <v>PREFEITURA MUNICIPAL DE ARACATI - SAÚDE</v>
      </c>
      <c r="D1899" s="78" t="s">
        <v>1456</v>
      </c>
      <c r="E1899" s="6" t="s">
        <v>1548</v>
      </c>
      <c r="F1899" s="78">
        <v>7.0</v>
      </c>
      <c r="G1899" s="79">
        <v>387.36</v>
      </c>
    </row>
    <row r="1900">
      <c r="A1900" s="6">
        <v>378.0</v>
      </c>
      <c r="B1900" s="76" t="str">
        <f>IFERROR(VLOOKUP($A1900,EVENTO!$A$2:$C$4999,2,FALSE),"")</f>
        <v>ADITIVO DE PRAZO</v>
      </c>
      <c r="C1900" s="76" t="str">
        <f>IFERROR(VLOOKUP($A1900,EVENTO!$A$2:$C$4999,3,FALSE),"")</f>
        <v>PREFEITURA MUNICIPAL DE ARACATI - SAÚDE</v>
      </c>
      <c r="D1900" s="78" t="s">
        <v>1549</v>
      </c>
      <c r="E1900" s="6" t="s">
        <v>1550</v>
      </c>
      <c r="F1900" s="78">
        <v>281.0</v>
      </c>
      <c r="G1900" s="79">
        <v>221.78</v>
      </c>
    </row>
    <row r="1901">
      <c r="A1901" s="6">
        <v>378.0</v>
      </c>
      <c r="B1901" s="76" t="str">
        <f>IFERROR(VLOOKUP($A1901,EVENTO!$A$2:$C$4999,2,FALSE),"")</f>
        <v>ADITIVO DE PRAZO</v>
      </c>
      <c r="C1901" s="76" t="str">
        <f>IFERROR(VLOOKUP($A1901,EVENTO!$A$2:$C$4999,3,FALSE),"")</f>
        <v>PREFEITURA MUNICIPAL DE ARACATI - SAÚDE</v>
      </c>
      <c r="D1901" s="78" t="s">
        <v>1553</v>
      </c>
      <c r="F1901" s="78">
        <v>69.0</v>
      </c>
      <c r="G1901" s="79">
        <v>286.34</v>
      </c>
    </row>
    <row r="1902">
      <c r="A1902" s="6">
        <v>378.0</v>
      </c>
      <c r="B1902" s="76" t="str">
        <f>IFERROR(VLOOKUP($A1902,EVENTO!$A$2:$C$4999,2,FALSE),"")</f>
        <v>ADITIVO DE PRAZO</v>
      </c>
      <c r="C1902" s="76" t="str">
        <f>IFERROR(VLOOKUP($A1902,EVENTO!$A$2:$C$4999,3,FALSE),"")</f>
        <v>PREFEITURA MUNICIPAL DE ARACATI - SAÚDE</v>
      </c>
      <c r="D1902" s="78" t="s">
        <v>1487</v>
      </c>
      <c r="F1902" s="78">
        <v>42.0</v>
      </c>
      <c r="G1902" s="79">
        <v>234.7</v>
      </c>
    </row>
    <row r="1903">
      <c r="A1903" s="6">
        <v>378.0</v>
      </c>
      <c r="B1903" s="76" t="str">
        <f>IFERROR(VLOOKUP($A1903,EVENTO!$A$2:$C$4999,2,FALSE),"")</f>
        <v>ADITIVO DE PRAZO</v>
      </c>
      <c r="C1903" s="76" t="str">
        <f>IFERROR(VLOOKUP($A1903,EVENTO!$A$2:$C$4999,3,FALSE),"")</f>
        <v>PREFEITURA MUNICIPAL DE ARACATI - SAÚDE</v>
      </c>
      <c r="D1903" s="85" t="s">
        <v>1556</v>
      </c>
      <c r="E1903" s="86"/>
      <c r="F1903" s="78">
        <v>33.0</v>
      </c>
      <c r="G1903" s="79">
        <v>148.11</v>
      </c>
    </row>
    <row r="1904">
      <c r="A1904" s="6">
        <v>378.0</v>
      </c>
      <c r="B1904" s="76" t="str">
        <f>IFERROR(VLOOKUP($A1904,EVENTO!$A$2:$C$4999,2,FALSE),"")</f>
        <v>ADITIVO DE PRAZO</v>
      </c>
      <c r="C1904" s="76" t="str">
        <f>IFERROR(VLOOKUP($A1904,EVENTO!$A$2:$C$4999,3,FALSE),"")</f>
        <v>PREFEITURA MUNICIPAL DE ARACATI - SAÚDE</v>
      </c>
      <c r="D1904" s="81" t="s">
        <v>1728</v>
      </c>
      <c r="F1904" s="78">
        <v>1.0</v>
      </c>
      <c r="G1904" s="79">
        <v>1239.56</v>
      </c>
    </row>
    <row r="1905">
      <c r="A1905" s="6">
        <v>378.0</v>
      </c>
      <c r="B1905" s="76" t="str">
        <f>IFERROR(VLOOKUP($A1905,EVENTO!$A$2:$C$4999,2,FALSE),"")</f>
        <v>ADITIVO DE PRAZO</v>
      </c>
      <c r="C1905" s="76" t="str">
        <f>IFERROR(VLOOKUP($A1905,EVENTO!$A$2:$C$4999,3,FALSE),"")</f>
        <v>PREFEITURA MUNICIPAL DE ARACATI - SAÚDE</v>
      </c>
      <c r="D1905" s="78" t="s">
        <v>1729</v>
      </c>
      <c r="F1905" s="78">
        <v>6.0</v>
      </c>
      <c r="G1905" s="79">
        <v>80.51</v>
      </c>
    </row>
    <row r="1906">
      <c r="A1906" s="6">
        <v>378.0</v>
      </c>
      <c r="B1906" s="76" t="str">
        <f>IFERROR(VLOOKUP($A1906,EVENTO!$A$2:$C$4999,2,FALSE),"")</f>
        <v>ADITIVO DE PRAZO</v>
      </c>
      <c r="C1906" s="76" t="str">
        <f>IFERROR(VLOOKUP($A1906,EVENTO!$A$2:$C$4999,3,FALSE),"")</f>
        <v>PREFEITURA MUNICIPAL DE ARACATI - SAÚDE</v>
      </c>
      <c r="D1906" s="78" t="s">
        <v>1650</v>
      </c>
      <c r="F1906" s="78">
        <v>1.0</v>
      </c>
      <c r="G1906" s="79">
        <v>201.73</v>
      </c>
    </row>
    <row r="1907">
      <c r="A1907" s="6">
        <v>378.0</v>
      </c>
      <c r="B1907" s="76" t="str">
        <f>IFERROR(VLOOKUP($A1907,EVENTO!$A$2:$C$4999,2,FALSE),"")</f>
        <v>ADITIVO DE PRAZO</v>
      </c>
      <c r="C1907" s="76" t="str">
        <f>IFERROR(VLOOKUP($A1907,EVENTO!$A$2:$C$4999,3,FALSE),"")</f>
        <v>PREFEITURA MUNICIPAL DE ARACATI - SAÚDE</v>
      </c>
      <c r="D1907" s="78" t="s">
        <v>1730</v>
      </c>
      <c r="F1907" s="78">
        <v>1.0</v>
      </c>
      <c r="G1907" s="79">
        <v>1325.36</v>
      </c>
    </row>
    <row r="1908">
      <c r="A1908" s="6">
        <v>378.0</v>
      </c>
      <c r="B1908" s="76" t="str">
        <f>IFERROR(VLOOKUP($A1908,EVENTO!$A$2:$C$4999,2,FALSE),"")</f>
        <v>ADITIVO DE PRAZO</v>
      </c>
      <c r="C1908" s="76" t="str">
        <f>IFERROR(VLOOKUP($A1908,EVENTO!$A$2:$C$4999,3,FALSE),"")</f>
        <v>PREFEITURA MUNICIPAL DE ARACATI - SAÚDE</v>
      </c>
      <c r="D1908" s="78" t="s">
        <v>1639</v>
      </c>
      <c r="F1908" s="78">
        <v>2.0</v>
      </c>
      <c r="G1908" s="79">
        <v>181.17</v>
      </c>
    </row>
    <row r="1909">
      <c r="A1909" s="6">
        <v>378.0</v>
      </c>
      <c r="B1909" s="76" t="str">
        <f>IFERROR(VLOOKUP($A1909,EVENTO!$A$2:$C$4999,2,FALSE),"")</f>
        <v>ADITIVO DE PRAZO</v>
      </c>
      <c r="C1909" s="76" t="str">
        <f>IFERROR(VLOOKUP($A1909,EVENTO!$A$2:$C$4999,3,FALSE),"")</f>
        <v>PREFEITURA MUNICIPAL DE ARACATI - SAÚDE</v>
      </c>
      <c r="D1909" s="100" t="s">
        <v>1580</v>
      </c>
      <c r="E1909" s="4"/>
      <c r="F1909" s="78">
        <v>8.0</v>
      </c>
      <c r="G1909" s="92">
        <v>193.47</v>
      </c>
    </row>
    <row r="1910">
      <c r="A1910" s="6">
        <v>378.0</v>
      </c>
      <c r="B1910" s="76" t="str">
        <f>IFERROR(VLOOKUP($A1910,EVENTO!$A$2:$C$4999,2,FALSE),"")</f>
        <v>ADITIVO DE PRAZO</v>
      </c>
      <c r="C1910" s="76" t="str">
        <f>IFERROR(VLOOKUP($A1910,EVENTO!$A$2:$C$4999,3,FALSE),"")</f>
        <v>PREFEITURA MUNICIPAL DE ARACATI - SAÚDE</v>
      </c>
      <c r="D1910" s="100" t="s">
        <v>1557</v>
      </c>
      <c r="E1910" s="4"/>
      <c r="F1910" s="78">
        <v>12.0</v>
      </c>
      <c r="G1910" s="92">
        <v>91.18</v>
      </c>
    </row>
    <row r="1911">
      <c r="A1911" s="6">
        <v>378.0</v>
      </c>
      <c r="B1911" s="76" t="str">
        <f>IFERROR(VLOOKUP($A1911,EVENTO!$A$2:$C$4999,2,FALSE),"")</f>
        <v>ADITIVO DE PRAZO</v>
      </c>
      <c r="C1911" s="76" t="str">
        <f>IFERROR(VLOOKUP($A1911,EVENTO!$A$2:$C$4999,3,FALSE),"")</f>
        <v>PREFEITURA MUNICIPAL DE ARACATI - SAÚDE</v>
      </c>
      <c r="D1911" s="78" t="s">
        <v>1540</v>
      </c>
      <c r="F1911" s="78">
        <v>8.0</v>
      </c>
      <c r="G1911" s="90">
        <v>63.8</v>
      </c>
    </row>
    <row r="1912">
      <c r="A1912" s="6">
        <v>378.0</v>
      </c>
      <c r="B1912" s="76" t="str">
        <f>IFERROR(VLOOKUP($A1912,EVENTO!$A$2:$C$4999,2,FALSE),"")</f>
        <v>ADITIVO DE PRAZO</v>
      </c>
      <c r="C1912" s="76" t="str">
        <f>IFERROR(VLOOKUP($A1912,EVENTO!$A$2:$C$4999,3,FALSE),"")</f>
        <v>PREFEITURA MUNICIPAL DE ARACATI - SAÚDE</v>
      </c>
      <c r="D1912" s="78" t="s">
        <v>1559</v>
      </c>
      <c r="F1912" s="78">
        <v>10.0</v>
      </c>
      <c r="G1912" s="79">
        <v>105.09</v>
      </c>
    </row>
    <row r="1913">
      <c r="A1913" s="6">
        <v>379.0</v>
      </c>
      <c r="B1913" s="76" t="str">
        <f>IFERROR(VLOOKUP($A1913,EVENTO!$A$2:$C$4999,2,FALSE),"")</f>
        <v>ADITIVO DE PRAZO</v>
      </c>
      <c r="C1913" s="76" t="str">
        <f>IFERROR(VLOOKUP($A1913,EVENTO!$A$2:$C$4999,3,FALSE),"")</f>
        <v>PREFEITURA MUNICIPAL DE ARACATI - SAÚDE</v>
      </c>
      <c r="D1913" s="78" t="s">
        <v>1544</v>
      </c>
      <c r="E1913" s="6" t="s">
        <v>1545</v>
      </c>
      <c r="F1913" s="78">
        <v>5.0</v>
      </c>
      <c r="G1913" s="79">
        <v>534.71</v>
      </c>
    </row>
    <row r="1914">
      <c r="A1914" s="6">
        <v>379.0</v>
      </c>
      <c r="B1914" s="76" t="str">
        <f>IFERROR(VLOOKUP($A1914,EVENTO!$A$2:$C$4999,2,FALSE),"")</f>
        <v>ADITIVO DE PRAZO</v>
      </c>
      <c r="C1914" s="76" t="str">
        <f>IFERROR(VLOOKUP($A1914,EVENTO!$A$2:$C$4999,3,FALSE),"")</f>
        <v>PREFEITURA MUNICIPAL DE ARACATI - SAÚDE</v>
      </c>
      <c r="D1914" s="78" t="s">
        <v>1458</v>
      </c>
      <c r="E1914" s="6" t="s">
        <v>1535</v>
      </c>
      <c r="F1914" s="78">
        <v>7.0</v>
      </c>
      <c r="G1914" s="79">
        <v>344.75</v>
      </c>
    </row>
    <row r="1915">
      <c r="A1915" s="6">
        <v>379.0</v>
      </c>
      <c r="B1915" s="76" t="str">
        <f>IFERROR(VLOOKUP($A1915,EVENTO!$A$2:$C$4999,2,FALSE),"")</f>
        <v>ADITIVO DE PRAZO</v>
      </c>
      <c r="C1915" s="76" t="str">
        <f>IFERROR(VLOOKUP($A1915,EVENTO!$A$2:$C$4999,3,FALSE),"")</f>
        <v>PREFEITURA MUNICIPAL DE ARACATI - SAÚDE</v>
      </c>
      <c r="D1915" s="78" t="s">
        <v>1546</v>
      </c>
      <c r="E1915" s="6" t="s">
        <v>1547</v>
      </c>
      <c r="F1915" s="78">
        <v>15.0</v>
      </c>
      <c r="G1915" s="79">
        <v>270.39</v>
      </c>
    </row>
    <row r="1916">
      <c r="A1916" s="6">
        <v>379.0</v>
      </c>
      <c r="B1916" s="76" t="str">
        <f>IFERROR(VLOOKUP($A1916,EVENTO!$A$2:$C$4999,2,FALSE),"")</f>
        <v>ADITIVO DE PRAZO</v>
      </c>
      <c r="C1916" s="76" t="str">
        <f>IFERROR(VLOOKUP($A1916,EVENTO!$A$2:$C$4999,3,FALSE),"")</f>
        <v>PREFEITURA MUNICIPAL DE ARACATI - SAÚDE</v>
      </c>
      <c r="D1916" s="78" t="s">
        <v>1456</v>
      </c>
      <c r="E1916" s="6" t="s">
        <v>1548</v>
      </c>
      <c r="F1916" s="78">
        <v>7.0</v>
      </c>
      <c r="G1916" s="79">
        <v>387.36</v>
      </c>
    </row>
    <row r="1917">
      <c r="A1917" s="6">
        <v>379.0</v>
      </c>
      <c r="B1917" s="76" t="str">
        <f>IFERROR(VLOOKUP($A1917,EVENTO!$A$2:$C$4999,2,FALSE),"")</f>
        <v>ADITIVO DE PRAZO</v>
      </c>
      <c r="C1917" s="76" t="str">
        <f>IFERROR(VLOOKUP($A1917,EVENTO!$A$2:$C$4999,3,FALSE),"")</f>
        <v>PREFEITURA MUNICIPAL DE ARACATI - SAÚDE</v>
      </c>
      <c r="D1917" s="78" t="s">
        <v>1549</v>
      </c>
      <c r="E1917" s="6" t="s">
        <v>1550</v>
      </c>
      <c r="F1917" s="78">
        <v>281.0</v>
      </c>
      <c r="G1917" s="79">
        <v>221.78</v>
      </c>
    </row>
    <row r="1918">
      <c r="A1918" s="6">
        <v>379.0</v>
      </c>
      <c r="B1918" s="76" t="str">
        <f>IFERROR(VLOOKUP($A1918,EVENTO!$A$2:$C$4999,2,FALSE),"")</f>
        <v>ADITIVO DE PRAZO</v>
      </c>
      <c r="C1918" s="76" t="str">
        <f>IFERROR(VLOOKUP($A1918,EVENTO!$A$2:$C$4999,3,FALSE),"")</f>
        <v>PREFEITURA MUNICIPAL DE ARACATI - SAÚDE</v>
      </c>
      <c r="D1918" s="78" t="s">
        <v>1553</v>
      </c>
      <c r="F1918" s="78">
        <v>69.0</v>
      </c>
      <c r="G1918" s="79">
        <v>286.34</v>
      </c>
    </row>
    <row r="1919">
      <c r="A1919" s="6">
        <v>379.0</v>
      </c>
      <c r="B1919" s="76" t="str">
        <f>IFERROR(VLOOKUP($A1919,EVENTO!$A$2:$C$4999,2,FALSE),"")</f>
        <v>ADITIVO DE PRAZO</v>
      </c>
      <c r="C1919" s="76" t="str">
        <f>IFERROR(VLOOKUP($A1919,EVENTO!$A$2:$C$4999,3,FALSE),"")</f>
        <v>PREFEITURA MUNICIPAL DE ARACATI - SAÚDE</v>
      </c>
      <c r="D1919" s="78" t="s">
        <v>1487</v>
      </c>
      <c r="F1919" s="78">
        <v>42.0</v>
      </c>
      <c r="G1919" s="79">
        <v>234.7</v>
      </c>
    </row>
    <row r="1920">
      <c r="A1920" s="6">
        <v>379.0</v>
      </c>
      <c r="B1920" s="76" t="str">
        <f>IFERROR(VLOOKUP($A1920,EVENTO!$A$2:$C$4999,2,FALSE),"")</f>
        <v>ADITIVO DE PRAZO</v>
      </c>
      <c r="C1920" s="76" t="str">
        <f>IFERROR(VLOOKUP($A1920,EVENTO!$A$2:$C$4999,3,FALSE),"")</f>
        <v>PREFEITURA MUNICIPAL DE ARACATI - SAÚDE</v>
      </c>
      <c r="D1920" s="85" t="s">
        <v>1556</v>
      </c>
      <c r="E1920" s="86"/>
      <c r="F1920" s="78">
        <v>33.0</v>
      </c>
      <c r="G1920" s="79">
        <v>148.11</v>
      </c>
    </row>
    <row r="1921">
      <c r="A1921" s="6">
        <v>379.0</v>
      </c>
      <c r="B1921" s="76" t="str">
        <f>IFERROR(VLOOKUP($A1921,EVENTO!$A$2:$C$4999,2,FALSE),"")</f>
        <v>ADITIVO DE PRAZO</v>
      </c>
      <c r="C1921" s="76" t="str">
        <f>IFERROR(VLOOKUP($A1921,EVENTO!$A$2:$C$4999,3,FALSE),"")</f>
        <v>PREFEITURA MUNICIPAL DE ARACATI - SAÚDE</v>
      </c>
      <c r="D1921" s="81" t="s">
        <v>1728</v>
      </c>
      <c r="F1921" s="78">
        <v>1.0</v>
      </c>
      <c r="G1921" s="79">
        <v>1239.56</v>
      </c>
    </row>
    <row r="1922">
      <c r="A1922" s="6">
        <v>379.0</v>
      </c>
      <c r="B1922" s="76" t="str">
        <f>IFERROR(VLOOKUP($A1922,EVENTO!$A$2:$C$4999,2,FALSE),"")</f>
        <v>ADITIVO DE PRAZO</v>
      </c>
      <c r="C1922" s="76" t="str">
        <f>IFERROR(VLOOKUP($A1922,EVENTO!$A$2:$C$4999,3,FALSE),"")</f>
        <v>PREFEITURA MUNICIPAL DE ARACATI - SAÚDE</v>
      </c>
      <c r="D1922" s="78" t="s">
        <v>1729</v>
      </c>
      <c r="F1922" s="78">
        <v>6.0</v>
      </c>
      <c r="G1922" s="79">
        <v>80.51</v>
      </c>
    </row>
    <row r="1923">
      <c r="A1923" s="6">
        <v>379.0</v>
      </c>
      <c r="B1923" s="76" t="str">
        <f>IFERROR(VLOOKUP($A1923,EVENTO!$A$2:$C$4999,2,FALSE),"")</f>
        <v>ADITIVO DE PRAZO</v>
      </c>
      <c r="C1923" s="76" t="str">
        <f>IFERROR(VLOOKUP($A1923,EVENTO!$A$2:$C$4999,3,FALSE),"")</f>
        <v>PREFEITURA MUNICIPAL DE ARACATI - SAÚDE</v>
      </c>
      <c r="D1923" s="78" t="s">
        <v>1650</v>
      </c>
      <c r="F1923" s="78">
        <v>1.0</v>
      </c>
      <c r="G1923" s="79">
        <v>201.73</v>
      </c>
    </row>
    <row r="1924">
      <c r="A1924" s="6">
        <v>379.0</v>
      </c>
      <c r="B1924" s="76" t="str">
        <f>IFERROR(VLOOKUP($A1924,EVENTO!$A$2:$C$4999,2,FALSE),"")</f>
        <v>ADITIVO DE PRAZO</v>
      </c>
      <c r="C1924" s="76" t="str">
        <f>IFERROR(VLOOKUP($A1924,EVENTO!$A$2:$C$4999,3,FALSE),"")</f>
        <v>PREFEITURA MUNICIPAL DE ARACATI - SAÚDE</v>
      </c>
      <c r="D1924" s="78" t="s">
        <v>1730</v>
      </c>
      <c r="F1924" s="78">
        <v>1.0</v>
      </c>
      <c r="G1924" s="79">
        <v>1325.36</v>
      </c>
    </row>
    <row r="1925">
      <c r="A1925" s="6">
        <v>379.0</v>
      </c>
      <c r="B1925" s="76" t="str">
        <f>IFERROR(VLOOKUP($A1925,EVENTO!$A$2:$C$4999,2,FALSE),"")</f>
        <v>ADITIVO DE PRAZO</v>
      </c>
      <c r="C1925" s="76" t="str">
        <f>IFERROR(VLOOKUP($A1925,EVENTO!$A$2:$C$4999,3,FALSE),"")</f>
        <v>PREFEITURA MUNICIPAL DE ARACATI - SAÚDE</v>
      </c>
      <c r="D1925" s="78" t="s">
        <v>1639</v>
      </c>
      <c r="F1925" s="78">
        <v>2.0</v>
      </c>
      <c r="G1925" s="79">
        <v>181.17</v>
      </c>
    </row>
    <row r="1926">
      <c r="A1926" s="6">
        <v>379.0</v>
      </c>
      <c r="B1926" s="76" t="str">
        <f>IFERROR(VLOOKUP($A1926,EVENTO!$A$2:$C$4999,2,FALSE),"")</f>
        <v>ADITIVO DE PRAZO</v>
      </c>
      <c r="C1926" s="76" t="str">
        <f>IFERROR(VLOOKUP($A1926,EVENTO!$A$2:$C$4999,3,FALSE),"")</f>
        <v>PREFEITURA MUNICIPAL DE ARACATI - SAÚDE</v>
      </c>
      <c r="D1926" s="100" t="s">
        <v>1580</v>
      </c>
      <c r="E1926" s="4"/>
      <c r="F1926" s="78">
        <v>8.0</v>
      </c>
      <c r="G1926" s="92">
        <v>193.47</v>
      </c>
    </row>
    <row r="1927">
      <c r="A1927" s="6">
        <v>379.0</v>
      </c>
      <c r="B1927" s="76" t="str">
        <f>IFERROR(VLOOKUP($A1927,EVENTO!$A$2:$C$4999,2,FALSE),"")</f>
        <v>ADITIVO DE PRAZO</v>
      </c>
      <c r="C1927" s="76" t="str">
        <f>IFERROR(VLOOKUP($A1927,EVENTO!$A$2:$C$4999,3,FALSE),"")</f>
        <v>PREFEITURA MUNICIPAL DE ARACATI - SAÚDE</v>
      </c>
      <c r="D1927" s="100" t="s">
        <v>1557</v>
      </c>
      <c r="E1927" s="4"/>
      <c r="F1927" s="78">
        <v>12.0</v>
      </c>
      <c r="G1927" s="92">
        <v>91.18</v>
      </c>
    </row>
    <row r="1928">
      <c r="A1928" s="6">
        <v>379.0</v>
      </c>
      <c r="B1928" s="76" t="str">
        <f>IFERROR(VLOOKUP($A1928,EVENTO!$A$2:$C$4999,2,FALSE),"")</f>
        <v>ADITIVO DE PRAZO</v>
      </c>
      <c r="C1928" s="76" t="str">
        <f>IFERROR(VLOOKUP($A1928,EVENTO!$A$2:$C$4999,3,FALSE),"")</f>
        <v>PREFEITURA MUNICIPAL DE ARACATI - SAÚDE</v>
      </c>
      <c r="D1928" s="78" t="s">
        <v>1540</v>
      </c>
      <c r="F1928" s="78">
        <v>8.0</v>
      </c>
      <c r="G1928" s="90">
        <v>63.8</v>
      </c>
    </row>
    <row r="1929">
      <c r="A1929" s="6">
        <v>379.0</v>
      </c>
      <c r="B1929" s="76" t="str">
        <f>IFERROR(VLOOKUP($A1929,EVENTO!$A$2:$C$4999,2,FALSE),"")</f>
        <v>ADITIVO DE PRAZO</v>
      </c>
      <c r="C1929" s="76" t="str">
        <f>IFERROR(VLOOKUP($A1929,EVENTO!$A$2:$C$4999,3,FALSE),"")</f>
        <v>PREFEITURA MUNICIPAL DE ARACATI - SAÚDE</v>
      </c>
      <c r="D1929" s="78" t="s">
        <v>1559</v>
      </c>
      <c r="F1929" s="78">
        <v>10.0</v>
      </c>
      <c r="G1929" s="79">
        <v>105.09</v>
      </c>
    </row>
    <row r="1930">
      <c r="A1930" s="6">
        <v>380.0</v>
      </c>
      <c r="B1930" s="76" t="str">
        <f>IFERROR(VLOOKUP($A1930,EVENTO!$A$2:$C$4999,2,FALSE),"")</f>
        <v>ADITIVO DE PRAZO</v>
      </c>
      <c r="C1930" s="76" t="str">
        <f>IFERROR(VLOOKUP($A1930,EVENTO!$A$2:$C$4999,3,FALSE),"")</f>
        <v>PREFEITURA MUNICIPAL DE ARACATI - SAÚDE</v>
      </c>
      <c r="D1930" s="78" t="s">
        <v>1544</v>
      </c>
      <c r="E1930" s="6" t="s">
        <v>1545</v>
      </c>
      <c r="F1930" s="78">
        <v>5.0</v>
      </c>
      <c r="G1930" s="79">
        <v>534.71</v>
      </c>
    </row>
    <row r="1931">
      <c r="A1931" s="6">
        <v>380.0</v>
      </c>
      <c r="B1931" s="76" t="str">
        <f>IFERROR(VLOOKUP($A1931,EVENTO!$A$2:$C$4999,2,FALSE),"")</f>
        <v>ADITIVO DE PRAZO</v>
      </c>
      <c r="C1931" s="76" t="str">
        <f>IFERROR(VLOOKUP($A1931,EVENTO!$A$2:$C$4999,3,FALSE),"")</f>
        <v>PREFEITURA MUNICIPAL DE ARACATI - SAÚDE</v>
      </c>
      <c r="D1931" s="78" t="s">
        <v>1458</v>
      </c>
      <c r="E1931" s="6" t="s">
        <v>1535</v>
      </c>
      <c r="F1931" s="78">
        <v>7.0</v>
      </c>
      <c r="G1931" s="79">
        <v>344.75</v>
      </c>
    </row>
    <row r="1932">
      <c r="A1932" s="6">
        <v>380.0</v>
      </c>
      <c r="B1932" s="76" t="str">
        <f>IFERROR(VLOOKUP($A1932,EVENTO!$A$2:$C$4999,2,FALSE),"")</f>
        <v>ADITIVO DE PRAZO</v>
      </c>
      <c r="C1932" s="76" t="str">
        <f>IFERROR(VLOOKUP($A1932,EVENTO!$A$2:$C$4999,3,FALSE),"")</f>
        <v>PREFEITURA MUNICIPAL DE ARACATI - SAÚDE</v>
      </c>
      <c r="D1932" s="78" t="s">
        <v>1546</v>
      </c>
      <c r="E1932" s="6" t="s">
        <v>1547</v>
      </c>
      <c r="F1932" s="78">
        <v>15.0</v>
      </c>
      <c r="G1932" s="79">
        <v>270.39</v>
      </c>
    </row>
    <row r="1933">
      <c r="A1933" s="6">
        <v>380.0</v>
      </c>
      <c r="B1933" s="76" t="str">
        <f>IFERROR(VLOOKUP($A1933,EVENTO!$A$2:$C$4999,2,FALSE),"")</f>
        <v>ADITIVO DE PRAZO</v>
      </c>
      <c r="C1933" s="76" t="str">
        <f>IFERROR(VLOOKUP($A1933,EVENTO!$A$2:$C$4999,3,FALSE),"")</f>
        <v>PREFEITURA MUNICIPAL DE ARACATI - SAÚDE</v>
      </c>
      <c r="D1933" s="78" t="s">
        <v>1456</v>
      </c>
      <c r="E1933" s="6" t="s">
        <v>1548</v>
      </c>
      <c r="F1933" s="78">
        <v>7.0</v>
      </c>
      <c r="G1933" s="79">
        <v>387.36</v>
      </c>
    </row>
    <row r="1934">
      <c r="A1934" s="6">
        <v>380.0</v>
      </c>
      <c r="B1934" s="76" t="str">
        <f>IFERROR(VLOOKUP($A1934,EVENTO!$A$2:$C$4999,2,FALSE),"")</f>
        <v>ADITIVO DE PRAZO</v>
      </c>
      <c r="C1934" s="76" t="str">
        <f>IFERROR(VLOOKUP($A1934,EVENTO!$A$2:$C$4999,3,FALSE),"")</f>
        <v>PREFEITURA MUNICIPAL DE ARACATI - SAÚDE</v>
      </c>
      <c r="D1934" s="78" t="s">
        <v>1549</v>
      </c>
      <c r="E1934" s="6" t="s">
        <v>1550</v>
      </c>
      <c r="F1934" s="78">
        <v>281.0</v>
      </c>
      <c r="G1934" s="79">
        <v>221.78</v>
      </c>
    </row>
    <row r="1935">
      <c r="A1935" s="6">
        <v>380.0</v>
      </c>
      <c r="B1935" s="76" t="str">
        <f>IFERROR(VLOOKUP($A1935,EVENTO!$A$2:$C$4999,2,FALSE),"")</f>
        <v>ADITIVO DE PRAZO</v>
      </c>
      <c r="C1935" s="76" t="str">
        <f>IFERROR(VLOOKUP($A1935,EVENTO!$A$2:$C$4999,3,FALSE),"")</f>
        <v>PREFEITURA MUNICIPAL DE ARACATI - SAÚDE</v>
      </c>
      <c r="D1935" s="78" t="s">
        <v>1553</v>
      </c>
      <c r="F1935" s="78">
        <v>69.0</v>
      </c>
      <c r="G1935" s="79">
        <v>286.34</v>
      </c>
    </row>
    <row r="1936">
      <c r="A1936" s="6">
        <v>380.0</v>
      </c>
      <c r="B1936" s="76" t="str">
        <f>IFERROR(VLOOKUP($A1936,EVENTO!$A$2:$C$4999,2,FALSE),"")</f>
        <v>ADITIVO DE PRAZO</v>
      </c>
      <c r="C1936" s="76" t="str">
        <f>IFERROR(VLOOKUP($A1936,EVENTO!$A$2:$C$4999,3,FALSE),"")</f>
        <v>PREFEITURA MUNICIPAL DE ARACATI - SAÚDE</v>
      </c>
      <c r="D1936" s="78" t="s">
        <v>1487</v>
      </c>
      <c r="F1936" s="78">
        <v>42.0</v>
      </c>
      <c r="G1936" s="79">
        <v>234.7</v>
      </c>
    </row>
    <row r="1937">
      <c r="A1937" s="6">
        <v>380.0</v>
      </c>
      <c r="B1937" s="76" t="str">
        <f>IFERROR(VLOOKUP($A1937,EVENTO!$A$2:$C$4999,2,FALSE),"")</f>
        <v>ADITIVO DE PRAZO</v>
      </c>
      <c r="C1937" s="76" t="str">
        <f>IFERROR(VLOOKUP($A1937,EVENTO!$A$2:$C$4999,3,FALSE),"")</f>
        <v>PREFEITURA MUNICIPAL DE ARACATI - SAÚDE</v>
      </c>
      <c r="D1937" s="85" t="s">
        <v>1556</v>
      </c>
      <c r="E1937" s="86"/>
      <c r="F1937" s="78">
        <v>33.0</v>
      </c>
      <c r="G1937" s="79">
        <v>148.11</v>
      </c>
    </row>
    <row r="1938">
      <c r="A1938" s="6">
        <v>380.0</v>
      </c>
      <c r="B1938" s="76" t="str">
        <f>IFERROR(VLOOKUP($A1938,EVENTO!$A$2:$C$4999,2,FALSE),"")</f>
        <v>ADITIVO DE PRAZO</v>
      </c>
      <c r="C1938" s="76" t="str">
        <f>IFERROR(VLOOKUP($A1938,EVENTO!$A$2:$C$4999,3,FALSE),"")</f>
        <v>PREFEITURA MUNICIPAL DE ARACATI - SAÚDE</v>
      </c>
      <c r="D1938" s="81" t="s">
        <v>1728</v>
      </c>
      <c r="F1938" s="78">
        <v>1.0</v>
      </c>
      <c r="G1938" s="79">
        <v>1239.56</v>
      </c>
    </row>
    <row r="1939">
      <c r="A1939" s="6">
        <v>380.0</v>
      </c>
      <c r="B1939" s="76" t="str">
        <f>IFERROR(VLOOKUP($A1939,EVENTO!$A$2:$C$4999,2,FALSE),"")</f>
        <v>ADITIVO DE PRAZO</v>
      </c>
      <c r="C1939" s="76" t="str">
        <f>IFERROR(VLOOKUP($A1939,EVENTO!$A$2:$C$4999,3,FALSE),"")</f>
        <v>PREFEITURA MUNICIPAL DE ARACATI - SAÚDE</v>
      </c>
      <c r="D1939" s="78" t="s">
        <v>1729</v>
      </c>
      <c r="F1939" s="78">
        <v>6.0</v>
      </c>
      <c r="G1939" s="79">
        <v>80.51</v>
      </c>
    </row>
    <row r="1940">
      <c r="A1940" s="6">
        <v>380.0</v>
      </c>
      <c r="B1940" s="76" t="str">
        <f>IFERROR(VLOOKUP($A1940,EVENTO!$A$2:$C$4999,2,FALSE),"")</f>
        <v>ADITIVO DE PRAZO</v>
      </c>
      <c r="C1940" s="76" t="str">
        <f>IFERROR(VLOOKUP($A1940,EVENTO!$A$2:$C$4999,3,FALSE),"")</f>
        <v>PREFEITURA MUNICIPAL DE ARACATI - SAÚDE</v>
      </c>
      <c r="D1940" s="78" t="s">
        <v>1650</v>
      </c>
      <c r="F1940" s="78">
        <v>1.0</v>
      </c>
      <c r="G1940" s="79">
        <v>201.73</v>
      </c>
    </row>
    <row r="1941">
      <c r="A1941" s="6">
        <v>380.0</v>
      </c>
      <c r="B1941" s="76" t="str">
        <f>IFERROR(VLOOKUP($A1941,EVENTO!$A$2:$C$4999,2,FALSE),"")</f>
        <v>ADITIVO DE PRAZO</v>
      </c>
      <c r="C1941" s="76" t="str">
        <f>IFERROR(VLOOKUP($A1941,EVENTO!$A$2:$C$4999,3,FALSE),"")</f>
        <v>PREFEITURA MUNICIPAL DE ARACATI - SAÚDE</v>
      </c>
      <c r="D1941" s="78" t="s">
        <v>1730</v>
      </c>
      <c r="F1941" s="78">
        <v>1.0</v>
      </c>
      <c r="G1941" s="79">
        <v>1325.36</v>
      </c>
    </row>
    <row r="1942">
      <c r="A1942" s="6">
        <v>380.0</v>
      </c>
      <c r="B1942" s="76" t="str">
        <f>IFERROR(VLOOKUP($A1942,EVENTO!$A$2:$C$4999,2,FALSE),"")</f>
        <v>ADITIVO DE PRAZO</v>
      </c>
      <c r="C1942" s="76" t="str">
        <f>IFERROR(VLOOKUP($A1942,EVENTO!$A$2:$C$4999,3,FALSE),"")</f>
        <v>PREFEITURA MUNICIPAL DE ARACATI - SAÚDE</v>
      </c>
      <c r="D1942" s="78" t="s">
        <v>1639</v>
      </c>
      <c r="F1942" s="78">
        <v>2.0</v>
      </c>
      <c r="G1942" s="79">
        <v>181.17</v>
      </c>
    </row>
    <row r="1943">
      <c r="A1943" s="6">
        <v>380.0</v>
      </c>
      <c r="B1943" s="76" t="str">
        <f>IFERROR(VLOOKUP($A1943,EVENTO!$A$2:$C$4999,2,FALSE),"")</f>
        <v>ADITIVO DE PRAZO</v>
      </c>
      <c r="C1943" s="76" t="str">
        <f>IFERROR(VLOOKUP($A1943,EVENTO!$A$2:$C$4999,3,FALSE),"")</f>
        <v>PREFEITURA MUNICIPAL DE ARACATI - SAÚDE</v>
      </c>
      <c r="D1943" s="100" t="s">
        <v>1580</v>
      </c>
      <c r="E1943" s="4"/>
      <c r="F1943" s="78">
        <v>8.0</v>
      </c>
      <c r="G1943" s="92">
        <v>193.47</v>
      </c>
    </row>
    <row r="1944">
      <c r="A1944" s="6">
        <v>380.0</v>
      </c>
      <c r="B1944" s="76" t="str">
        <f>IFERROR(VLOOKUP($A1944,EVENTO!$A$2:$C$4999,2,FALSE),"")</f>
        <v>ADITIVO DE PRAZO</v>
      </c>
      <c r="C1944" s="76" t="str">
        <f>IFERROR(VLOOKUP($A1944,EVENTO!$A$2:$C$4999,3,FALSE),"")</f>
        <v>PREFEITURA MUNICIPAL DE ARACATI - SAÚDE</v>
      </c>
      <c r="D1944" s="100" t="s">
        <v>1557</v>
      </c>
      <c r="E1944" s="4"/>
      <c r="F1944" s="78">
        <v>12.0</v>
      </c>
      <c r="G1944" s="92">
        <v>91.18</v>
      </c>
    </row>
    <row r="1945">
      <c r="A1945" s="6">
        <v>380.0</v>
      </c>
      <c r="B1945" s="76" t="str">
        <f>IFERROR(VLOOKUP($A1945,EVENTO!$A$2:$C$4999,2,FALSE),"")</f>
        <v>ADITIVO DE PRAZO</v>
      </c>
      <c r="C1945" s="76" t="str">
        <f>IFERROR(VLOOKUP($A1945,EVENTO!$A$2:$C$4999,3,FALSE),"")</f>
        <v>PREFEITURA MUNICIPAL DE ARACATI - SAÚDE</v>
      </c>
      <c r="D1945" s="78" t="s">
        <v>1540</v>
      </c>
      <c r="F1945" s="78">
        <v>8.0</v>
      </c>
      <c r="G1945" s="90">
        <v>63.8</v>
      </c>
    </row>
    <row r="1946">
      <c r="A1946" s="6">
        <v>380.0</v>
      </c>
      <c r="B1946" s="76" t="str">
        <f>IFERROR(VLOOKUP($A1946,EVENTO!$A$2:$C$4999,2,FALSE),"")</f>
        <v>ADITIVO DE PRAZO</v>
      </c>
      <c r="C1946" s="76" t="str">
        <f>IFERROR(VLOOKUP($A1946,EVENTO!$A$2:$C$4999,3,FALSE),"")</f>
        <v>PREFEITURA MUNICIPAL DE ARACATI - SAÚDE</v>
      </c>
      <c r="D1946" s="78" t="s">
        <v>1559</v>
      </c>
      <c r="F1946" s="78">
        <v>10.0</v>
      </c>
      <c r="G1946" s="79">
        <v>105.09</v>
      </c>
    </row>
    <row r="1947">
      <c r="A1947" s="6">
        <v>381.0</v>
      </c>
      <c r="B1947" s="76" t="str">
        <f>IFERROR(VLOOKUP($A1947,EVENTO!$A$2:$C$4999,2,FALSE),"")</f>
        <v>ADITIVO DE PRAZO</v>
      </c>
      <c r="C1947" s="76" t="str">
        <f>IFERROR(VLOOKUP($A1947,EVENTO!$A$2:$C$4999,3,FALSE),"")</f>
        <v>PREFEITURA MUNICIPAL DE ARACATI - SAÚDE</v>
      </c>
      <c r="D1947" s="78" t="s">
        <v>1544</v>
      </c>
      <c r="E1947" s="6" t="s">
        <v>1545</v>
      </c>
      <c r="F1947" s="78">
        <v>5.0</v>
      </c>
      <c r="G1947" s="79">
        <v>534.71</v>
      </c>
    </row>
    <row r="1948">
      <c r="A1948" s="6">
        <v>381.0</v>
      </c>
      <c r="B1948" s="76" t="str">
        <f>IFERROR(VLOOKUP($A1948,EVENTO!$A$2:$C$4999,2,FALSE),"")</f>
        <v>ADITIVO DE PRAZO</v>
      </c>
      <c r="C1948" s="76" t="str">
        <f>IFERROR(VLOOKUP($A1948,EVENTO!$A$2:$C$4999,3,FALSE),"")</f>
        <v>PREFEITURA MUNICIPAL DE ARACATI - SAÚDE</v>
      </c>
      <c r="D1948" s="78" t="s">
        <v>1458</v>
      </c>
      <c r="E1948" s="6" t="s">
        <v>1535</v>
      </c>
      <c r="F1948" s="78">
        <v>7.0</v>
      </c>
      <c r="G1948" s="79">
        <v>344.75</v>
      </c>
    </row>
    <row r="1949">
      <c r="A1949" s="6">
        <v>381.0</v>
      </c>
      <c r="B1949" s="76" t="str">
        <f>IFERROR(VLOOKUP($A1949,EVENTO!$A$2:$C$4999,2,FALSE),"")</f>
        <v>ADITIVO DE PRAZO</v>
      </c>
      <c r="C1949" s="76" t="str">
        <f>IFERROR(VLOOKUP($A1949,EVENTO!$A$2:$C$4999,3,FALSE),"")</f>
        <v>PREFEITURA MUNICIPAL DE ARACATI - SAÚDE</v>
      </c>
      <c r="D1949" s="78" t="s">
        <v>1546</v>
      </c>
      <c r="E1949" s="6" t="s">
        <v>1547</v>
      </c>
      <c r="F1949" s="78">
        <v>15.0</v>
      </c>
      <c r="G1949" s="79">
        <v>270.39</v>
      </c>
    </row>
    <row r="1950">
      <c r="A1950" s="6">
        <v>381.0</v>
      </c>
      <c r="B1950" s="76" t="str">
        <f>IFERROR(VLOOKUP($A1950,EVENTO!$A$2:$C$4999,2,FALSE),"")</f>
        <v>ADITIVO DE PRAZO</v>
      </c>
      <c r="C1950" s="76" t="str">
        <f>IFERROR(VLOOKUP($A1950,EVENTO!$A$2:$C$4999,3,FALSE),"")</f>
        <v>PREFEITURA MUNICIPAL DE ARACATI - SAÚDE</v>
      </c>
      <c r="D1950" s="78" t="s">
        <v>1456</v>
      </c>
      <c r="E1950" s="6" t="s">
        <v>1548</v>
      </c>
      <c r="F1950" s="78">
        <v>7.0</v>
      </c>
      <c r="G1950" s="79">
        <v>387.36</v>
      </c>
    </row>
    <row r="1951">
      <c r="A1951" s="6">
        <v>381.0</v>
      </c>
      <c r="B1951" s="76" t="str">
        <f>IFERROR(VLOOKUP($A1951,EVENTO!$A$2:$C$4999,2,FALSE),"")</f>
        <v>ADITIVO DE PRAZO</v>
      </c>
      <c r="C1951" s="76" t="str">
        <f>IFERROR(VLOOKUP($A1951,EVENTO!$A$2:$C$4999,3,FALSE),"")</f>
        <v>PREFEITURA MUNICIPAL DE ARACATI - SAÚDE</v>
      </c>
      <c r="D1951" s="78" t="s">
        <v>1549</v>
      </c>
      <c r="E1951" s="6" t="s">
        <v>1550</v>
      </c>
      <c r="F1951" s="78">
        <v>281.0</v>
      </c>
      <c r="G1951" s="79">
        <v>221.78</v>
      </c>
    </row>
    <row r="1952">
      <c r="A1952" s="6">
        <v>381.0</v>
      </c>
      <c r="B1952" s="76" t="str">
        <f>IFERROR(VLOOKUP($A1952,EVENTO!$A$2:$C$4999,2,FALSE),"")</f>
        <v>ADITIVO DE PRAZO</v>
      </c>
      <c r="C1952" s="76" t="str">
        <f>IFERROR(VLOOKUP($A1952,EVENTO!$A$2:$C$4999,3,FALSE),"")</f>
        <v>PREFEITURA MUNICIPAL DE ARACATI - SAÚDE</v>
      </c>
      <c r="D1952" s="78" t="s">
        <v>1553</v>
      </c>
      <c r="F1952" s="78">
        <v>69.0</v>
      </c>
      <c r="G1952" s="79">
        <v>286.34</v>
      </c>
    </row>
    <row r="1953">
      <c r="A1953" s="6">
        <v>381.0</v>
      </c>
      <c r="B1953" s="76" t="str">
        <f>IFERROR(VLOOKUP($A1953,EVENTO!$A$2:$C$4999,2,FALSE),"")</f>
        <v>ADITIVO DE PRAZO</v>
      </c>
      <c r="C1953" s="76" t="str">
        <f>IFERROR(VLOOKUP($A1953,EVENTO!$A$2:$C$4999,3,FALSE),"")</f>
        <v>PREFEITURA MUNICIPAL DE ARACATI - SAÚDE</v>
      </c>
      <c r="D1953" s="78" t="s">
        <v>1487</v>
      </c>
      <c r="F1953" s="78">
        <v>42.0</v>
      </c>
      <c r="G1953" s="79">
        <v>234.7</v>
      </c>
    </row>
    <row r="1954">
      <c r="A1954" s="6">
        <v>381.0</v>
      </c>
      <c r="B1954" s="76" t="str">
        <f>IFERROR(VLOOKUP($A1954,EVENTO!$A$2:$C$4999,2,FALSE),"")</f>
        <v>ADITIVO DE PRAZO</v>
      </c>
      <c r="C1954" s="76" t="str">
        <f>IFERROR(VLOOKUP($A1954,EVENTO!$A$2:$C$4999,3,FALSE),"")</f>
        <v>PREFEITURA MUNICIPAL DE ARACATI - SAÚDE</v>
      </c>
      <c r="D1954" s="85" t="s">
        <v>1556</v>
      </c>
      <c r="E1954" s="86"/>
      <c r="F1954" s="78">
        <v>33.0</v>
      </c>
      <c r="G1954" s="79">
        <v>148.11</v>
      </c>
    </row>
    <row r="1955">
      <c r="A1955" s="6">
        <v>381.0</v>
      </c>
      <c r="B1955" s="76" t="str">
        <f>IFERROR(VLOOKUP($A1955,EVENTO!$A$2:$C$4999,2,FALSE),"")</f>
        <v>ADITIVO DE PRAZO</v>
      </c>
      <c r="C1955" s="76" t="str">
        <f>IFERROR(VLOOKUP($A1955,EVENTO!$A$2:$C$4999,3,FALSE),"")</f>
        <v>PREFEITURA MUNICIPAL DE ARACATI - SAÚDE</v>
      </c>
      <c r="D1955" s="81" t="s">
        <v>1728</v>
      </c>
      <c r="F1955" s="78">
        <v>1.0</v>
      </c>
      <c r="G1955" s="79">
        <v>1239.56</v>
      </c>
    </row>
    <row r="1956">
      <c r="A1956" s="6">
        <v>381.0</v>
      </c>
      <c r="B1956" s="76" t="str">
        <f>IFERROR(VLOOKUP($A1956,EVENTO!$A$2:$C$4999,2,FALSE),"")</f>
        <v>ADITIVO DE PRAZO</v>
      </c>
      <c r="C1956" s="76" t="str">
        <f>IFERROR(VLOOKUP($A1956,EVENTO!$A$2:$C$4999,3,FALSE),"")</f>
        <v>PREFEITURA MUNICIPAL DE ARACATI - SAÚDE</v>
      </c>
      <c r="D1956" s="78" t="s">
        <v>1729</v>
      </c>
      <c r="F1956" s="78">
        <v>6.0</v>
      </c>
      <c r="G1956" s="79">
        <v>80.51</v>
      </c>
    </row>
    <row r="1957">
      <c r="A1957" s="6">
        <v>381.0</v>
      </c>
      <c r="B1957" s="76" t="str">
        <f>IFERROR(VLOOKUP($A1957,EVENTO!$A$2:$C$4999,2,FALSE),"")</f>
        <v>ADITIVO DE PRAZO</v>
      </c>
      <c r="C1957" s="76" t="str">
        <f>IFERROR(VLOOKUP($A1957,EVENTO!$A$2:$C$4999,3,FALSE),"")</f>
        <v>PREFEITURA MUNICIPAL DE ARACATI - SAÚDE</v>
      </c>
      <c r="D1957" s="78" t="s">
        <v>1650</v>
      </c>
      <c r="F1957" s="78">
        <v>1.0</v>
      </c>
      <c r="G1957" s="79">
        <v>201.73</v>
      </c>
    </row>
    <row r="1958">
      <c r="A1958" s="6">
        <v>381.0</v>
      </c>
      <c r="B1958" s="76" t="str">
        <f>IFERROR(VLOOKUP($A1958,EVENTO!$A$2:$C$4999,2,FALSE),"")</f>
        <v>ADITIVO DE PRAZO</v>
      </c>
      <c r="C1958" s="76" t="str">
        <f>IFERROR(VLOOKUP($A1958,EVENTO!$A$2:$C$4999,3,FALSE),"")</f>
        <v>PREFEITURA MUNICIPAL DE ARACATI - SAÚDE</v>
      </c>
      <c r="D1958" s="78" t="s">
        <v>1730</v>
      </c>
      <c r="F1958" s="78">
        <v>1.0</v>
      </c>
      <c r="G1958" s="79">
        <v>1325.36</v>
      </c>
    </row>
    <row r="1959">
      <c r="A1959" s="6">
        <v>381.0</v>
      </c>
      <c r="B1959" s="76" t="str">
        <f>IFERROR(VLOOKUP($A1959,EVENTO!$A$2:$C$4999,2,FALSE),"")</f>
        <v>ADITIVO DE PRAZO</v>
      </c>
      <c r="C1959" s="76" t="str">
        <f>IFERROR(VLOOKUP($A1959,EVENTO!$A$2:$C$4999,3,FALSE),"")</f>
        <v>PREFEITURA MUNICIPAL DE ARACATI - SAÚDE</v>
      </c>
      <c r="D1959" s="78" t="s">
        <v>1639</v>
      </c>
      <c r="F1959" s="78">
        <v>2.0</v>
      </c>
      <c r="G1959" s="79">
        <v>181.17</v>
      </c>
    </row>
    <row r="1960">
      <c r="A1960" s="6">
        <v>381.0</v>
      </c>
      <c r="B1960" s="76" t="str">
        <f>IFERROR(VLOOKUP($A1960,EVENTO!$A$2:$C$4999,2,FALSE),"")</f>
        <v>ADITIVO DE PRAZO</v>
      </c>
      <c r="C1960" s="76" t="str">
        <f>IFERROR(VLOOKUP($A1960,EVENTO!$A$2:$C$4999,3,FALSE),"")</f>
        <v>PREFEITURA MUNICIPAL DE ARACATI - SAÚDE</v>
      </c>
      <c r="D1960" s="100" t="s">
        <v>1580</v>
      </c>
      <c r="E1960" s="4"/>
      <c r="F1960" s="78">
        <v>8.0</v>
      </c>
      <c r="G1960" s="92">
        <v>193.47</v>
      </c>
    </row>
    <row r="1961">
      <c r="A1961" s="6">
        <v>381.0</v>
      </c>
      <c r="B1961" s="76" t="str">
        <f>IFERROR(VLOOKUP($A1961,EVENTO!$A$2:$C$4999,2,FALSE),"")</f>
        <v>ADITIVO DE PRAZO</v>
      </c>
      <c r="C1961" s="76" t="str">
        <f>IFERROR(VLOOKUP($A1961,EVENTO!$A$2:$C$4999,3,FALSE),"")</f>
        <v>PREFEITURA MUNICIPAL DE ARACATI - SAÚDE</v>
      </c>
      <c r="D1961" s="100" t="s">
        <v>1557</v>
      </c>
      <c r="E1961" s="4"/>
      <c r="F1961" s="78">
        <v>12.0</v>
      </c>
      <c r="G1961" s="92">
        <v>91.18</v>
      </c>
    </row>
    <row r="1962">
      <c r="A1962" s="6">
        <v>381.0</v>
      </c>
      <c r="B1962" s="76" t="str">
        <f>IFERROR(VLOOKUP($A1962,EVENTO!$A$2:$C$4999,2,FALSE),"")</f>
        <v>ADITIVO DE PRAZO</v>
      </c>
      <c r="C1962" s="76" t="str">
        <f>IFERROR(VLOOKUP($A1962,EVENTO!$A$2:$C$4999,3,FALSE),"")</f>
        <v>PREFEITURA MUNICIPAL DE ARACATI - SAÚDE</v>
      </c>
      <c r="D1962" s="78" t="s">
        <v>1540</v>
      </c>
      <c r="F1962" s="78">
        <v>8.0</v>
      </c>
      <c r="G1962" s="90">
        <v>63.8</v>
      </c>
    </row>
    <row r="1963">
      <c r="A1963" s="6">
        <v>381.0</v>
      </c>
      <c r="B1963" s="76" t="str">
        <f>IFERROR(VLOOKUP($A1963,EVENTO!$A$2:$C$4999,2,FALSE),"")</f>
        <v>ADITIVO DE PRAZO</v>
      </c>
      <c r="C1963" s="76" t="str">
        <f>IFERROR(VLOOKUP($A1963,EVENTO!$A$2:$C$4999,3,FALSE),"")</f>
        <v>PREFEITURA MUNICIPAL DE ARACATI - SAÚDE</v>
      </c>
      <c r="D1963" s="78" t="s">
        <v>1559</v>
      </c>
      <c r="F1963" s="78">
        <v>10.0</v>
      </c>
      <c r="G1963" s="79">
        <v>105.09</v>
      </c>
    </row>
    <row r="1964">
      <c r="A1964" s="6">
        <v>382.0</v>
      </c>
      <c r="B1964" s="76" t="str">
        <f>IFERROR(VLOOKUP($A1964,EVENTO!$A$2:$C$4999,2,FALSE),"")</f>
        <v>ADITIVO DE PRAZO</v>
      </c>
      <c r="C1964" s="76" t="str">
        <f>IFERROR(VLOOKUP($A1964,EVENTO!$A$2:$C$4999,3,FALSE),"")</f>
        <v>PREFEITURA MUNICIPAL DE ARACATI - SAÚDE</v>
      </c>
      <c r="D1964" s="78" t="s">
        <v>1544</v>
      </c>
      <c r="E1964" s="6" t="s">
        <v>1545</v>
      </c>
      <c r="F1964" s="78">
        <v>5.0</v>
      </c>
      <c r="G1964" s="79">
        <v>534.71</v>
      </c>
    </row>
    <row r="1965">
      <c r="A1965" s="6">
        <v>382.0</v>
      </c>
      <c r="B1965" s="76" t="str">
        <f>IFERROR(VLOOKUP($A1965,EVENTO!$A$2:$C$4999,2,FALSE),"")</f>
        <v>ADITIVO DE PRAZO</v>
      </c>
      <c r="C1965" s="76" t="str">
        <f>IFERROR(VLOOKUP($A1965,EVENTO!$A$2:$C$4999,3,FALSE),"")</f>
        <v>PREFEITURA MUNICIPAL DE ARACATI - SAÚDE</v>
      </c>
      <c r="D1965" s="78" t="s">
        <v>1458</v>
      </c>
      <c r="E1965" s="6" t="s">
        <v>1535</v>
      </c>
      <c r="F1965" s="78">
        <v>7.0</v>
      </c>
      <c r="G1965" s="79">
        <v>344.75</v>
      </c>
    </row>
    <row r="1966">
      <c r="A1966" s="6">
        <v>382.0</v>
      </c>
      <c r="B1966" s="76" t="str">
        <f>IFERROR(VLOOKUP($A1966,EVENTO!$A$2:$C$4999,2,FALSE),"")</f>
        <v>ADITIVO DE PRAZO</v>
      </c>
      <c r="C1966" s="76" t="str">
        <f>IFERROR(VLOOKUP($A1966,EVENTO!$A$2:$C$4999,3,FALSE),"")</f>
        <v>PREFEITURA MUNICIPAL DE ARACATI - SAÚDE</v>
      </c>
      <c r="D1966" s="78" t="s">
        <v>1546</v>
      </c>
      <c r="E1966" s="6" t="s">
        <v>1547</v>
      </c>
      <c r="F1966" s="78">
        <v>15.0</v>
      </c>
      <c r="G1966" s="79">
        <v>270.39</v>
      </c>
    </row>
    <row r="1967">
      <c r="A1967" s="6">
        <v>382.0</v>
      </c>
      <c r="B1967" s="76" t="str">
        <f>IFERROR(VLOOKUP($A1967,EVENTO!$A$2:$C$4999,2,FALSE),"")</f>
        <v>ADITIVO DE PRAZO</v>
      </c>
      <c r="C1967" s="76" t="str">
        <f>IFERROR(VLOOKUP($A1967,EVENTO!$A$2:$C$4999,3,FALSE),"")</f>
        <v>PREFEITURA MUNICIPAL DE ARACATI - SAÚDE</v>
      </c>
      <c r="D1967" s="78" t="s">
        <v>1456</v>
      </c>
      <c r="E1967" s="6" t="s">
        <v>1548</v>
      </c>
      <c r="F1967" s="78">
        <v>7.0</v>
      </c>
      <c r="G1967" s="79">
        <v>387.36</v>
      </c>
    </row>
    <row r="1968">
      <c r="A1968" s="6">
        <v>382.0</v>
      </c>
      <c r="B1968" s="76" t="str">
        <f>IFERROR(VLOOKUP($A1968,EVENTO!$A$2:$C$4999,2,FALSE),"")</f>
        <v>ADITIVO DE PRAZO</v>
      </c>
      <c r="C1968" s="76" t="str">
        <f>IFERROR(VLOOKUP($A1968,EVENTO!$A$2:$C$4999,3,FALSE),"")</f>
        <v>PREFEITURA MUNICIPAL DE ARACATI - SAÚDE</v>
      </c>
      <c r="D1968" s="78" t="s">
        <v>1549</v>
      </c>
      <c r="E1968" s="6" t="s">
        <v>1550</v>
      </c>
      <c r="F1968" s="78">
        <v>281.0</v>
      </c>
      <c r="G1968" s="79">
        <v>221.78</v>
      </c>
    </row>
    <row r="1969">
      <c r="A1969" s="6">
        <v>382.0</v>
      </c>
      <c r="B1969" s="76" t="str">
        <f>IFERROR(VLOOKUP($A1969,EVENTO!$A$2:$C$4999,2,FALSE),"")</f>
        <v>ADITIVO DE PRAZO</v>
      </c>
      <c r="C1969" s="76" t="str">
        <f>IFERROR(VLOOKUP($A1969,EVENTO!$A$2:$C$4999,3,FALSE),"")</f>
        <v>PREFEITURA MUNICIPAL DE ARACATI - SAÚDE</v>
      </c>
      <c r="D1969" s="78" t="s">
        <v>1553</v>
      </c>
      <c r="F1969" s="78">
        <v>69.0</v>
      </c>
      <c r="G1969" s="79">
        <v>286.34</v>
      </c>
    </row>
    <row r="1970">
      <c r="A1970" s="6">
        <v>382.0</v>
      </c>
      <c r="B1970" s="76" t="str">
        <f>IFERROR(VLOOKUP($A1970,EVENTO!$A$2:$C$4999,2,FALSE),"")</f>
        <v>ADITIVO DE PRAZO</v>
      </c>
      <c r="C1970" s="76" t="str">
        <f>IFERROR(VLOOKUP($A1970,EVENTO!$A$2:$C$4999,3,FALSE),"")</f>
        <v>PREFEITURA MUNICIPAL DE ARACATI - SAÚDE</v>
      </c>
      <c r="D1970" s="78" t="s">
        <v>1487</v>
      </c>
      <c r="F1970" s="78">
        <v>42.0</v>
      </c>
      <c r="G1970" s="79">
        <v>234.7</v>
      </c>
    </row>
    <row r="1971">
      <c r="A1971" s="6">
        <v>382.0</v>
      </c>
      <c r="B1971" s="76" t="str">
        <f>IFERROR(VLOOKUP($A1971,EVENTO!$A$2:$C$4999,2,FALSE),"")</f>
        <v>ADITIVO DE PRAZO</v>
      </c>
      <c r="C1971" s="76" t="str">
        <f>IFERROR(VLOOKUP($A1971,EVENTO!$A$2:$C$4999,3,FALSE),"")</f>
        <v>PREFEITURA MUNICIPAL DE ARACATI - SAÚDE</v>
      </c>
      <c r="D1971" s="85" t="s">
        <v>1556</v>
      </c>
      <c r="E1971" s="86"/>
      <c r="F1971" s="78">
        <v>33.0</v>
      </c>
      <c r="G1971" s="79">
        <v>148.11</v>
      </c>
    </row>
    <row r="1972">
      <c r="A1972" s="6">
        <v>382.0</v>
      </c>
      <c r="B1972" s="76" t="str">
        <f>IFERROR(VLOOKUP($A1972,EVENTO!$A$2:$C$4999,2,FALSE),"")</f>
        <v>ADITIVO DE PRAZO</v>
      </c>
      <c r="C1972" s="76" t="str">
        <f>IFERROR(VLOOKUP($A1972,EVENTO!$A$2:$C$4999,3,FALSE),"")</f>
        <v>PREFEITURA MUNICIPAL DE ARACATI - SAÚDE</v>
      </c>
      <c r="D1972" s="81" t="s">
        <v>1728</v>
      </c>
      <c r="F1972" s="78">
        <v>1.0</v>
      </c>
      <c r="G1972" s="79">
        <v>1239.56</v>
      </c>
    </row>
    <row r="1973">
      <c r="A1973" s="6">
        <v>382.0</v>
      </c>
      <c r="B1973" s="76" t="str">
        <f>IFERROR(VLOOKUP($A1973,EVENTO!$A$2:$C$4999,2,FALSE),"")</f>
        <v>ADITIVO DE PRAZO</v>
      </c>
      <c r="C1973" s="76" t="str">
        <f>IFERROR(VLOOKUP($A1973,EVENTO!$A$2:$C$4999,3,FALSE),"")</f>
        <v>PREFEITURA MUNICIPAL DE ARACATI - SAÚDE</v>
      </c>
      <c r="D1973" s="78" t="s">
        <v>1729</v>
      </c>
      <c r="F1973" s="78">
        <v>6.0</v>
      </c>
      <c r="G1973" s="79">
        <v>80.51</v>
      </c>
    </row>
    <row r="1974">
      <c r="A1974" s="6">
        <v>382.0</v>
      </c>
      <c r="B1974" s="76" t="str">
        <f>IFERROR(VLOOKUP($A1974,EVENTO!$A$2:$C$4999,2,FALSE),"")</f>
        <v>ADITIVO DE PRAZO</v>
      </c>
      <c r="C1974" s="76" t="str">
        <f>IFERROR(VLOOKUP($A1974,EVENTO!$A$2:$C$4999,3,FALSE),"")</f>
        <v>PREFEITURA MUNICIPAL DE ARACATI - SAÚDE</v>
      </c>
      <c r="D1974" s="78" t="s">
        <v>1650</v>
      </c>
      <c r="F1974" s="78">
        <v>1.0</v>
      </c>
      <c r="G1974" s="79">
        <v>201.73</v>
      </c>
    </row>
    <row r="1975">
      <c r="A1975" s="6">
        <v>382.0</v>
      </c>
      <c r="B1975" s="76" t="str">
        <f>IFERROR(VLOOKUP($A1975,EVENTO!$A$2:$C$4999,2,FALSE),"")</f>
        <v>ADITIVO DE PRAZO</v>
      </c>
      <c r="C1975" s="76" t="str">
        <f>IFERROR(VLOOKUP($A1975,EVENTO!$A$2:$C$4999,3,FALSE),"")</f>
        <v>PREFEITURA MUNICIPAL DE ARACATI - SAÚDE</v>
      </c>
      <c r="D1975" s="78" t="s">
        <v>1639</v>
      </c>
      <c r="F1975" s="78">
        <v>2.0</v>
      </c>
      <c r="G1975" s="79">
        <v>181.17</v>
      </c>
    </row>
    <row r="1976">
      <c r="A1976" s="6">
        <v>382.0</v>
      </c>
      <c r="B1976" s="76" t="str">
        <f>IFERROR(VLOOKUP($A1976,EVENTO!$A$2:$C$4999,2,FALSE),"")</f>
        <v>ADITIVO DE PRAZO</v>
      </c>
      <c r="C1976" s="76" t="str">
        <f>IFERROR(VLOOKUP($A1976,EVENTO!$A$2:$C$4999,3,FALSE),"")</f>
        <v>PREFEITURA MUNICIPAL DE ARACATI - SAÚDE</v>
      </c>
      <c r="D1976" s="100" t="s">
        <v>1580</v>
      </c>
      <c r="E1976" s="4"/>
      <c r="F1976" s="78">
        <v>8.0</v>
      </c>
      <c r="G1976" s="92">
        <v>193.47</v>
      </c>
    </row>
    <row r="1977">
      <c r="A1977" s="6">
        <v>382.0</v>
      </c>
      <c r="B1977" s="76" t="str">
        <f>IFERROR(VLOOKUP($A1977,EVENTO!$A$2:$C$4999,2,FALSE),"")</f>
        <v>ADITIVO DE PRAZO</v>
      </c>
      <c r="C1977" s="76" t="str">
        <f>IFERROR(VLOOKUP($A1977,EVENTO!$A$2:$C$4999,3,FALSE),"")</f>
        <v>PREFEITURA MUNICIPAL DE ARACATI - SAÚDE</v>
      </c>
      <c r="D1977" s="100" t="s">
        <v>1557</v>
      </c>
      <c r="E1977" s="4"/>
      <c r="F1977" s="78">
        <v>12.0</v>
      </c>
      <c r="G1977" s="92">
        <v>91.18</v>
      </c>
    </row>
    <row r="1978">
      <c r="A1978" s="6">
        <v>382.0</v>
      </c>
      <c r="B1978" s="76" t="str">
        <f>IFERROR(VLOOKUP($A1978,EVENTO!$A$2:$C$4999,2,FALSE),"")</f>
        <v>ADITIVO DE PRAZO</v>
      </c>
      <c r="C1978" s="76" t="str">
        <f>IFERROR(VLOOKUP($A1978,EVENTO!$A$2:$C$4999,3,FALSE),"")</f>
        <v>PREFEITURA MUNICIPAL DE ARACATI - SAÚDE</v>
      </c>
      <c r="D1978" s="78" t="s">
        <v>1540</v>
      </c>
      <c r="F1978" s="78">
        <v>8.0</v>
      </c>
      <c r="G1978" s="90">
        <v>63.8</v>
      </c>
    </row>
    <row r="1979">
      <c r="A1979" s="6">
        <v>382.0</v>
      </c>
      <c r="B1979" s="76" t="str">
        <f>IFERROR(VLOOKUP($A1979,EVENTO!$A$2:$C$4999,2,FALSE),"")</f>
        <v>ADITIVO DE PRAZO</v>
      </c>
      <c r="C1979" s="76" t="str">
        <f>IFERROR(VLOOKUP($A1979,EVENTO!$A$2:$C$4999,3,FALSE),"")</f>
        <v>PREFEITURA MUNICIPAL DE ARACATI - SAÚDE</v>
      </c>
      <c r="D1979" s="78" t="s">
        <v>1559</v>
      </c>
      <c r="F1979" s="78">
        <v>10.0</v>
      </c>
      <c r="G1979" s="79">
        <v>105.09</v>
      </c>
    </row>
    <row r="1980">
      <c r="A1980" s="6">
        <v>383.0</v>
      </c>
      <c r="B1980" s="76" t="str">
        <f>IFERROR(VLOOKUP($A1980,EVENTO!$A$2:$C$4999,2,FALSE),"")</f>
        <v>CADASTRO</v>
      </c>
      <c r="C1980" s="76" t="str">
        <f>IFERROR(VLOOKUP($A1980,EVENTO!$A$2:$C$4999,3,FALSE),"")</f>
        <v>PREFEITURA MUNICIPAL DE ARACATI - SEINFRA</v>
      </c>
      <c r="D1980" s="78" t="s">
        <v>1544</v>
      </c>
      <c r="E1980" s="6" t="s">
        <v>1545</v>
      </c>
      <c r="F1980" s="78">
        <v>4.0</v>
      </c>
      <c r="G1980" s="79">
        <v>534.71</v>
      </c>
    </row>
    <row r="1981">
      <c r="A1981" s="6">
        <v>383.0</v>
      </c>
      <c r="B1981" s="76" t="str">
        <f>IFERROR(VLOOKUP($A1981,EVENTO!$A$2:$C$4999,2,FALSE),"")</f>
        <v>CADASTRO</v>
      </c>
      <c r="C1981" s="76" t="str">
        <f>IFERROR(VLOOKUP($A1981,EVENTO!$A$2:$C$4999,3,FALSE),"")</f>
        <v>PREFEITURA MUNICIPAL DE ARACATI - SEINFRA</v>
      </c>
      <c r="D1981" s="78" t="s">
        <v>1458</v>
      </c>
      <c r="E1981" s="6" t="s">
        <v>1535</v>
      </c>
      <c r="F1981" s="78">
        <v>1.0</v>
      </c>
      <c r="G1981" s="79">
        <v>344.75</v>
      </c>
    </row>
    <row r="1982">
      <c r="A1982" s="6">
        <v>383.0</v>
      </c>
      <c r="B1982" s="76" t="str">
        <f>IFERROR(VLOOKUP($A1982,EVENTO!$A$2:$C$4999,2,FALSE),"")</f>
        <v>CADASTRO</v>
      </c>
      <c r="C1982" s="76" t="str">
        <f>IFERROR(VLOOKUP($A1982,EVENTO!$A$2:$C$4999,3,FALSE),"")</f>
        <v>PREFEITURA MUNICIPAL DE ARACATI - SEINFRA</v>
      </c>
      <c r="D1982" s="78" t="s">
        <v>1456</v>
      </c>
      <c r="E1982" s="6" t="s">
        <v>1548</v>
      </c>
      <c r="F1982" s="78">
        <v>10.0</v>
      </c>
      <c r="G1982" s="79">
        <v>387.36</v>
      </c>
    </row>
    <row r="1983">
      <c r="A1983" s="6">
        <v>383.0</v>
      </c>
      <c r="B1983" s="76" t="str">
        <f>IFERROR(VLOOKUP($A1983,EVENTO!$A$2:$C$4999,2,FALSE),"")</f>
        <v>CADASTRO</v>
      </c>
      <c r="C1983" s="76" t="str">
        <f>IFERROR(VLOOKUP($A1983,EVENTO!$A$2:$C$4999,3,FALSE),"")</f>
        <v>PREFEITURA MUNICIPAL DE ARACATI - SEINFRA</v>
      </c>
      <c r="D1983" s="78" t="s">
        <v>1549</v>
      </c>
      <c r="E1983" s="6" t="s">
        <v>1550</v>
      </c>
      <c r="F1983" s="78">
        <v>5.0</v>
      </c>
      <c r="G1983" s="79">
        <v>221.78</v>
      </c>
    </row>
    <row r="1984">
      <c r="A1984" s="6">
        <v>383.0</v>
      </c>
      <c r="B1984" s="76" t="str">
        <f>IFERROR(VLOOKUP($A1984,EVENTO!$A$2:$C$4999,2,FALSE),"")</f>
        <v>CADASTRO</v>
      </c>
      <c r="C1984" s="76" t="str">
        <f>IFERROR(VLOOKUP($A1984,EVENTO!$A$2:$C$4999,3,FALSE),"")</f>
        <v>PREFEITURA MUNICIPAL DE ARACATI - SEINFRA</v>
      </c>
      <c r="D1984" s="78" t="s">
        <v>1553</v>
      </c>
      <c r="F1984" s="78">
        <v>3.0</v>
      </c>
      <c r="G1984" s="79">
        <v>286.34</v>
      </c>
    </row>
    <row r="1985">
      <c r="A1985" s="6">
        <v>383.0</v>
      </c>
      <c r="B1985" s="76" t="str">
        <f>IFERROR(VLOOKUP($A1985,EVENTO!$A$2:$C$4999,2,FALSE),"")</f>
        <v>CADASTRO</v>
      </c>
      <c r="C1985" s="76" t="str">
        <f>IFERROR(VLOOKUP($A1985,EVENTO!$A$2:$C$4999,3,FALSE),"")</f>
        <v>PREFEITURA MUNICIPAL DE ARACATI - SEINFRA</v>
      </c>
      <c r="D1985" s="78" t="s">
        <v>1487</v>
      </c>
      <c r="F1985" s="78">
        <v>1.0</v>
      </c>
      <c r="G1985" s="79">
        <v>234.7</v>
      </c>
    </row>
    <row r="1986">
      <c r="A1986" s="6">
        <v>383.0</v>
      </c>
      <c r="B1986" s="76" t="str">
        <f>IFERROR(VLOOKUP($A1986,EVENTO!$A$2:$C$4999,2,FALSE),"")</f>
        <v>CADASTRO</v>
      </c>
      <c r="C1986" s="76" t="str">
        <f>IFERROR(VLOOKUP($A1986,EVENTO!$A$2:$C$4999,3,FALSE),"")</f>
        <v>PREFEITURA MUNICIPAL DE ARACATI - SEINFRA</v>
      </c>
      <c r="D1986" s="85" t="s">
        <v>1556</v>
      </c>
      <c r="E1986" s="86"/>
      <c r="F1986" s="78">
        <v>3.0</v>
      </c>
      <c r="G1986" s="79">
        <v>148.11</v>
      </c>
    </row>
    <row r="1987">
      <c r="A1987" s="6">
        <v>383.0</v>
      </c>
      <c r="B1987" s="76" t="str">
        <f>IFERROR(VLOOKUP($A1987,EVENTO!$A$2:$C$4999,2,FALSE),"")</f>
        <v>CADASTRO</v>
      </c>
      <c r="C1987" s="76" t="str">
        <f>IFERROR(VLOOKUP($A1987,EVENTO!$A$2:$C$4999,3,FALSE),"")</f>
        <v>PREFEITURA MUNICIPAL DE ARACATI - SEINFRA</v>
      </c>
      <c r="D1987" s="81" t="s">
        <v>1728</v>
      </c>
      <c r="F1987" s="78">
        <v>1.0</v>
      </c>
      <c r="G1987" s="79">
        <v>1239.56</v>
      </c>
    </row>
    <row r="1988">
      <c r="A1988" s="6">
        <v>383.0</v>
      </c>
      <c r="B1988" s="76" t="str">
        <f>IFERROR(VLOOKUP($A1988,EVENTO!$A$2:$C$4999,2,FALSE),"")</f>
        <v>CADASTRO</v>
      </c>
      <c r="C1988" s="76" t="str">
        <f>IFERROR(VLOOKUP($A1988,EVENTO!$A$2:$C$4999,3,FALSE),"")</f>
        <v>PREFEITURA MUNICIPAL DE ARACATI - SEINFRA</v>
      </c>
      <c r="D1988" s="100" t="s">
        <v>1580</v>
      </c>
      <c r="E1988" s="4"/>
      <c r="F1988" s="78">
        <v>1.0</v>
      </c>
      <c r="G1988" s="92">
        <v>193.47</v>
      </c>
    </row>
    <row r="1989">
      <c r="A1989" s="6">
        <v>383.0</v>
      </c>
      <c r="B1989" s="76" t="str">
        <f>IFERROR(VLOOKUP($A1989,EVENTO!$A$2:$C$4999,2,FALSE),"")</f>
        <v>CADASTRO</v>
      </c>
      <c r="C1989" s="76" t="str">
        <f>IFERROR(VLOOKUP($A1989,EVENTO!$A$2:$C$4999,3,FALSE),"")</f>
        <v>PREFEITURA MUNICIPAL DE ARACATI - SEINFRA</v>
      </c>
      <c r="D1989" s="100" t="s">
        <v>1560</v>
      </c>
      <c r="E1989" s="4"/>
      <c r="F1989" s="78">
        <v>3.0</v>
      </c>
      <c r="G1989" s="92">
        <v>50.3</v>
      </c>
    </row>
    <row r="1990">
      <c r="A1990" s="6">
        <v>383.0</v>
      </c>
      <c r="B1990" s="76" t="str">
        <f>IFERROR(VLOOKUP($A1990,EVENTO!$A$2:$C$4999,2,FALSE),"")</f>
        <v>CADASTRO</v>
      </c>
      <c r="C1990" s="76" t="str">
        <f>IFERROR(VLOOKUP($A1990,EVENTO!$A$2:$C$4999,3,FALSE),"")</f>
        <v>PREFEITURA MUNICIPAL DE ARACATI - SEINFRA</v>
      </c>
      <c r="D1990" s="100" t="s">
        <v>1575</v>
      </c>
      <c r="E1990" s="4"/>
      <c r="F1990" s="78">
        <v>2.0</v>
      </c>
      <c r="G1990" s="92">
        <v>13.42</v>
      </c>
    </row>
    <row r="1991">
      <c r="A1991" s="6">
        <v>383.0</v>
      </c>
      <c r="B1991" s="76" t="str">
        <f>IFERROR(VLOOKUP($A1991,EVENTO!$A$2:$C$4999,2,FALSE),"")</f>
        <v>CADASTRO</v>
      </c>
      <c r="C1991" s="76" t="str">
        <f>IFERROR(VLOOKUP($A1991,EVENTO!$A$2:$C$4999,3,FALSE),"")</f>
        <v>PREFEITURA MUNICIPAL DE ARACATI - SEINFRA</v>
      </c>
      <c r="D1991" s="100" t="s">
        <v>1557</v>
      </c>
      <c r="E1991" s="4"/>
      <c r="F1991" s="78">
        <v>3.0</v>
      </c>
      <c r="G1991" s="92">
        <v>91.18</v>
      </c>
    </row>
    <row r="1992">
      <c r="A1992" s="6">
        <v>384.0</v>
      </c>
      <c r="B1992" s="76" t="str">
        <f>IFERROR(VLOOKUP($A1992,EVENTO!$A$2:$C$4999,2,FALSE),"")</f>
        <v>ADITIVO DE PRAZO</v>
      </c>
      <c r="C1992" s="76" t="str">
        <f>IFERROR(VLOOKUP($A1992,EVENTO!$A$2:$C$4999,3,FALSE),"")</f>
        <v>PREFEITURA MUNICIPAL DE ARACATI - SEINFRA</v>
      </c>
      <c r="D1992" s="78" t="s">
        <v>1544</v>
      </c>
      <c r="E1992" s="6" t="s">
        <v>1545</v>
      </c>
      <c r="F1992" s="78">
        <v>4.0</v>
      </c>
      <c r="G1992" s="79">
        <v>534.71</v>
      </c>
    </row>
    <row r="1993">
      <c r="A1993" s="6">
        <v>384.0</v>
      </c>
      <c r="B1993" s="76" t="str">
        <f>IFERROR(VLOOKUP($A1993,EVENTO!$A$2:$C$4999,2,FALSE),"")</f>
        <v>ADITIVO DE PRAZO</v>
      </c>
      <c r="C1993" s="76" t="str">
        <f>IFERROR(VLOOKUP($A1993,EVENTO!$A$2:$C$4999,3,FALSE),"")</f>
        <v>PREFEITURA MUNICIPAL DE ARACATI - SEINFRA</v>
      </c>
      <c r="D1993" s="78" t="s">
        <v>1458</v>
      </c>
      <c r="E1993" s="6" t="s">
        <v>1535</v>
      </c>
      <c r="F1993" s="78">
        <v>1.0</v>
      </c>
      <c r="G1993" s="79">
        <v>344.75</v>
      </c>
    </row>
    <row r="1994">
      <c r="A1994" s="6">
        <v>384.0</v>
      </c>
      <c r="B1994" s="76" t="str">
        <f>IFERROR(VLOOKUP($A1994,EVENTO!$A$2:$C$4999,2,FALSE),"")</f>
        <v>ADITIVO DE PRAZO</v>
      </c>
      <c r="C1994" s="76" t="str">
        <f>IFERROR(VLOOKUP($A1994,EVENTO!$A$2:$C$4999,3,FALSE),"")</f>
        <v>PREFEITURA MUNICIPAL DE ARACATI - SEINFRA</v>
      </c>
      <c r="D1994" s="78" t="s">
        <v>1456</v>
      </c>
      <c r="E1994" s="6" t="s">
        <v>1548</v>
      </c>
      <c r="F1994" s="78">
        <v>10.0</v>
      </c>
      <c r="G1994" s="79">
        <v>387.36</v>
      </c>
    </row>
    <row r="1995">
      <c r="A1995" s="6">
        <v>384.0</v>
      </c>
      <c r="B1995" s="76" t="str">
        <f>IFERROR(VLOOKUP($A1995,EVENTO!$A$2:$C$4999,2,FALSE),"")</f>
        <v>ADITIVO DE PRAZO</v>
      </c>
      <c r="C1995" s="76" t="str">
        <f>IFERROR(VLOOKUP($A1995,EVENTO!$A$2:$C$4999,3,FALSE),"")</f>
        <v>PREFEITURA MUNICIPAL DE ARACATI - SEINFRA</v>
      </c>
      <c r="D1995" s="78" t="s">
        <v>1549</v>
      </c>
      <c r="E1995" s="6" t="s">
        <v>1550</v>
      </c>
      <c r="F1995" s="78">
        <v>5.0</v>
      </c>
      <c r="G1995" s="79">
        <v>221.78</v>
      </c>
    </row>
    <row r="1996">
      <c r="A1996" s="6">
        <v>384.0</v>
      </c>
      <c r="B1996" s="76" t="str">
        <f>IFERROR(VLOOKUP($A1996,EVENTO!$A$2:$C$4999,2,FALSE),"")</f>
        <v>ADITIVO DE PRAZO</v>
      </c>
      <c r="C1996" s="76" t="str">
        <f>IFERROR(VLOOKUP($A1996,EVENTO!$A$2:$C$4999,3,FALSE),"")</f>
        <v>PREFEITURA MUNICIPAL DE ARACATI - SEINFRA</v>
      </c>
      <c r="D1996" s="78" t="s">
        <v>1553</v>
      </c>
      <c r="F1996" s="78">
        <v>3.0</v>
      </c>
      <c r="G1996" s="79">
        <v>286.34</v>
      </c>
    </row>
    <row r="1997">
      <c r="A1997" s="6">
        <v>384.0</v>
      </c>
      <c r="B1997" s="76" t="str">
        <f>IFERROR(VLOOKUP($A1997,EVENTO!$A$2:$C$4999,2,FALSE),"")</f>
        <v>ADITIVO DE PRAZO</v>
      </c>
      <c r="C1997" s="76" t="str">
        <f>IFERROR(VLOOKUP($A1997,EVENTO!$A$2:$C$4999,3,FALSE),"")</f>
        <v>PREFEITURA MUNICIPAL DE ARACATI - SEINFRA</v>
      </c>
      <c r="D1997" s="78" t="s">
        <v>1487</v>
      </c>
      <c r="F1997" s="78">
        <v>1.0</v>
      </c>
      <c r="G1997" s="79">
        <v>234.7</v>
      </c>
    </row>
    <row r="1998">
      <c r="A1998" s="6">
        <v>384.0</v>
      </c>
      <c r="B1998" s="76" t="str">
        <f>IFERROR(VLOOKUP($A1998,EVENTO!$A$2:$C$4999,2,FALSE),"")</f>
        <v>ADITIVO DE PRAZO</v>
      </c>
      <c r="C1998" s="76" t="str">
        <f>IFERROR(VLOOKUP($A1998,EVENTO!$A$2:$C$4999,3,FALSE),"")</f>
        <v>PREFEITURA MUNICIPAL DE ARACATI - SEINFRA</v>
      </c>
      <c r="D1998" s="85" t="s">
        <v>1556</v>
      </c>
      <c r="E1998" s="86"/>
      <c r="F1998" s="78">
        <v>3.0</v>
      </c>
      <c r="G1998" s="79">
        <v>148.11</v>
      </c>
    </row>
    <row r="1999">
      <c r="A1999" s="6">
        <v>384.0</v>
      </c>
      <c r="B1999" s="76" t="str">
        <f>IFERROR(VLOOKUP($A1999,EVENTO!$A$2:$C$4999,2,FALSE),"")</f>
        <v>ADITIVO DE PRAZO</v>
      </c>
      <c r="C1999" s="76" t="str">
        <f>IFERROR(VLOOKUP($A1999,EVENTO!$A$2:$C$4999,3,FALSE),"")</f>
        <v>PREFEITURA MUNICIPAL DE ARACATI - SEINFRA</v>
      </c>
      <c r="D1999" s="81" t="s">
        <v>1728</v>
      </c>
      <c r="F1999" s="78">
        <v>1.0</v>
      </c>
      <c r="G1999" s="79">
        <v>1239.56</v>
      </c>
    </row>
    <row r="2000">
      <c r="A2000" s="6">
        <v>384.0</v>
      </c>
      <c r="B2000" s="76" t="str">
        <f>IFERROR(VLOOKUP($A2000,EVENTO!$A$2:$C$4999,2,FALSE),"")</f>
        <v>ADITIVO DE PRAZO</v>
      </c>
      <c r="C2000" s="76" t="str">
        <f>IFERROR(VLOOKUP($A2000,EVENTO!$A$2:$C$4999,3,FALSE),"")</f>
        <v>PREFEITURA MUNICIPAL DE ARACATI - SEINFRA</v>
      </c>
      <c r="D2000" s="100" t="s">
        <v>1580</v>
      </c>
      <c r="E2000" s="4"/>
      <c r="F2000" s="78">
        <v>1.0</v>
      </c>
      <c r="G2000" s="92">
        <v>193.47</v>
      </c>
    </row>
    <row r="2001">
      <c r="A2001" s="6">
        <v>384.0</v>
      </c>
      <c r="B2001" s="76" t="str">
        <f>IFERROR(VLOOKUP($A2001,EVENTO!$A$2:$C$4999,2,FALSE),"")</f>
        <v>ADITIVO DE PRAZO</v>
      </c>
      <c r="C2001" s="76" t="str">
        <f>IFERROR(VLOOKUP($A2001,EVENTO!$A$2:$C$4999,3,FALSE),"")</f>
        <v>PREFEITURA MUNICIPAL DE ARACATI - SEINFRA</v>
      </c>
      <c r="D2001" s="100" t="s">
        <v>1560</v>
      </c>
      <c r="E2001" s="4"/>
      <c r="F2001" s="78">
        <v>3.0</v>
      </c>
      <c r="G2001" s="92">
        <v>50.3</v>
      </c>
    </row>
    <row r="2002">
      <c r="A2002" s="6">
        <v>384.0</v>
      </c>
      <c r="B2002" s="76" t="str">
        <f>IFERROR(VLOOKUP($A2002,EVENTO!$A$2:$C$4999,2,FALSE),"")</f>
        <v>ADITIVO DE PRAZO</v>
      </c>
      <c r="C2002" s="76" t="str">
        <f>IFERROR(VLOOKUP($A2002,EVENTO!$A$2:$C$4999,3,FALSE),"")</f>
        <v>PREFEITURA MUNICIPAL DE ARACATI - SEINFRA</v>
      </c>
      <c r="D2002" s="100" t="s">
        <v>1575</v>
      </c>
      <c r="E2002" s="4"/>
      <c r="F2002" s="78">
        <v>2.0</v>
      </c>
      <c r="G2002" s="92">
        <v>13.42</v>
      </c>
    </row>
    <row r="2003">
      <c r="A2003" s="6">
        <v>384.0</v>
      </c>
      <c r="B2003" s="76" t="str">
        <f>IFERROR(VLOOKUP($A2003,EVENTO!$A$2:$C$4999,2,FALSE),"")</f>
        <v>ADITIVO DE PRAZO</v>
      </c>
      <c r="C2003" s="76" t="str">
        <f>IFERROR(VLOOKUP($A2003,EVENTO!$A$2:$C$4999,3,FALSE),"")</f>
        <v>PREFEITURA MUNICIPAL DE ARACATI - SEINFRA</v>
      </c>
      <c r="D2003" s="100" t="s">
        <v>1557</v>
      </c>
      <c r="E2003" s="4"/>
      <c r="F2003" s="78">
        <v>3.0</v>
      </c>
      <c r="G2003" s="92">
        <v>91.18</v>
      </c>
    </row>
    <row r="2004">
      <c r="A2004" s="6">
        <v>385.0</v>
      </c>
      <c r="B2004" s="76" t="str">
        <f>IFERROR(VLOOKUP($A2004,EVENTO!$A$2:$C$4999,2,FALSE),"")</f>
        <v>ADITIVO DE PRAZO</v>
      </c>
      <c r="C2004" s="76" t="str">
        <f>IFERROR(VLOOKUP($A2004,EVENTO!$A$2:$C$4999,3,FALSE),"")</f>
        <v>PREFEITURA MUNICIPAL DE ARACATI - SEINFRA</v>
      </c>
      <c r="D2004" s="78" t="s">
        <v>1544</v>
      </c>
      <c r="E2004" s="6" t="s">
        <v>1545</v>
      </c>
      <c r="F2004" s="78">
        <v>4.0</v>
      </c>
      <c r="G2004" s="79">
        <v>534.71</v>
      </c>
    </row>
    <row r="2005">
      <c r="A2005" s="6">
        <v>385.0</v>
      </c>
      <c r="B2005" s="76" t="str">
        <f>IFERROR(VLOOKUP($A2005,EVENTO!$A$2:$C$4999,2,FALSE),"")</f>
        <v>ADITIVO DE PRAZO</v>
      </c>
      <c r="C2005" s="76" t="str">
        <f>IFERROR(VLOOKUP($A2005,EVENTO!$A$2:$C$4999,3,FALSE),"")</f>
        <v>PREFEITURA MUNICIPAL DE ARACATI - SEINFRA</v>
      </c>
      <c r="D2005" s="78" t="s">
        <v>1458</v>
      </c>
      <c r="E2005" s="6" t="s">
        <v>1535</v>
      </c>
      <c r="F2005" s="78">
        <v>1.0</v>
      </c>
      <c r="G2005" s="79">
        <v>344.75</v>
      </c>
    </row>
    <row r="2006">
      <c r="A2006" s="6">
        <v>385.0</v>
      </c>
      <c r="B2006" s="76" t="str">
        <f>IFERROR(VLOOKUP($A2006,EVENTO!$A$2:$C$4999,2,FALSE),"")</f>
        <v>ADITIVO DE PRAZO</v>
      </c>
      <c r="C2006" s="76" t="str">
        <f>IFERROR(VLOOKUP($A2006,EVENTO!$A$2:$C$4999,3,FALSE),"")</f>
        <v>PREFEITURA MUNICIPAL DE ARACATI - SEINFRA</v>
      </c>
      <c r="D2006" s="78" t="s">
        <v>1456</v>
      </c>
      <c r="E2006" s="6" t="s">
        <v>1548</v>
      </c>
      <c r="F2006" s="78">
        <v>10.0</v>
      </c>
      <c r="G2006" s="79">
        <v>387.36</v>
      </c>
    </row>
    <row r="2007">
      <c r="A2007" s="6">
        <v>385.0</v>
      </c>
      <c r="B2007" s="76" t="str">
        <f>IFERROR(VLOOKUP($A2007,EVENTO!$A$2:$C$4999,2,FALSE),"")</f>
        <v>ADITIVO DE PRAZO</v>
      </c>
      <c r="C2007" s="76" t="str">
        <f>IFERROR(VLOOKUP($A2007,EVENTO!$A$2:$C$4999,3,FALSE),"")</f>
        <v>PREFEITURA MUNICIPAL DE ARACATI - SEINFRA</v>
      </c>
      <c r="D2007" s="78" t="s">
        <v>1549</v>
      </c>
      <c r="E2007" s="6" t="s">
        <v>1550</v>
      </c>
      <c r="F2007" s="78">
        <v>5.0</v>
      </c>
      <c r="G2007" s="79">
        <v>221.78</v>
      </c>
    </row>
    <row r="2008">
      <c r="A2008" s="6">
        <v>385.0</v>
      </c>
      <c r="B2008" s="76" t="str">
        <f>IFERROR(VLOOKUP($A2008,EVENTO!$A$2:$C$4999,2,FALSE),"")</f>
        <v>ADITIVO DE PRAZO</v>
      </c>
      <c r="C2008" s="76" t="str">
        <f>IFERROR(VLOOKUP($A2008,EVENTO!$A$2:$C$4999,3,FALSE),"")</f>
        <v>PREFEITURA MUNICIPAL DE ARACATI - SEINFRA</v>
      </c>
      <c r="D2008" s="78" t="s">
        <v>1553</v>
      </c>
      <c r="F2008" s="78">
        <v>3.0</v>
      </c>
      <c r="G2008" s="79">
        <v>286.34</v>
      </c>
    </row>
    <row r="2009">
      <c r="A2009" s="6">
        <v>385.0</v>
      </c>
      <c r="B2009" s="76" t="str">
        <f>IFERROR(VLOOKUP($A2009,EVENTO!$A$2:$C$4999,2,FALSE),"")</f>
        <v>ADITIVO DE PRAZO</v>
      </c>
      <c r="C2009" s="76" t="str">
        <f>IFERROR(VLOOKUP($A2009,EVENTO!$A$2:$C$4999,3,FALSE),"")</f>
        <v>PREFEITURA MUNICIPAL DE ARACATI - SEINFRA</v>
      </c>
      <c r="D2009" s="78" t="s">
        <v>1487</v>
      </c>
      <c r="F2009" s="78">
        <v>1.0</v>
      </c>
      <c r="G2009" s="79">
        <v>234.7</v>
      </c>
    </row>
    <row r="2010">
      <c r="A2010" s="6">
        <v>385.0</v>
      </c>
      <c r="B2010" s="76" t="str">
        <f>IFERROR(VLOOKUP($A2010,EVENTO!$A$2:$C$4999,2,FALSE),"")</f>
        <v>ADITIVO DE PRAZO</v>
      </c>
      <c r="C2010" s="76" t="str">
        <f>IFERROR(VLOOKUP($A2010,EVENTO!$A$2:$C$4999,3,FALSE),"")</f>
        <v>PREFEITURA MUNICIPAL DE ARACATI - SEINFRA</v>
      </c>
      <c r="D2010" s="85" t="s">
        <v>1556</v>
      </c>
      <c r="E2010" s="86"/>
      <c r="F2010" s="78">
        <v>3.0</v>
      </c>
      <c r="G2010" s="79">
        <v>148.11</v>
      </c>
    </row>
    <row r="2011">
      <c r="A2011" s="6">
        <v>385.0</v>
      </c>
      <c r="B2011" s="76" t="str">
        <f>IFERROR(VLOOKUP($A2011,EVENTO!$A$2:$C$4999,2,FALSE),"")</f>
        <v>ADITIVO DE PRAZO</v>
      </c>
      <c r="C2011" s="76" t="str">
        <f>IFERROR(VLOOKUP($A2011,EVENTO!$A$2:$C$4999,3,FALSE),"")</f>
        <v>PREFEITURA MUNICIPAL DE ARACATI - SEINFRA</v>
      </c>
      <c r="D2011" s="81" t="s">
        <v>1728</v>
      </c>
      <c r="F2011" s="78">
        <v>1.0</v>
      </c>
      <c r="G2011" s="79">
        <v>1239.56</v>
      </c>
    </row>
    <row r="2012">
      <c r="A2012" s="6">
        <v>385.0</v>
      </c>
      <c r="B2012" s="76" t="str">
        <f>IFERROR(VLOOKUP($A2012,EVENTO!$A$2:$C$4999,2,FALSE),"")</f>
        <v>ADITIVO DE PRAZO</v>
      </c>
      <c r="C2012" s="76" t="str">
        <f>IFERROR(VLOOKUP($A2012,EVENTO!$A$2:$C$4999,3,FALSE),"")</f>
        <v>PREFEITURA MUNICIPAL DE ARACATI - SEINFRA</v>
      </c>
      <c r="D2012" s="100" t="s">
        <v>1580</v>
      </c>
      <c r="E2012" s="4"/>
      <c r="F2012" s="78">
        <v>1.0</v>
      </c>
      <c r="G2012" s="92">
        <v>193.47</v>
      </c>
    </row>
    <row r="2013">
      <c r="A2013" s="6">
        <v>385.0</v>
      </c>
      <c r="B2013" s="76" t="str">
        <f>IFERROR(VLOOKUP($A2013,EVENTO!$A$2:$C$4999,2,FALSE),"")</f>
        <v>ADITIVO DE PRAZO</v>
      </c>
      <c r="C2013" s="76" t="str">
        <f>IFERROR(VLOOKUP($A2013,EVENTO!$A$2:$C$4999,3,FALSE),"")</f>
        <v>PREFEITURA MUNICIPAL DE ARACATI - SEINFRA</v>
      </c>
      <c r="D2013" s="100" t="s">
        <v>1560</v>
      </c>
      <c r="E2013" s="4"/>
      <c r="F2013" s="78">
        <v>3.0</v>
      </c>
      <c r="G2013" s="92">
        <v>50.3</v>
      </c>
    </row>
    <row r="2014">
      <c r="A2014" s="6">
        <v>385.0</v>
      </c>
      <c r="B2014" s="76" t="str">
        <f>IFERROR(VLOOKUP($A2014,EVENTO!$A$2:$C$4999,2,FALSE),"")</f>
        <v>ADITIVO DE PRAZO</v>
      </c>
      <c r="C2014" s="76" t="str">
        <f>IFERROR(VLOOKUP($A2014,EVENTO!$A$2:$C$4999,3,FALSE),"")</f>
        <v>PREFEITURA MUNICIPAL DE ARACATI - SEINFRA</v>
      </c>
      <c r="D2014" s="100" t="s">
        <v>1575</v>
      </c>
      <c r="E2014" s="4"/>
      <c r="F2014" s="78">
        <v>2.0</v>
      </c>
      <c r="G2014" s="92">
        <v>13.42</v>
      </c>
    </row>
    <row r="2015">
      <c r="A2015" s="6">
        <v>385.0</v>
      </c>
      <c r="B2015" s="76" t="str">
        <f>IFERROR(VLOOKUP($A2015,EVENTO!$A$2:$C$4999,2,FALSE),"")</f>
        <v>ADITIVO DE PRAZO</v>
      </c>
      <c r="C2015" s="76" t="str">
        <f>IFERROR(VLOOKUP($A2015,EVENTO!$A$2:$C$4999,3,FALSE),"")</f>
        <v>PREFEITURA MUNICIPAL DE ARACATI - SEINFRA</v>
      </c>
      <c r="D2015" s="100" t="s">
        <v>1557</v>
      </c>
      <c r="E2015" s="4"/>
      <c r="F2015" s="78">
        <v>3.0</v>
      </c>
      <c r="G2015" s="92">
        <v>91.18</v>
      </c>
    </row>
    <row r="2016">
      <c r="A2016" s="6">
        <v>386.0</v>
      </c>
      <c r="B2016" s="76" t="str">
        <f>IFERROR(VLOOKUP($A2016,EVENTO!$A$2:$C$4999,2,FALSE),"")</f>
        <v>ADITIVO DE PRAZO</v>
      </c>
      <c r="C2016" s="76" t="str">
        <f>IFERROR(VLOOKUP($A2016,EVENTO!$A$2:$C$4999,3,FALSE),"")</f>
        <v>PREFEITURA MUNICIPAL DE ARACATI - SEINFRA</v>
      </c>
      <c r="D2016" s="78" t="s">
        <v>1544</v>
      </c>
      <c r="E2016" s="6" t="s">
        <v>1545</v>
      </c>
      <c r="F2016" s="78">
        <v>4.0</v>
      </c>
      <c r="G2016" s="79">
        <v>534.71</v>
      </c>
    </row>
    <row r="2017">
      <c r="A2017" s="6">
        <v>386.0</v>
      </c>
      <c r="B2017" s="76" t="str">
        <f>IFERROR(VLOOKUP($A2017,EVENTO!$A$2:$C$4999,2,FALSE),"")</f>
        <v>ADITIVO DE PRAZO</v>
      </c>
      <c r="C2017" s="76" t="str">
        <f>IFERROR(VLOOKUP($A2017,EVENTO!$A$2:$C$4999,3,FALSE),"")</f>
        <v>PREFEITURA MUNICIPAL DE ARACATI - SEINFRA</v>
      </c>
      <c r="D2017" s="78" t="s">
        <v>1458</v>
      </c>
      <c r="E2017" s="6" t="s">
        <v>1535</v>
      </c>
      <c r="F2017" s="78">
        <v>1.0</v>
      </c>
      <c r="G2017" s="79">
        <v>344.75</v>
      </c>
    </row>
    <row r="2018">
      <c r="A2018" s="6">
        <v>386.0</v>
      </c>
      <c r="B2018" s="76" t="str">
        <f>IFERROR(VLOOKUP($A2018,EVENTO!$A$2:$C$4999,2,FALSE),"")</f>
        <v>ADITIVO DE PRAZO</v>
      </c>
      <c r="C2018" s="76" t="str">
        <f>IFERROR(VLOOKUP($A2018,EVENTO!$A$2:$C$4999,3,FALSE),"")</f>
        <v>PREFEITURA MUNICIPAL DE ARACATI - SEINFRA</v>
      </c>
      <c r="D2018" s="78" t="s">
        <v>1456</v>
      </c>
      <c r="E2018" s="6" t="s">
        <v>1548</v>
      </c>
      <c r="F2018" s="78">
        <v>10.0</v>
      </c>
      <c r="G2018" s="79">
        <v>387.36</v>
      </c>
    </row>
    <row r="2019">
      <c r="A2019" s="6">
        <v>386.0</v>
      </c>
      <c r="B2019" s="76" t="str">
        <f>IFERROR(VLOOKUP($A2019,EVENTO!$A$2:$C$4999,2,FALSE),"")</f>
        <v>ADITIVO DE PRAZO</v>
      </c>
      <c r="C2019" s="76" t="str">
        <f>IFERROR(VLOOKUP($A2019,EVENTO!$A$2:$C$4999,3,FALSE),"")</f>
        <v>PREFEITURA MUNICIPAL DE ARACATI - SEINFRA</v>
      </c>
      <c r="D2019" s="78" t="s">
        <v>1549</v>
      </c>
      <c r="E2019" s="6" t="s">
        <v>1550</v>
      </c>
      <c r="F2019" s="78">
        <v>5.0</v>
      </c>
      <c r="G2019" s="79">
        <v>221.78</v>
      </c>
    </row>
    <row r="2020">
      <c r="A2020" s="6">
        <v>386.0</v>
      </c>
      <c r="B2020" s="76" t="str">
        <f>IFERROR(VLOOKUP($A2020,EVENTO!$A$2:$C$4999,2,FALSE),"")</f>
        <v>ADITIVO DE PRAZO</v>
      </c>
      <c r="C2020" s="76" t="str">
        <f>IFERROR(VLOOKUP($A2020,EVENTO!$A$2:$C$4999,3,FALSE),"")</f>
        <v>PREFEITURA MUNICIPAL DE ARACATI - SEINFRA</v>
      </c>
      <c r="D2020" s="78" t="s">
        <v>1553</v>
      </c>
      <c r="F2020" s="78">
        <v>3.0</v>
      </c>
      <c r="G2020" s="79">
        <v>286.34</v>
      </c>
    </row>
    <row r="2021">
      <c r="A2021" s="6">
        <v>386.0</v>
      </c>
      <c r="B2021" s="76" t="str">
        <f>IFERROR(VLOOKUP($A2021,EVENTO!$A$2:$C$4999,2,FALSE),"")</f>
        <v>ADITIVO DE PRAZO</v>
      </c>
      <c r="C2021" s="76" t="str">
        <f>IFERROR(VLOOKUP($A2021,EVENTO!$A$2:$C$4999,3,FALSE),"")</f>
        <v>PREFEITURA MUNICIPAL DE ARACATI - SEINFRA</v>
      </c>
      <c r="D2021" s="78" t="s">
        <v>1487</v>
      </c>
      <c r="F2021" s="78">
        <v>1.0</v>
      </c>
      <c r="G2021" s="79">
        <v>234.7</v>
      </c>
    </row>
    <row r="2022">
      <c r="A2022" s="6">
        <v>386.0</v>
      </c>
      <c r="B2022" s="76" t="str">
        <f>IFERROR(VLOOKUP($A2022,EVENTO!$A$2:$C$4999,2,FALSE),"")</f>
        <v>ADITIVO DE PRAZO</v>
      </c>
      <c r="C2022" s="76" t="str">
        <f>IFERROR(VLOOKUP($A2022,EVENTO!$A$2:$C$4999,3,FALSE),"")</f>
        <v>PREFEITURA MUNICIPAL DE ARACATI - SEINFRA</v>
      </c>
      <c r="D2022" s="85" t="s">
        <v>1556</v>
      </c>
      <c r="E2022" s="86"/>
      <c r="F2022" s="78">
        <v>3.0</v>
      </c>
      <c r="G2022" s="79">
        <v>148.11</v>
      </c>
    </row>
    <row r="2023">
      <c r="A2023" s="6">
        <v>386.0</v>
      </c>
      <c r="B2023" s="76" t="str">
        <f>IFERROR(VLOOKUP($A2023,EVENTO!$A$2:$C$4999,2,FALSE),"")</f>
        <v>ADITIVO DE PRAZO</v>
      </c>
      <c r="C2023" s="76" t="str">
        <f>IFERROR(VLOOKUP($A2023,EVENTO!$A$2:$C$4999,3,FALSE),"")</f>
        <v>PREFEITURA MUNICIPAL DE ARACATI - SEINFRA</v>
      </c>
      <c r="D2023" s="81" t="s">
        <v>1728</v>
      </c>
      <c r="F2023" s="78">
        <v>1.0</v>
      </c>
      <c r="G2023" s="79">
        <v>1239.56</v>
      </c>
    </row>
    <row r="2024">
      <c r="A2024" s="6">
        <v>386.0</v>
      </c>
      <c r="B2024" s="76" t="str">
        <f>IFERROR(VLOOKUP($A2024,EVENTO!$A$2:$C$4999,2,FALSE),"")</f>
        <v>ADITIVO DE PRAZO</v>
      </c>
      <c r="C2024" s="76" t="str">
        <f>IFERROR(VLOOKUP($A2024,EVENTO!$A$2:$C$4999,3,FALSE),"")</f>
        <v>PREFEITURA MUNICIPAL DE ARACATI - SEINFRA</v>
      </c>
      <c r="D2024" s="100" t="s">
        <v>1580</v>
      </c>
      <c r="E2024" s="4"/>
      <c r="F2024" s="78">
        <v>1.0</v>
      </c>
      <c r="G2024" s="92">
        <v>193.47</v>
      </c>
    </row>
    <row r="2025">
      <c r="A2025" s="6">
        <v>386.0</v>
      </c>
      <c r="B2025" s="76" t="str">
        <f>IFERROR(VLOOKUP($A2025,EVENTO!$A$2:$C$4999,2,FALSE),"")</f>
        <v>ADITIVO DE PRAZO</v>
      </c>
      <c r="C2025" s="76" t="str">
        <f>IFERROR(VLOOKUP($A2025,EVENTO!$A$2:$C$4999,3,FALSE),"")</f>
        <v>PREFEITURA MUNICIPAL DE ARACATI - SEINFRA</v>
      </c>
      <c r="D2025" s="100" t="s">
        <v>1560</v>
      </c>
      <c r="E2025" s="4"/>
      <c r="F2025" s="78">
        <v>3.0</v>
      </c>
      <c r="G2025" s="92">
        <v>50.3</v>
      </c>
    </row>
    <row r="2026">
      <c r="A2026" s="6">
        <v>386.0</v>
      </c>
      <c r="B2026" s="76" t="str">
        <f>IFERROR(VLOOKUP($A2026,EVENTO!$A$2:$C$4999,2,FALSE),"")</f>
        <v>ADITIVO DE PRAZO</v>
      </c>
      <c r="C2026" s="76" t="str">
        <f>IFERROR(VLOOKUP($A2026,EVENTO!$A$2:$C$4999,3,FALSE),"")</f>
        <v>PREFEITURA MUNICIPAL DE ARACATI - SEINFRA</v>
      </c>
      <c r="D2026" s="100" t="s">
        <v>1575</v>
      </c>
      <c r="E2026" s="4"/>
      <c r="F2026" s="78">
        <v>2.0</v>
      </c>
      <c r="G2026" s="92">
        <v>13.42</v>
      </c>
    </row>
    <row r="2027">
      <c r="A2027" s="6">
        <v>386.0</v>
      </c>
      <c r="B2027" s="76" t="str">
        <f>IFERROR(VLOOKUP($A2027,EVENTO!$A$2:$C$4999,2,FALSE),"")</f>
        <v>ADITIVO DE PRAZO</v>
      </c>
      <c r="C2027" s="76" t="str">
        <f>IFERROR(VLOOKUP($A2027,EVENTO!$A$2:$C$4999,3,FALSE),"")</f>
        <v>PREFEITURA MUNICIPAL DE ARACATI - SEINFRA</v>
      </c>
      <c r="D2027" s="100" t="s">
        <v>1557</v>
      </c>
      <c r="E2027" s="4"/>
      <c r="F2027" s="78">
        <v>3.0</v>
      </c>
      <c r="G2027" s="92">
        <v>91.18</v>
      </c>
    </row>
    <row r="2028">
      <c r="A2028" s="6">
        <v>387.0</v>
      </c>
      <c r="B2028" s="76" t="str">
        <f>IFERROR(VLOOKUP($A2028,EVENTO!$A$2:$C$4999,2,FALSE),"")</f>
        <v>ADITIVO DE PRAZO</v>
      </c>
      <c r="C2028" s="76" t="str">
        <f>IFERROR(VLOOKUP($A2028,EVENTO!$A$2:$C$4999,3,FALSE),"")</f>
        <v>PREFEITURA MUNICIPAL DE ARACATI - SEINFRA</v>
      </c>
      <c r="D2028" s="78" t="s">
        <v>1544</v>
      </c>
      <c r="E2028" s="6" t="s">
        <v>1545</v>
      </c>
      <c r="F2028" s="78">
        <v>4.0</v>
      </c>
      <c r="G2028" s="79">
        <v>534.71</v>
      </c>
    </row>
    <row r="2029">
      <c r="A2029" s="6">
        <v>387.0</v>
      </c>
      <c r="B2029" s="76" t="str">
        <f>IFERROR(VLOOKUP($A2029,EVENTO!$A$2:$C$4999,2,FALSE),"")</f>
        <v>ADITIVO DE PRAZO</v>
      </c>
      <c r="C2029" s="76" t="str">
        <f>IFERROR(VLOOKUP($A2029,EVENTO!$A$2:$C$4999,3,FALSE),"")</f>
        <v>PREFEITURA MUNICIPAL DE ARACATI - SEINFRA</v>
      </c>
      <c r="D2029" s="78" t="s">
        <v>1458</v>
      </c>
      <c r="E2029" s="6" t="s">
        <v>1535</v>
      </c>
      <c r="F2029" s="78">
        <v>1.0</v>
      </c>
      <c r="G2029" s="79">
        <v>344.75</v>
      </c>
    </row>
    <row r="2030">
      <c r="A2030" s="6">
        <v>387.0</v>
      </c>
      <c r="B2030" s="76" t="str">
        <f>IFERROR(VLOOKUP($A2030,EVENTO!$A$2:$C$4999,2,FALSE),"")</f>
        <v>ADITIVO DE PRAZO</v>
      </c>
      <c r="C2030" s="76" t="str">
        <f>IFERROR(VLOOKUP($A2030,EVENTO!$A$2:$C$4999,3,FALSE),"")</f>
        <v>PREFEITURA MUNICIPAL DE ARACATI - SEINFRA</v>
      </c>
      <c r="D2030" s="78" t="s">
        <v>1456</v>
      </c>
      <c r="E2030" s="6" t="s">
        <v>1548</v>
      </c>
      <c r="F2030" s="78">
        <v>10.0</v>
      </c>
      <c r="G2030" s="79">
        <v>387.36</v>
      </c>
    </row>
    <row r="2031">
      <c r="A2031" s="6">
        <v>387.0</v>
      </c>
      <c r="B2031" s="76" t="str">
        <f>IFERROR(VLOOKUP($A2031,EVENTO!$A$2:$C$4999,2,FALSE),"")</f>
        <v>ADITIVO DE PRAZO</v>
      </c>
      <c r="C2031" s="76" t="str">
        <f>IFERROR(VLOOKUP($A2031,EVENTO!$A$2:$C$4999,3,FALSE),"")</f>
        <v>PREFEITURA MUNICIPAL DE ARACATI - SEINFRA</v>
      </c>
      <c r="D2031" s="78" t="s">
        <v>1549</v>
      </c>
      <c r="E2031" s="6" t="s">
        <v>1550</v>
      </c>
      <c r="F2031" s="78">
        <v>5.0</v>
      </c>
      <c r="G2031" s="79">
        <v>221.78</v>
      </c>
    </row>
    <row r="2032">
      <c r="A2032" s="6">
        <v>387.0</v>
      </c>
      <c r="B2032" s="76" t="str">
        <f>IFERROR(VLOOKUP($A2032,EVENTO!$A$2:$C$4999,2,FALSE),"")</f>
        <v>ADITIVO DE PRAZO</v>
      </c>
      <c r="C2032" s="76" t="str">
        <f>IFERROR(VLOOKUP($A2032,EVENTO!$A$2:$C$4999,3,FALSE),"")</f>
        <v>PREFEITURA MUNICIPAL DE ARACATI - SEINFRA</v>
      </c>
      <c r="D2032" s="78" t="s">
        <v>1553</v>
      </c>
      <c r="F2032" s="78">
        <v>3.0</v>
      </c>
      <c r="G2032" s="79">
        <v>286.34</v>
      </c>
    </row>
    <row r="2033">
      <c r="A2033" s="6">
        <v>387.0</v>
      </c>
      <c r="B2033" s="76" t="str">
        <f>IFERROR(VLOOKUP($A2033,EVENTO!$A$2:$C$4999,2,FALSE),"")</f>
        <v>ADITIVO DE PRAZO</v>
      </c>
      <c r="C2033" s="76" t="str">
        <f>IFERROR(VLOOKUP($A2033,EVENTO!$A$2:$C$4999,3,FALSE),"")</f>
        <v>PREFEITURA MUNICIPAL DE ARACATI - SEINFRA</v>
      </c>
      <c r="D2033" s="78" t="s">
        <v>1487</v>
      </c>
      <c r="F2033" s="78">
        <v>1.0</v>
      </c>
      <c r="G2033" s="79">
        <v>234.7</v>
      </c>
    </row>
    <row r="2034">
      <c r="A2034" s="6">
        <v>387.0</v>
      </c>
      <c r="B2034" s="76" t="str">
        <f>IFERROR(VLOOKUP($A2034,EVENTO!$A$2:$C$4999,2,FALSE),"")</f>
        <v>ADITIVO DE PRAZO</v>
      </c>
      <c r="C2034" s="76" t="str">
        <f>IFERROR(VLOOKUP($A2034,EVENTO!$A$2:$C$4999,3,FALSE),"")</f>
        <v>PREFEITURA MUNICIPAL DE ARACATI - SEINFRA</v>
      </c>
      <c r="D2034" s="85" t="s">
        <v>1556</v>
      </c>
      <c r="E2034" s="86"/>
      <c r="F2034" s="78">
        <v>3.0</v>
      </c>
      <c r="G2034" s="79">
        <v>148.11</v>
      </c>
    </row>
    <row r="2035">
      <c r="A2035" s="6">
        <v>387.0</v>
      </c>
      <c r="B2035" s="76" t="str">
        <f>IFERROR(VLOOKUP($A2035,EVENTO!$A$2:$C$4999,2,FALSE),"")</f>
        <v>ADITIVO DE PRAZO</v>
      </c>
      <c r="C2035" s="76" t="str">
        <f>IFERROR(VLOOKUP($A2035,EVENTO!$A$2:$C$4999,3,FALSE),"")</f>
        <v>PREFEITURA MUNICIPAL DE ARACATI - SEINFRA</v>
      </c>
      <c r="D2035" s="81" t="s">
        <v>1728</v>
      </c>
      <c r="F2035" s="78">
        <v>1.0</v>
      </c>
      <c r="G2035" s="79">
        <v>1239.56</v>
      </c>
    </row>
    <row r="2036">
      <c r="A2036" s="6">
        <v>387.0</v>
      </c>
      <c r="B2036" s="76" t="str">
        <f>IFERROR(VLOOKUP($A2036,EVENTO!$A$2:$C$4999,2,FALSE),"")</f>
        <v>ADITIVO DE PRAZO</v>
      </c>
      <c r="C2036" s="76" t="str">
        <f>IFERROR(VLOOKUP($A2036,EVENTO!$A$2:$C$4999,3,FALSE),"")</f>
        <v>PREFEITURA MUNICIPAL DE ARACATI - SEINFRA</v>
      </c>
      <c r="D2036" s="100" t="s">
        <v>1580</v>
      </c>
      <c r="E2036" s="4"/>
      <c r="F2036" s="78">
        <v>1.0</v>
      </c>
      <c r="G2036" s="92">
        <v>193.47</v>
      </c>
    </row>
    <row r="2037">
      <c r="A2037" s="6">
        <v>387.0</v>
      </c>
      <c r="B2037" s="76" t="str">
        <f>IFERROR(VLOOKUP($A2037,EVENTO!$A$2:$C$4999,2,FALSE),"")</f>
        <v>ADITIVO DE PRAZO</v>
      </c>
      <c r="C2037" s="76" t="str">
        <f>IFERROR(VLOOKUP($A2037,EVENTO!$A$2:$C$4999,3,FALSE),"")</f>
        <v>PREFEITURA MUNICIPAL DE ARACATI - SEINFRA</v>
      </c>
      <c r="D2037" s="100" t="s">
        <v>1560</v>
      </c>
      <c r="E2037" s="4"/>
      <c r="F2037" s="78">
        <v>3.0</v>
      </c>
      <c r="G2037" s="92">
        <v>50.3</v>
      </c>
    </row>
    <row r="2038">
      <c r="A2038" s="6">
        <v>387.0</v>
      </c>
      <c r="B2038" s="76" t="str">
        <f>IFERROR(VLOOKUP($A2038,EVENTO!$A$2:$C$4999,2,FALSE),"")</f>
        <v>ADITIVO DE PRAZO</v>
      </c>
      <c r="C2038" s="76" t="str">
        <f>IFERROR(VLOOKUP($A2038,EVENTO!$A$2:$C$4999,3,FALSE),"")</f>
        <v>PREFEITURA MUNICIPAL DE ARACATI - SEINFRA</v>
      </c>
      <c r="D2038" s="100" t="s">
        <v>1575</v>
      </c>
      <c r="E2038" s="4"/>
      <c r="F2038" s="78">
        <v>2.0</v>
      </c>
      <c r="G2038" s="92">
        <v>13.42</v>
      </c>
    </row>
    <row r="2039">
      <c r="A2039" s="6">
        <v>387.0</v>
      </c>
      <c r="B2039" s="76" t="str">
        <f>IFERROR(VLOOKUP($A2039,EVENTO!$A$2:$C$4999,2,FALSE),"")</f>
        <v>ADITIVO DE PRAZO</v>
      </c>
      <c r="C2039" s="76" t="str">
        <f>IFERROR(VLOOKUP($A2039,EVENTO!$A$2:$C$4999,3,FALSE),"")</f>
        <v>PREFEITURA MUNICIPAL DE ARACATI - SEINFRA</v>
      </c>
      <c r="D2039" s="100" t="s">
        <v>1557</v>
      </c>
      <c r="E2039" s="4"/>
      <c r="F2039" s="78">
        <v>3.0</v>
      </c>
      <c r="G2039" s="92">
        <v>91.18</v>
      </c>
    </row>
    <row r="2040">
      <c r="A2040" s="6">
        <v>388.0</v>
      </c>
      <c r="B2040" s="76" t="str">
        <f>IFERROR(VLOOKUP($A2040,EVENTO!$A$2:$C$4999,2,FALSE),"")</f>
        <v>ADITIVO DE PRAZO</v>
      </c>
      <c r="C2040" s="76" t="str">
        <f>IFERROR(VLOOKUP($A2040,EVENTO!$A$2:$C$4999,3,FALSE),"")</f>
        <v>PREFEITURA MUNICIPAL DE ARACATI - SEINFRA</v>
      </c>
      <c r="D2040" s="78" t="s">
        <v>1544</v>
      </c>
      <c r="E2040" s="6" t="s">
        <v>1545</v>
      </c>
      <c r="F2040" s="78">
        <v>4.0</v>
      </c>
      <c r="G2040" s="79">
        <v>534.71</v>
      </c>
    </row>
    <row r="2041">
      <c r="A2041" s="6">
        <v>388.0</v>
      </c>
      <c r="B2041" s="76" t="str">
        <f>IFERROR(VLOOKUP($A2041,EVENTO!$A$2:$C$4999,2,FALSE),"")</f>
        <v>ADITIVO DE PRAZO</v>
      </c>
      <c r="C2041" s="76" t="str">
        <f>IFERROR(VLOOKUP($A2041,EVENTO!$A$2:$C$4999,3,FALSE),"")</f>
        <v>PREFEITURA MUNICIPAL DE ARACATI - SEINFRA</v>
      </c>
      <c r="D2041" s="78" t="s">
        <v>1458</v>
      </c>
      <c r="E2041" s="6" t="s">
        <v>1535</v>
      </c>
      <c r="F2041" s="78">
        <v>1.0</v>
      </c>
      <c r="G2041" s="79">
        <v>344.75</v>
      </c>
    </row>
    <row r="2042">
      <c r="A2042" s="6">
        <v>388.0</v>
      </c>
      <c r="B2042" s="76" t="str">
        <f>IFERROR(VLOOKUP($A2042,EVENTO!$A$2:$C$4999,2,FALSE),"")</f>
        <v>ADITIVO DE PRAZO</v>
      </c>
      <c r="C2042" s="76" t="str">
        <f>IFERROR(VLOOKUP($A2042,EVENTO!$A$2:$C$4999,3,FALSE),"")</f>
        <v>PREFEITURA MUNICIPAL DE ARACATI - SEINFRA</v>
      </c>
      <c r="D2042" s="78" t="s">
        <v>1456</v>
      </c>
      <c r="E2042" s="6" t="s">
        <v>1548</v>
      </c>
      <c r="F2042" s="78">
        <v>10.0</v>
      </c>
      <c r="G2042" s="79">
        <v>387.36</v>
      </c>
    </row>
    <row r="2043">
      <c r="A2043" s="6">
        <v>388.0</v>
      </c>
      <c r="B2043" s="76" t="str">
        <f>IFERROR(VLOOKUP($A2043,EVENTO!$A$2:$C$4999,2,FALSE),"")</f>
        <v>ADITIVO DE PRAZO</v>
      </c>
      <c r="C2043" s="76" t="str">
        <f>IFERROR(VLOOKUP($A2043,EVENTO!$A$2:$C$4999,3,FALSE),"")</f>
        <v>PREFEITURA MUNICIPAL DE ARACATI - SEINFRA</v>
      </c>
      <c r="D2043" s="78" t="s">
        <v>1549</v>
      </c>
      <c r="E2043" s="6" t="s">
        <v>1550</v>
      </c>
      <c r="F2043" s="78">
        <v>5.0</v>
      </c>
      <c r="G2043" s="79">
        <v>221.78</v>
      </c>
    </row>
    <row r="2044">
      <c r="A2044" s="6">
        <v>388.0</v>
      </c>
      <c r="B2044" s="76" t="str">
        <f>IFERROR(VLOOKUP($A2044,EVENTO!$A$2:$C$4999,2,FALSE),"")</f>
        <v>ADITIVO DE PRAZO</v>
      </c>
      <c r="C2044" s="76" t="str">
        <f>IFERROR(VLOOKUP($A2044,EVENTO!$A$2:$C$4999,3,FALSE),"")</f>
        <v>PREFEITURA MUNICIPAL DE ARACATI - SEINFRA</v>
      </c>
      <c r="D2044" s="78" t="s">
        <v>1553</v>
      </c>
      <c r="F2044" s="78">
        <v>3.0</v>
      </c>
      <c r="G2044" s="79">
        <v>286.34</v>
      </c>
    </row>
    <row r="2045">
      <c r="A2045" s="6">
        <v>388.0</v>
      </c>
      <c r="B2045" s="76" t="str">
        <f>IFERROR(VLOOKUP($A2045,EVENTO!$A$2:$C$4999,2,FALSE),"")</f>
        <v>ADITIVO DE PRAZO</v>
      </c>
      <c r="C2045" s="76" t="str">
        <f>IFERROR(VLOOKUP($A2045,EVENTO!$A$2:$C$4999,3,FALSE),"")</f>
        <v>PREFEITURA MUNICIPAL DE ARACATI - SEINFRA</v>
      </c>
      <c r="D2045" s="78" t="s">
        <v>1487</v>
      </c>
      <c r="F2045" s="78">
        <v>1.0</v>
      </c>
      <c r="G2045" s="79">
        <v>234.7</v>
      </c>
    </row>
    <row r="2046">
      <c r="A2046" s="6">
        <v>388.0</v>
      </c>
      <c r="B2046" s="76" t="str">
        <f>IFERROR(VLOOKUP($A2046,EVENTO!$A$2:$C$4999,2,FALSE),"")</f>
        <v>ADITIVO DE PRAZO</v>
      </c>
      <c r="C2046" s="76" t="str">
        <f>IFERROR(VLOOKUP($A2046,EVENTO!$A$2:$C$4999,3,FALSE),"")</f>
        <v>PREFEITURA MUNICIPAL DE ARACATI - SEINFRA</v>
      </c>
      <c r="D2046" s="85" t="s">
        <v>1556</v>
      </c>
      <c r="E2046" s="86"/>
      <c r="F2046" s="78">
        <v>3.0</v>
      </c>
      <c r="G2046" s="79">
        <v>148.11</v>
      </c>
    </row>
    <row r="2047">
      <c r="A2047" s="6">
        <v>388.0</v>
      </c>
      <c r="B2047" s="76" t="str">
        <f>IFERROR(VLOOKUP($A2047,EVENTO!$A$2:$C$4999,2,FALSE),"")</f>
        <v>ADITIVO DE PRAZO</v>
      </c>
      <c r="C2047" s="76" t="str">
        <f>IFERROR(VLOOKUP($A2047,EVENTO!$A$2:$C$4999,3,FALSE),"")</f>
        <v>PREFEITURA MUNICIPAL DE ARACATI - SEINFRA</v>
      </c>
      <c r="D2047" s="81" t="s">
        <v>1728</v>
      </c>
      <c r="F2047" s="78">
        <v>1.0</v>
      </c>
      <c r="G2047" s="79">
        <v>1239.56</v>
      </c>
    </row>
    <row r="2048">
      <c r="A2048" s="6">
        <v>388.0</v>
      </c>
      <c r="B2048" s="76" t="str">
        <f>IFERROR(VLOOKUP($A2048,EVENTO!$A$2:$C$4999,2,FALSE),"")</f>
        <v>ADITIVO DE PRAZO</v>
      </c>
      <c r="C2048" s="76" t="str">
        <f>IFERROR(VLOOKUP($A2048,EVENTO!$A$2:$C$4999,3,FALSE),"")</f>
        <v>PREFEITURA MUNICIPAL DE ARACATI - SEINFRA</v>
      </c>
      <c r="D2048" s="100" t="s">
        <v>1580</v>
      </c>
      <c r="E2048" s="4"/>
      <c r="F2048" s="78">
        <v>1.0</v>
      </c>
      <c r="G2048" s="92">
        <v>193.47</v>
      </c>
    </row>
    <row r="2049">
      <c r="A2049" s="6">
        <v>388.0</v>
      </c>
      <c r="B2049" s="76" t="str">
        <f>IFERROR(VLOOKUP($A2049,EVENTO!$A$2:$C$4999,2,FALSE),"")</f>
        <v>ADITIVO DE PRAZO</v>
      </c>
      <c r="C2049" s="76" t="str">
        <f>IFERROR(VLOOKUP($A2049,EVENTO!$A$2:$C$4999,3,FALSE),"")</f>
        <v>PREFEITURA MUNICIPAL DE ARACATI - SEINFRA</v>
      </c>
      <c r="D2049" s="100" t="s">
        <v>1560</v>
      </c>
      <c r="E2049" s="4"/>
      <c r="F2049" s="78">
        <v>3.0</v>
      </c>
      <c r="G2049" s="92">
        <v>50.3</v>
      </c>
    </row>
    <row r="2050">
      <c r="A2050" s="6">
        <v>388.0</v>
      </c>
      <c r="B2050" s="76" t="str">
        <f>IFERROR(VLOOKUP($A2050,EVENTO!$A$2:$C$4999,2,FALSE),"")</f>
        <v>ADITIVO DE PRAZO</v>
      </c>
      <c r="C2050" s="76" t="str">
        <f>IFERROR(VLOOKUP($A2050,EVENTO!$A$2:$C$4999,3,FALSE),"")</f>
        <v>PREFEITURA MUNICIPAL DE ARACATI - SEINFRA</v>
      </c>
      <c r="D2050" s="100" t="s">
        <v>1575</v>
      </c>
      <c r="E2050" s="4"/>
      <c r="F2050" s="78">
        <v>2.0</v>
      </c>
      <c r="G2050" s="92">
        <v>13.42</v>
      </c>
    </row>
    <row r="2051">
      <c r="A2051" s="6">
        <v>388.0</v>
      </c>
      <c r="B2051" s="76" t="str">
        <f>IFERROR(VLOOKUP($A2051,EVENTO!$A$2:$C$4999,2,FALSE),"")</f>
        <v>ADITIVO DE PRAZO</v>
      </c>
      <c r="C2051" s="76" t="str">
        <f>IFERROR(VLOOKUP($A2051,EVENTO!$A$2:$C$4999,3,FALSE),"")</f>
        <v>PREFEITURA MUNICIPAL DE ARACATI - SEINFRA</v>
      </c>
      <c r="D2051" s="100" t="s">
        <v>1557</v>
      </c>
      <c r="E2051" s="4"/>
      <c r="F2051" s="78">
        <v>3.0</v>
      </c>
      <c r="G2051" s="92">
        <v>91.18</v>
      </c>
    </row>
    <row r="2052">
      <c r="A2052" s="6">
        <v>389.0</v>
      </c>
      <c r="B2052" s="76" t="str">
        <f>IFERROR(VLOOKUP($A2052,EVENTO!$A$2:$C$4999,2,FALSE),"")</f>
        <v>CADASTRO</v>
      </c>
      <c r="C2052" s="76" t="str">
        <f>IFERROR(VLOOKUP($A2052,EVENTO!$A$2:$C$4999,3,FALSE),"")</f>
        <v>PREFEITURA MUNICIPAL DE ARACATI - TURISMO E CULTURA</v>
      </c>
      <c r="D2052" s="78" t="s">
        <v>1544</v>
      </c>
      <c r="E2052" s="6" t="s">
        <v>1545</v>
      </c>
      <c r="F2052" s="78">
        <v>2.0</v>
      </c>
      <c r="G2052" s="79">
        <v>534.71</v>
      </c>
    </row>
    <row r="2053">
      <c r="A2053" s="6">
        <v>389.0</v>
      </c>
      <c r="B2053" s="76" t="str">
        <f>IFERROR(VLOOKUP($A2053,EVENTO!$A$2:$C$4999,2,FALSE),"")</f>
        <v>CADASTRO</v>
      </c>
      <c r="C2053" s="76" t="str">
        <f>IFERROR(VLOOKUP($A2053,EVENTO!$A$2:$C$4999,3,FALSE),"")</f>
        <v>PREFEITURA MUNICIPAL DE ARACATI - TURISMO E CULTURA</v>
      </c>
      <c r="D2053" s="78" t="s">
        <v>1458</v>
      </c>
      <c r="E2053" s="6" t="s">
        <v>1535</v>
      </c>
      <c r="F2053" s="78">
        <v>2.0</v>
      </c>
      <c r="G2053" s="79">
        <v>344.75</v>
      </c>
    </row>
    <row r="2054">
      <c r="A2054" s="6">
        <v>389.0</v>
      </c>
      <c r="B2054" s="76" t="str">
        <f>IFERROR(VLOOKUP($A2054,EVENTO!$A$2:$C$4999,2,FALSE),"")</f>
        <v>CADASTRO</v>
      </c>
      <c r="C2054" s="76" t="str">
        <f>IFERROR(VLOOKUP($A2054,EVENTO!$A$2:$C$4999,3,FALSE),"")</f>
        <v>PREFEITURA MUNICIPAL DE ARACATI - TURISMO E CULTURA</v>
      </c>
      <c r="D2054" s="78" t="s">
        <v>1546</v>
      </c>
      <c r="E2054" s="6" t="s">
        <v>1547</v>
      </c>
      <c r="F2054" s="78">
        <v>2.0</v>
      </c>
      <c r="G2054" s="79">
        <v>270.39</v>
      </c>
    </row>
    <row r="2055">
      <c r="A2055" s="6">
        <v>389.0</v>
      </c>
      <c r="B2055" s="76" t="str">
        <f>IFERROR(VLOOKUP($A2055,EVENTO!$A$2:$C$4999,2,FALSE),"")</f>
        <v>CADASTRO</v>
      </c>
      <c r="C2055" s="76" t="str">
        <f>IFERROR(VLOOKUP($A2055,EVENTO!$A$2:$C$4999,3,FALSE),"")</f>
        <v>PREFEITURA MUNICIPAL DE ARACATI - TURISMO E CULTURA</v>
      </c>
      <c r="D2055" s="78" t="s">
        <v>1456</v>
      </c>
      <c r="E2055" s="6" t="s">
        <v>1548</v>
      </c>
      <c r="F2055" s="78">
        <v>5.0</v>
      </c>
      <c r="G2055" s="79">
        <v>387.36</v>
      </c>
    </row>
    <row r="2056">
      <c r="A2056" s="6">
        <v>389.0</v>
      </c>
      <c r="B2056" s="76" t="str">
        <f>IFERROR(VLOOKUP($A2056,EVENTO!$A$2:$C$4999,2,FALSE),"")</f>
        <v>CADASTRO</v>
      </c>
      <c r="C2056" s="76" t="str">
        <f>IFERROR(VLOOKUP($A2056,EVENTO!$A$2:$C$4999,3,FALSE),"")</f>
        <v>PREFEITURA MUNICIPAL DE ARACATI - TURISMO E CULTURA</v>
      </c>
      <c r="D2056" s="78" t="s">
        <v>1549</v>
      </c>
      <c r="E2056" s="6" t="s">
        <v>1550</v>
      </c>
      <c r="F2056" s="78">
        <v>5.0</v>
      </c>
      <c r="G2056" s="79">
        <v>221.78</v>
      </c>
    </row>
    <row r="2057">
      <c r="A2057" s="6">
        <v>389.0</v>
      </c>
      <c r="B2057" s="76" t="str">
        <f>IFERROR(VLOOKUP($A2057,EVENTO!$A$2:$C$4999,2,FALSE),"")</f>
        <v>CADASTRO</v>
      </c>
      <c r="C2057" s="76" t="str">
        <f>IFERROR(VLOOKUP($A2057,EVENTO!$A$2:$C$4999,3,FALSE),"")</f>
        <v>PREFEITURA MUNICIPAL DE ARACATI - TURISMO E CULTURA</v>
      </c>
      <c r="D2057" s="78" t="s">
        <v>1551</v>
      </c>
      <c r="E2057" s="6" t="s">
        <v>1552</v>
      </c>
      <c r="F2057" s="78">
        <v>5.0</v>
      </c>
      <c r="G2057" s="79">
        <v>173.93</v>
      </c>
    </row>
    <row r="2058">
      <c r="A2058" s="6">
        <v>389.0</v>
      </c>
      <c r="B2058" s="76" t="str">
        <f>IFERROR(VLOOKUP($A2058,EVENTO!$A$2:$C$4999,2,FALSE),"")</f>
        <v>CADASTRO</v>
      </c>
      <c r="C2058" s="76" t="str">
        <f>IFERROR(VLOOKUP($A2058,EVENTO!$A$2:$C$4999,3,FALSE),"")</f>
        <v>PREFEITURA MUNICIPAL DE ARACATI - TURISMO E CULTURA</v>
      </c>
      <c r="D2058" s="78" t="s">
        <v>1553</v>
      </c>
      <c r="F2058" s="78">
        <v>4.0</v>
      </c>
      <c r="G2058" s="79">
        <v>286.34</v>
      </c>
    </row>
    <row r="2059">
      <c r="A2059" s="6">
        <v>389.0</v>
      </c>
      <c r="B2059" s="76" t="str">
        <f>IFERROR(VLOOKUP($A2059,EVENTO!$A$2:$C$4999,2,FALSE),"")</f>
        <v>CADASTRO</v>
      </c>
      <c r="C2059" s="76" t="str">
        <f>IFERROR(VLOOKUP($A2059,EVENTO!$A$2:$C$4999,3,FALSE),"")</f>
        <v>PREFEITURA MUNICIPAL DE ARACATI - TURISMO E CULTURA</v>
      </c>
      <c r="D2059" s="78" t="s">
        <v>1487</v>
      </c>
      <c r="F2059" s="78">
        <v>1.0</v>
      </c>
      <c r="G2059" s="79">
        <v>234.7</v>
      </c>
    </row>
    <row r="2060">
      <c r="A2060" s="6">
        <v>389.0</v>
      </c>
      <c r="B2060" s="76" t="str">
        <f>IFERROR(VLOOKUP($A2060,EVENTO!$A$2:$C$4999,2,FALSE),"")</f>
        <v>CADASTRO</v>
      </c>
      <c r="C2060" s="76" t="str">
        <f>IFERROR(VLOOKUP($A2060,EVENTO!$A$2:$C$4999,3,FALSE),"")</f>
        <v>PREFEITURA MUNICIPAL DE ARACATI - TURISMO E CULTURA</v>
      </c>
      <c r="D2060" s="100" t="s">
        <v>1580</v>
      </c>
      <c r="E2060" s="4"/>
      <c r="F2060" s="78">
        <v>2.0</v>
      </c>
      <c r="G2060" s="92">
        <v>193.47</v>
      </c>
    </row>
    <row r="2061">
      <c r="A2061" s="6">
        <v>389.0</v>
      </c>
      <c r="B2061" s="76" t="str">
        <f>IFERROR(VLOOKUP($A2061,EVENTO!$A$2:$C$4999,2,FALSE),"")</f>
        <v>CADASTRO</v>
      </c>
      <c r="C2061" s="76" t="str">
        <f>IFERROR(VLOOKUP($A2061,EVENTO!$A$2:$C$4999,3,FALSE),"")</f>
        <v>PREFEITURA MUNICIPAL DE ARACATI - TURISMO E CULTURA</v>
      </c>
      <c r="D2061" s="100" t="s">
        <v>1560</v>
      </c>
      <c r="E2061" s="4"/>
      <c r="F2061" s="78">
        <v>1.0</v>
      </c>
      <c r="G2061" s="92">
        <v>50.3</v>
      </c>
    </row>
    <row r="2062">
      <c r="A2062" s="6">
        <v>389.0</v>
      </c>
      <c r="B2062" s="76" t="str">
        <f>IFERROR(VLOOKUP($A2062,EVENTO!$A$2:$C$4999,2,FALSE),"")</f>
        <v>CADASTRO</v>
      </c>
      <c r="C2062" s="76" t="str">
        <f>IFERROR(VLOOKUP($A2062,EVENTO!$A$2:$C$4999,3,FALSE),"")</f>
        <v>PREFEITURA MUNICIPAL DE ARACATI - TURISMO E CULTURA</v>
      </c>
      <c r="D2062" s="100" t="s">
        <v>1575</v>
      </c>
      <c r="E2062" s="4"/>
      <c r="F2062" s="78">
        <v>2.0</v>
      </c>
      <c r="G2062" s="92">
        <v>13.42</v>
      </c>
    </row>
    <row r="2063">
      <c r="A2063" s="6">
        <v>389.0</v>
      </c>
      <c r="B2063" s="76" t="str">
        <f>IFERROR(VLOOKUP($A2063,EVENTO!$A$2:$C$4999,2,FALSE),"")</f>
        <v>CADASTRO</v>
      </c>
      <c r="C2063" s="76" t="str">
        <f>IFERROR(VLOOKUP($A2063,EVENTO!$A$2:$C$4999,3,FALSE),"")</f>
        <v>PREFEITURA MUNICIPAL DE ARACATI - TURISMO E CULTURA</v>
      </c>
      <c r="D2063" s="100" t="s">
        <v>1557</v>
      </c>
      <c r="E2063" s="4"/>
      <c r="F2063" s="78">
        <v>5.0</v>
      </c>
      <c r="G2063" s="92">
        <v>91.18</v>
      </c>
    </row>
    <row r="2064">
      <c r="A2064" s="6">
        <v>389.0</v>
      </c>
      <c r="B2064" s="76" t="str">
        <f>IFERROR(VLOOKUP($A2064,EVENTO!$A$2:$C$4999,2,FALSE),"")</f>
        <v>CADASTRO</v>
      </c>
      <c r="C2064" s="76" t="str">
        <f>IFERROR(VLOOKUP($A2064,EVENTO!$A$2:$C$4999,3,FALSE),"")</f>
        <v>PREFEITURA MUNICIPAL DE ARACATI - TURISMO E CULTURA</v>
      </c>
      <c r="D2064" s="87" t="s">
        <v>1644</v>
      </c>
      <c r="E2064" s="4"/>
      <c r="F2064" s="78">
        <v>4.0</v>
      </c>
      <c r="G2064" s="93">
        <v>41.95</v>
      </c>
    </row>
    <row r="2065">
      <c r="A2065" s="6">
        <v>390.0</v>
      </c>
      <c r="B2065" s="76" t="str">
        <f>IFERROR(VLOOKUP($A2065,EVENTO!$A$2:$C$4999,2,FALSE),"")</f>
        <v>ADITIVO DE PRAZO</v>
      </c>
      <c r="C2065" s="76" t="str">
        <f>IFERROR(VLOOKUP($A2065,EVENTO!$A$2:$C$4999,3,FALSE),"")</f>
        <v>PREFEITURA MUNICIPAL DE ARACATI - TURISMO E CULTURA</v>
      </c>
      <c r="D2065" s="78" t="s">
        <v>1544</v>
      </c>
      <c r="E2065" s="6" t="s">
        <v>1545</v>
      </c>
      <c r="F2065" s="78">
        <v>2.0</v>
      </c>
      <c r="G2065" s="79">
        <v>534.71</v>
      </c>
    </row>
    <row r="2066">
      <c r="A2066" s="6">
        <v>390.0</v>
      </c>
      <c r="B2066" s="76" t="str">
        <f>IFERROR(VLOOKUP($A2066,EVENTO!$A$2:$C$4999,2,FALSE),"")</f>
        <v>ADITIVO DE PRAZO</v>
      </c>
      <c r="C2066" s="76" t="str">
        <f>IFERROR(VLOOKUP($A2066,EVENTO!$A$2:$C$4999,3,FALSE),"")</f>
        <v>PREFEITURA MUNICIPAL DE ARACATI - TURISMO E CULTURA</v>
      </c>
      <c r="D2066" s="78" t="s">
        <v>1458</v>
      </c>
      <c r="E2066" s="6" t="s">
        <v>1535</v>
      </c>
      <c r="F2066" s="78">
        <v>2.0</v>
      </c>
      <c r="G2066" s="79">
        <v>344.75</v>
      </c>
    </row>
    <row r="2067">
      <c r="A2067" s="6">
        <v>390.0</v>
      </c>
      <c r="B2067" s="76" t="str">
        <f>IFERROR(VLOOKUP($A2067,EVENTO!$A$2:$C$4999,2,FALSE),"")</f>
        <v>ADITIVO DE PRAZO</v>
      </c>
      <c r="C2067" s="76" t="str">
        <f>IFERROR(VLOOKUP($A2067,EVENTO!$A$2:$C$4999,3,FALSE),"")</f>
        <v>PREFEITURA MUNICIPAL DE ARACATI - TURISMO E CULTURA</v>
      </c>
      <c r="D2067" s="78" t="s">
        <v>1546</v>
      </c>
      <c r="E2067" s="6" t="s">
        <v>1547</v>
      </c>
      <c r="F2067" s="78">
        <v>2.0</v>
      </c>
      <c r="G2067" s="79">
        <v>270.39</v>
      </c>
    </row>
    <row r="2068">
      <c r="A2068" s="6">
        <v>390.0</v>
      </c>
      <c r="B2068" s="76" t="str">
        <f>IFERROR(VLOOKUP($A2068,EVENTO!$A$2:$C$4999,2,FALSE),"")</f>
        <v>ADITIVO DE PRAZO</v>
      </c>
      <c r="C2068" s="76" t="str">
        <f>IFERROR(VLOOKUP($A2068,EVENTO!$A$2:$C$4999,3,FALSE),"")</f>
        <v>PREFEITURA MUNICIPAL DE ARACATI - TURISMO E CULTURA</v>
      </c>
      <c r="D2068" s="78" t="s">
        <v>1456</v>
      </c>
      <c r="E2068" s="6" t="s">
        <v>1548</v>
      </c>
      <c r="F2068" s="78">
        <v>5.0</v>
      </c>
      <c r="G2068" s="79">
        <v>387.36</v>
      </c>
    </row>
    <row r="2069">
      <c r="A2069" s="6">
        <v>390.0</v>
      </c>
      <c r="B2069" s="76" t="str">
        <f>IFERROR(VLOOKUP($A2069,EVENTO!$A$2:$C$4999,2,FALSE),"")</f>
        <v>ADITIVO DE PRAZO</v>
      </c>
      <c r="C2069" s="76" t="str">
        <f>IFERROR(VLOOKUP($A2069,EVENTO!$A$2:$C$4999,3,FALSE),"")</f>
        <v>PREFEITURA MUNICIPAL DE ARACATI - TURISMO E CULTURA</v>
      </c>
      <c r="D2069" s="78" t="s">
        <v>1549</v>
      </c>
      <c r="E2069" s="6" t="s">
        <v>1550</v>
      </c>
      <c r="F2069" s="78">
        <v>5.0</v>
      </c>
      <c r="G2069" s="79">
        <v>221.78</v>
      </c>
    </row>
    <row r="2070">
      <c r="A2070" s="6">
        <v>390.0</v>
      </c>
      <c r="B2070" s="76" t="str">
        <f>IFERROR(VLOOKUP($A2070,EVENTO!$A$2:$C$4999,2,FALSE),"")</f>
        <v>ADITIVO DE PRAZO</v>
      </c>
      <c r="C2070" s="76" t="str">
        <f>IFERROR(VLOOKUP($A2070,EVENTO!$A$2:$C$4999,3,FALSE),"")</f>
        <v>PREFEITURA MUNICIPAL DE ARACATI - TURISMO E CULTURA</v>
      </c>
      <c r="D2070" s="78" t="s">
        <v>1551</v>
      </c>
      <c r="E2070" s="6" t="s">
        <v>1552</v>
      </c>
      <c r="F2070" s="78">
        <v>5.0</v>
      </c>
      <c r="G2070" s="79">
        <v>173.93</v>
      </c>
    </row>
    <row r="2071">
      <c r="A2071" s="6">
        <v>390.0</v>
      </c>
      <c r="B2071" s="76" t="str">
        <f>IFERROR(VLOOKUP($A2071,EVENTO!$A$2:$C$4999,2,FALSE),"")</f>
        <v>ADITIVO DE PRAZO</v>
      </c>
      <c r="C2071" s="76" t="str">
        <f>IFERROR(VLOOKUP($A2071,EVENTO!$A$2:$C$4999,3,FALSE),"")</f>
        <v>PREFEITURA MUNICIPAL DE ARACATI - TURISMO E CULTURA</v>
      </c>
      <c r="D2071" s="78" t="s">
        <v>1553</v>
      </c>
      <c r="F2071" s="78">
        <v>4.0</v>
      </c>
      <c r="G2071" s="79">
        <v>286.34</v>
      </c>
    </row>
    <row r="2072">
      <c r="A2072" s="6">
        <v>390.0</v>
      </c>
      <c r="B2072" s="76" t="str">
        <f>IFERROR(VLOOKUP($A2072,EVENTO!$A$2:$C$4999,2,FALSE),"")</f>
        <v>ADITIVO DE PRAZO</v>
      </c>
      <c r="C2072" s="76" t="str">
        <f>IFERROR(VLOOKUP($A2072,EVENTO!$A$2:$C$4999,3,FALSE),"")</f>
        <v>PREFEITURA MUNICIPAL DE ARACATI - TURISMO E CULTURA</v>
      </c>
      <c r="D2072" s="78" t="s">
        <v>1487</v>
      </c>
      <c r="F2072" s="78">
        <v>1.0</v>
      </c>
      <c r="G2072" s="79">
        <v>234.7</v>
      </c>
    </row>
    <row r="2073">
      <c r="A2073" s="6">
        <v>390.0</v>
      </c>
      <c r="B2073" s="76" t="str">
        <f>IFERROR(VLOOKUP($A2073,EVENTO!$A$2:$C$4999,2,FALSE),"")</f>
        <v>ADITIVO DE PRAZO</v>
      </c>
      <c r="C2073" s="76" t="str">
        <f>IFERROR(VLOOKUP($A2073,EVENTO!$A$2:$C$4999,3,FALSE),"")</f>
        <v>PREFEITURA MUNICIPAL DE ARACATI - TURISMO E CULTURA</v>
      </c>
      <c r="D2073" s="100" t="s">
        <v>1580</v>
      </c>
      <c r="E2073" s="4"/>
      <c r="F2073" s="78">
        <v>2.0</v>
      </c>
      <c r="G2073" s="92">
        <v>193.47</v>
      </c>
    </row>
    <row r="2074">
      <c r="A2074" s="6">
        <v>390.0</v>
      </c>
      <c r="B2074" s="76" t="str">
        <f>IFERROR(VLOOKUP($A2074,EVENTO!$A$2:$C$4999,2,FALSE),"")</f>
        <v>ADITIVO DE PRAZO</v>
      </c>
      <c r="C2074" s="76" t="str">
        <f>IFERROR(VLOOKUP($A2074,EVENTO!$A$2:$C$4999,3,FALSE),"")</f>
        <v>PREFEITURA MUNICIPAL DE ARACATI - TURISMO E CULTURA</v>
      </c>
      <c r="D2074" s="100" t="s">
        <v>1560</v>
      </c>
      <c r="E2074" s="4"/>
      <c r="F2074" s="78">
        <v>1.0</v>
      </c>
      <c r="G2074" s="92">
        <v>50.3</v>
      </c>
    </row>
    <row r="2075">
      <c r="A2075" s="6">
        <v>390.0</v>
      </c>
      <c r="B2075" s="76" t="str">
        <f>IFERROR(VLOOKUP($A2075,EVENTO!$A$2:$C$4999,2,FALSE),"")</f>
        <v>ADITIVO DE PRAZO</v>
      </c>
      <c r="C2075" s="76" t="str">
        <f>IFERROR(VLOOKUP($A2075,EVENTO!$A$2:$C$4999,3,FALSE),"")</f>
        <v>PREFEITURA MUNICIPAL DE ARACATI - TURISMO E CULTURA</v>
      </c>
      <c r="D2075" s="100" t="s">
        <v>1575</v>
      </c>
      <c r="E2075" s="4"/>
      <c r="F2075" s="78">
        <v>2.0</v>
      </c>
      <c r="G2075" s="92">
        <v>13.42</v>
      </c>
    </row>
    <row r="2076">
      <c r="A2076" s="6">
        <v>390.0</v>
      </c>
      <c r="B2076" s="76" t="str">
        <f>IFERROR(VLOOKUP($A2076,EVENTO!$A$2:$C$4999,2,FALSE),"")</f>
        <v>ADITIVO DE PRAZO</v>
      </c>
      <c r="C2076" s="76" t="str">
        <f>IFERROR(VLOOKUP($A2076,EVENTO!$A$2:$C$4999,3,FALSE),"")</f>
        <v>PREFEITURA MUNICIPAL DE ARACATI - TURISMO E CULTURA</v>
      </c>
      <c r="D2076" s="100" t="s">
        <v>1557</v>
      </c>
      <c r="E2076" s="4"/>
      <c r="F2076" s="78">
        <v>5.0</v>
      </c>
      <c r="G2076" s="92">
        <v>91.18</v>
      </c>
    </row>
    <row r="2077">
      <c r="A2077" s="6">
        <v>390.0</v>
      </c>
      <c r="B2077" s="76" t="str">
        <f>IFERROR(VLOOKUP($A2077,EVENTO!$A$2:$C$4999,2,FALSE),"")</f>
        <v>ADITIVO DE PRAZO</v>
      </c>
      <c r="C2077" s="76" t="str">
        <f>IFERROR(VLOOKUP($A2077,EVENTO!$A$2:$C$4999,3,FALSE),"")</f>
        <v>PREFEITURA MUNICIPAL DE ARACATI - TURISMO E CULTURA</v>
      </c>
      <c r="D2077" s="87" t="s">
        <v>1644</v>
      </c>
      <c r="E2077" s="4"/>
      <c r="F2077" s="78">
        <v>4.0</v>
      </c>
      <c r="G2077" s="93">
        <v>41.95</v>
      </c>
    </row>
    <row r="2078">
      <c r="A2078" s="6">
        <v>391.0</v>
      </c>
      <c r="B2078" s="76" t="str">
        <f>IFERROR(VLOOKUP($A2078,EVENTO!$A$2:$C$4999,2,FALSE),"")</f>
        <v>ADITIVO DE PRAZO</v>
      </c>
      <c r="C2078" s="76" t="str">
        <f>IFERROR(VLOOKUP($A2078,EVENTO!$A$2:$C$4999,3,FALSE),"")</f>
        <v>PREFEITURA MUNICIPAL DE ARACATI - TURISMO E CULTURA</v>
      </c>
      <c r="D2078" s="78" t="s">
        <v>1544</v>
      </c>
      <c r="E2078" s="6" t="s">
        <v>1545</v>
      </c>
      <c r="F2078" s="78">
        <v>2.0</v>
      </c>
      <c r="G2078" s="79">
        <v>534.71</v>
      </c>
    </row>
    <row r="2079">
      <c r="A2079" s="6">
        <v>391.0</v>
      </c>
      <c r="B2079" s="76" t="str">
        <f>IFERROR(VLOOKUP($A2079,EVENTO!$A$2:$C$4999,2,FALSE),"")</f>
        <v>ADITIVO DE PRAZO</v>
      </c>
      <c r="C2079" s="76" t="str">
        <f>IFERROR(VLOOKUP($A2079,EVENTO!$A$2:$C$4999,3,FALSE),"")</f>
        <v>PREFEITURA MUNICIPAL DE ARACATI - TURISMO E CULTURA</v>
      </c>
      <c r="D2079" s="78" t="s">
        <v>1458</v>
      </c>
      <c r="E2079" s="6" t="s">
        <v>1535</v>
      </c>
      <c r="F2079" s="78">
        <v>2.0</v>
      </c>
      <c r="G2079" s="79">
        <v>344.75</v>
      </c>
    </row>
    <row r="2080">
      <c r="A2080" s="6">
        <v>391.0</v>
      </c>
      <c r="B2080" s="76" t="str">
        <f>IFERROR(VLOOKUP($A2080,EVENTO!$A$2:$C$4999,2,FALSE),"")</f>
        <v>ADITIVO DE PRAZO</v>
      </c>
      <c r="C2080" s="76" t="str">
        <f>IFERROR(VLOOKUP($A2080,EVENTO!$A$2:$C$4999,3,FALSE),"")</f>
        <v>PREFEITURA MUNICIPAL DE ARACATI - TURISMO E CULTURA</v>
      </c>
      <c r="D2080" s="78" t="s">
        <v>1546</v>
      </c>
      <c r="E2080" s="6" t="s">
        <v>1547</v>
      </c>
      <c r="F2080" s="78">
        <v>2.0</v>
      </c>
      <c r="G2080" s="79">
        <v>270.39</v>
      </c>
    </row>
    <row r="2081">
      <c r="A2081" s="6">
        <v>391.0</v>
      </c>
      <c r="B2081" s="76" t="str">
        <f>IFERROR(VLOOKUP($A2081,EVENTO!$A$2:$C$4999,2,FALSE),"")</f>
        <v>ADITIVO DE PRAZO</v>
      </c>
      <c r="C2081" s="76" t="str">
        <f>IFERROR(VLOOKUP($A2081,EVENTO!$A$2:$C$4999,3,FALSE),"")</f>
        <v>PREFEITURA MUNICIPAL DE ARACATI - TURISMO E CULTURA</v>
      </c>
      <c r="D2081" s="78" t="s">
        <v>1456</v>
      </c>
      <c r="E2081" s="6" t="s">
        <v>1548</v>
      </c>
      <c r="F2081" s="78">
        <v>5.0</v>
      </c>
      <c r="G2081" s="79">
        <v>387.36</v>
      </c>
    </row>
    <row r="2082">
      <c r="A2082" s="6">
        <v>391.0</v>
      </c>
      <c r="B2082" s="76" t="str">
        <f>IFERROR(VLOOKUP($A2082,EVENTO!$A$2:$C$4999,2,FALSE),"")</f>
        <v>ADITIVO DE PRAZO</v>
      </c>
      <c r="C2082" s="76" t="str">
        <f>IFERROR(VLOOKUP($A2082,EVENTO!$A$2:$C$4999,3,FALSE),"")</f>
        <v>PREFEITURA MUNICIPAL DE ARACATI - TURISMO E CULTURA</v>
      </c>
      <c r="D2082" s="78" t="s">
        <v>1549</v>
      </c>
      <c r="E2082" s="6" t="s">
        <v>1550</v>
      </c>
      <c r="F2082" s="78">
        <v>5.0</v>
      </c>
      <c r="G2082" s="79">
        <v>221.78</v>
      </c>
    </row>
    <row r="2083">
      <c r="A2083" s="6">
        <v>391.0</v>
      </c>
      <c r="B2083" s="76" t="str">
        <f>IFERROR(VLOOKUP($A2083,EVENTO!$A$2:$C$4999,2,FALSE),"")</f>
        <v>ADITIVO DE PRAZO</v>
      </c>
      <c r="C2083" s="76" t="str">
        <f>IFERROR(VLOOKUP($A2083,EVENTO!$A$2:$C$4999,3,FALSE),"")</f>
        <v>PREFEITURA MUNICIPAL DE ARACATI - TURISMO E CULTURA</v>
      </c>
      <c r="D2083" s="78" t="s">
        <v>1551</v>
      </c>
      <c r="E2083" s="6" t="s">
        <v>1552</v>
      </c>
      <c r="F2083" s="78">
        <v>5.0</v>
      </c>
      <c r="G2083" s="79">
        <v>173.93</v>
      </c>
    </row>
    <row r="2084">
      <c r="A2084" s="6">
        <v>391.0</v>
      </c>
      <c r="B2084" s="76" t="str">
        <f>IFERROR(VLOOKUP($A2084,EVENTO!$A$2:$C$4999,2,FALSE),"")</f>
        <v>ADITIVO DE PRAZO</v>
      </c>
      <c r="C2084" s="76" t="str">
        <f>IFERROR(VLOOKUP($A2084,EVENTO!$A$2:$C$4999,3,FALSE),"")</f>
        <v>PREFEITURA MUNICIPAL DE ARACATI - TURISMO E CULTURA</v>
      </c>
      <c r="D2084" s="78" t="s">
        <v>1553</v>
      </c>
      <c r="F2084" s="78">
        <v>4.0</v>
      </c>
      <c r="G2084" s="79">
        <v>286.34</v>
      </c>
    </row>
    <row r="2085">
      <c r="A2085" s="6">
        <v>391.0</v>
      </c>
      <c r="B2085" s="76" t="str">
        <f>IFERROR(VLOOKUP($A2085,EVENTO!$A$2:$C$4999,2,FALSE),"")</f>
        <v>ADITIVO DE PRAZO</v>
      </c>
      <c r="C2085" s="76" t="str">
        <f>IFERROR(VLOOKUP($A2085,EVENTO!$A$2:$C$4999,3,FALSE),"")</f>
        <v>PREFEITURA MUNICIPAL DE ARACATI - TURISMO E CULTURA</v>
      </c>
      <c r="D2085" s="78" t="s">
        <v>1487</v>
      </c>
      <c r="F2085" s="78">
        <v>1.0</v>
      </c>
      <c r="G2085" s="79">
        <v>234.7</v>
      </c>
    </row>
    <row r="2086">
      <c r="A2086" s="6">
        <v>391.0</v>
      </c>
      <c r="B2086" s="76" t="str">
        <f>IFERROR(VLOOKUP($A2086,EVENTO!$A$2:$C$4999,2,FALSE),"")</f>
        <v>ADITIVO DE PRAZO</v>
      </c>
      <c r="C2086" s="76" t="str">
        <f>IFERROR(VLOOKUP($A2086,EVENTO!$A$2:$C$4999,3,FALSE),"")</f>
        <v>PREFEITURA MUNICIPAL DE ARACATI - TURISMO E CULTURA</v>
      </c>
      <c r="D2086" s="100" t="s">
        <v>1580</v>
      </c>
      <c r="E2086" s="4"/>
      <c r="F2086" s="78">
        <v>2.0</v>
      </c>
      <c r="G2086" s="92">
        <v>193.47</v>
      </c>
    </row>
    <row r="2087">
      <c r="A2087" s="6">
        <v>391.0</v>
      </c>
      <c r="B2087" s="76" t="str">
        <f>IFERROR(VLOOKUP($A2087,EVENTO!$A$2:$C$4999,2,FALSE),"")</f>
        <v>ADITIVO DE PRAZO</v>
      </c>
      <c r="C2087" s="76" t="str">
        <f>IFERROR(VLOOKUP($A2087,EVENTO!$A$2:$C$4999,3,FALSE),"")</f>
        <v>PREFEITURA MUNICIPAL DE ARACATI - TURISMO E CULTURA</v>
      </c>
      <c r="D2087" s="100" t="s">
        <v>1560</v>
      </c>
      <c r="E2087" s="4"/>
      <c r="F2087" s="78">
        <v>1.0</v>
      </c>
      <c r="G2087" s="92">
        <v>50.3</v>
      </c>
    </row>
    <row r="2088">
      <c r="A2088" s="6">
        <v>391.0</v>
      </c>
      <c r="B2088" s="76" t="str">
        <f>IFERROR(VLOOKUP($A2088,EVENTO!$A$2:$C$4999,2,FALSE),"")</f>
        <v>ADITIVO DE PRAZO</v>
      </c>
      <c r="C2088" s="76" t="str">
        <f>IFERROR(VLOOKUP($A2088,EVENTO!$A$2:$C$4999,3,FALSE),"")</f>
        <v>PREFEITURA MUNICIPAL DE ARACATI - TURISMO E CULTURA</v>
      </c>
      <c r="D2088" s="100" t="s">
        <v>1575</v>
      </c>
      <c r="E2088" s="4"/>
      <c r="F2088" s="78">
        <v>2.0</v>
      </c>
      <c r="G2088" s="92">
        <v>13.42</v>
      </c>
    </row>
    <row r="2089">
      <c r="A2089" s="6">
        <v>391.0</v>
      </c>
      <c r="B2089" s="76" t="str">
        <f>IFERROR(VLOOKUP($A2089,EVENTO!$A$2:$C$4999,2,FALSE),"")</f>
        <v>ADITIVO DE PRAZO</v>
      </c>
      <c r="C2089" s="76" t="str">
        <f>IFERROR(VLOOKUP($A2089,EVENTO!$A$2:$C$4999,3,FALSE),"")</f>
        <v>PREFEITURA MUNICIPAL DE ARACATI - TURISMO E CULTURA</v>
      </c>
      <c r="D2089" s="100" t="s">
        <v>1557</v>
      </c>
      <c r="E2089" s="4"/>
      <c r="F2089" s="78">
        <v>5.0</v>
      </c>
      <c r="G2089" s="92">
        <v>91.18</v>
      </c>
    </row>
    <row r="2090">
      <c r="A2090" s="6">
        <v>391.0</v>
      </c>
      <c r="B2090" s="76" t="str">
        <f>IFERROR(VLOOKUP($A2090,EVENTO!$A$2:$C$4999,2,FALSE),"")</f>
        <v>ADITIVO DE PRAZO</v>
      </c>
      <c r="C2090" s="76" t="str">
        <f>IFERROR(VLOOKUP($A2090,EVENTO!$A$2:$C$4999,3,FALSE),"")</f>
        <v>PREFEITURA MUNICIPAL DE ARACATI - TURISMO E CULTURA</v>
      </c>
      <c r="D2090" s="87" t="s">
        <v>1644</v>
      </c>
      <c r="E2090" s="4"/>
      <c r="F2090" s="78">
        <v>4.0</v>
      </c>
      <c r="G2090" s="93">
        <v>41.95</v>
      </c>
    </row>
    <row r="2091">
      <c r="A2091" s="6">
        <v>392.0</v>
      </c>
      <c r="B2091" s="76" t="str">
        <f>IFERROR(VLOOKUP($A2091,EVENTO!$A$2:$C$4999,2,FALSE),"")</f>
        <v>ADITIVO DE PRAZO</v>
      </c>
      <c r="C2091" s="76" t="str">
        <f>IFERROR(VLOOKUP($A2091,EVENTO!$A$2:$C$4999,3,FALSE),"")</f>
        <v>PREFEITURA MUNICIPAL DE ARACATI - TURISMO E CULTURA</v>
      </c>
      <c r="D2091" s="78" t="s">
        <v>1544</v>
      </c>
      <c r="E2091" s="6" t="s">
        <v>1545</v>
      </c>
      <c r="F2091" s="78">
        <v>2.0</v>
      </c>
      <c r="G2091" s="79">
        <v>534.71</v>
      </c>
    </row>
    <row r="2092">
      <c r="A2092" s="6">
        <v>392.0</v>
      </c>
      <c r="B2092" s="76" t="str">
        <f>IFERROR(VLOOKUP($A2092,EVENTO!$A$2:$C$4999,2,FALSE),"")</f>
        <v>ADITIVO DE PRAZO</v>
      </c>
      <c r="C2092" s="76" t="str">
        <f>IFERROR(VLOOKUP($A2092,EVENTO!$A$2:$C$4999,3,FALSE),"")</f>
        <v>PREFEITURA MUNICIPAL DE ARACATI - TURISMO E CULTURA</v>
      </c>
      <c r="D2092" s="78" t="s">
        <v>1458</v>
      </c>
      <c r="E2092" s="6" t="s">
        <v>1535</v>
      </c>
      <c r="F2092" s="78">
        <v>2.0</v>
      </c>
      <c r="G2092" s="79">
        <v>344.75</v>
      </c>
    </row>
    <row r="2093">
      <c r="A2093" s="6">
        <v>392.0</v>
      </c>
      <c r="B2093" s="76" t="str">
        <f>IFERROR(VLOOKUP($A2093,EVENTO!$A$2:$C$4999,2,FALSE),"")</f>
        <v>ADITIVO DE PRAZO</v>
      </c>
      <c r="C2093" s="76" t="str">
        <f>IFERROR(VLOOKUP($A2093,EVENTO!$A$2:$C$4999,3,FALSE),"")</f>
        <v>PREFEITURA MUNICIPAL DE ARACATI - TURISMO E CULTURA</v>
      </c>
      <c r="D2093" s="78" t="s">
        <v>1546</v>
      </c>
      <c r="E2093" s="6" t="s">
        <v>1547</v>
      </c>
      <c r="F2093" s="78">
        <v>2.0</v>
      </c>
      <c r="G2093" s="79">
        <v>270.39</v>
      </c>
    </row>
    <row r="2094">
      <c r="A2094" s="6">
        <v>392.0</v>
      </c>
      <c r="B2094" s="76" t="str">
        <f>IFERROR(VLOOKUP($A2094,EVENTO!$A$2:$C$4999,2,FALSE),"")</f>
        <v>ADITIVO DE PRAZO</v>
      </c>
      <c r="C2094" s="76" t="str">
        <f>IFERROR(VLOOKUP($A2094,EVENTO!$A$2:$C$4999,3,FALSE),"")</f>
        <v>PREFEITURA MUNICIPAL DE ARACATI - TURISMO E CULTURA</v>
      </c>
      <c r="D2094" s="78" t="s">
        <v>1456</v>
      </c>
      <c r="E2094" s="6" t="s">
        <v>1548</v>
      </c>
      <c r="F2094" s="78">
        <v>5.0</v>
      </c>
      <c r="G2094" s="79">
        <v>387.36</v>
      </c>
    </row>
    <row r="2095">
      <c r="A2095" s="6">
        <v>392.0</v>
      </c>
      <c r="B2095" s="76" t="str">
        <f>IFERROR(VLOOKUP($A2095,EVENTO!$A$2:$C$4999,2,FALSE),"")</f>
        <v>ADITIVO DE PRAZO</v>
      </c>
      <c r="C2095" s="76" t="str">
        <f>IFERROR(VLOOKUP($A2095,EVENTO!$A$2:$C$4999,3,FALSE),"")</f>
        <v>PREFEITURA MUNICIPAL DE ARACATI - TURISMO E CULTURA</v>
      </c>
      <c r="D2095" s="78" t="s">
        <v>1549</v>
      </c>
      <c r="E2095" s="6" t="s">
        <v>1550</v>
      </c>
      <c r="F2095" s="78">
        <v>5.0</v>
      </c>
      <c r="G2095" s="79">
        <v>221.78</v>
      </c>
    </row>
    <row r="2096">
      <c r="A2096" s="6">
        <v>392.0</v>
      </c>
      <c r="B2096" s="76" t="str">
        <f>IFERROR(VLOOKUP($A2096,EVENTO!$A$2:$C$4999,2,FALSE),"")</f>
        <v>ADITIVO DE PRAZO</v>
      </c>
      <c r="C2096" s="76" t="str">
        <f>IFERROR(VLOOKUP($A2096,EVENTO!$A$2:$C$4999,3,FALSE),"")</f>
        <v>PREFEITURA MUNICIPAL DE ARACATI - TURISMO E CULTURA</v>
      </c>
      <c r="D2096" s="78" t="s">
        <v>1551</v>
      </c>
      <c r="E2096" s="6" t="s">
        <v>1552</v>
      </c>
      <c r="F2096" s="78">
        <v>5.0</v>
      </c>
      <c r="G2096" s="79">
        <v>173.93</v>
      </c>
    </row>
    <row r="2097">
      <c r="A2097" s="6">
        <v>392.0</v>
      </c>
      <c r="B2097" s="76" t="str">
        <f>IFERROR(VLOOKUP($A2097,EVENTO!$A$2:$C$4999,2,FALSE),"")</f>
        <v>ADITIVO DE PRAZO</v>
      </c>
      <c r="C2097" s="76" t="str">
        <f>IFERROR(VLOOKUP($A2097,EVENTO!$A$2:$C$4999,3,FALSE),"")</f>
        <v>PREFEITURA MUNICIPAL DE ARACATI - TURISMO E CULTURA</v>
      </c>
      <c r="D2097" s="78" t="s">
        <v>1553</v>
      </c>
      <c r="F2097" s="78">
        <v>4.0</v>
      </c>
      <c r="G2097" s="79">
        <v>286.34</v>
      </c>
    </row>
    <row r="2098">
      <c r="A2098" s="6">
        <v>392.0</v>
      </c>
      <c r="B2098" s="76" t="str">
        <f>IFERROR(VLOOKUP($A2098,EVENTO!$A$2:$C$4999,2,FALSE),"")</f>
        <v>ADITIVO DE PRAZO</v>
      </c>
      <c r="C2098" s="76" t="str">
        <f>IFERROR(VLOOKUP($A2098,EVENTO!$A$2:$C$4999,3,FALSE),"")</f>
        <v>PREFEITURA MUNICIPAL DE ARACATI - TURISMO E CULTURA</v>
      </c>
      <c r="D2098" s="78" t="s">
        <v>1487</v>
      </c>
      <c r="F2098" s="78">
        <v>1.0</v>
      </c>
      <c r="G2098" s="79">
        <v>234.7</v>
      </c>
    </row>
    <row r="2099">
      <c r="A2099" s="6">
        <v>392.0</v>
      </c>
      <c r="B2099" s="76" t="str">
        <f>IFERROR(VLOOKUP($A2099,EVENTO!$A$2:$C$4999,2,FALSE),"")</f>
        <v>ADITIVO DE PRAZO</v>
      </c>
      <c r="C2099" s="76" t="str">
        <f>IFERROR(VLOOKUP($A2099,EVENTO!$A$2:$C$4999,3,FALSE),"")</f>
        <v>PREFEITURA MUNICIPAL DE ARACATI - TURISMO E CULTURA</v>
      </c>
      <c r="D2099" s="100" t="s">
        <v>1580</v>
      </c>
      <c r="E2099" s="4"/>
      <c r="F2099" s="78">
        <v>2.0</v>
      </c>
      <c r="G2099" s="92">
        <v>193.47</v>
      </c>
    </row>
    <row r="2100">
      <c r="A2100" s="6">
        <v>392.0</v>
      </c>
      <c r="B2100" s="76" t="str">
        <f>IFERROR(VLOOKUP($A2100,EVENTO!$A$2:$C$4999,2,FALSE),"")</f>
        <v>ADITIVO DE PRAZO</v>
      </c>
      <c r="C2100" s="76" t="str">
        <f>IFERROR(VLOOKUP($A2100,EVENTO!$A$2:$C$4999,3,FALSE),"")</f>
        <v>PREFEITURA MUNICIPAL DE ARACATI - TURISMO E CULTURA</v>
      </c>
      <c r="D2100" s="100" t="s">
        <v>1560</v>
      </c>
      <c r="E2100" s="4"/>
      <c r="F2100" s="78">
        <v>1.0</v>
      </c>
      <c r="G2100" s="92">
        <v>50.3</v>
      </c>
    </row>
    <row r="2101">
      <c r="A2101" s="6">
        <v>392.0</v>
      </c>
      <c r="B2101" s="76" t="str">
        <f>IFERROR(VLOOKUP($A2101,EVENTO!$A$2:$C$4999,2,FALSE),"")</f>
        <v>ADITIVO DE PRAZO</v>
      </c>
      <c r="C2101" s="76" t="str">
        <f>IFERROR(VLOOKUP($A2101,EVENTO!$A$2:$C$4999,3,FALSE),"")</f>
        <v>PREFEITURA MUNICIPAL DE ARACATI - TURISMO E CULTURA</v>
      </c>
      <c r="D2101" s="100" t="s">
        <v>1575</v>
      </c>
      <c r="E2101" s="4"/>
      <c r="F2101" s="78">
        <v>2.0</v>
      </c>
      <c r="G2101" s="92">
        <v>13.42</v>
      </c>
    </row>
    <row r="2102">
      <c r="A2102" s="6">
        <v>392.0</v>
      </c>
      <c r="B2102" s="76" t="str">
        <f>IFERROR(VLOOKUP($A2102,EVENTO!$A$2:$C$4999,2,FALSE),"")</f>
        <v>ADITIVO DE PRAZO</v>
      </c>
      <c r="C2102" s="76" t="str">
        <f>IFERROR(VLOOKUP($A2102,EVENTO!$A$2:$C$4999,3,FALSE),"")</f>
        <v>PREFEITURA MUNICIPAL DE ARACATI - TURISMO E CULTURA</v>
      </c>
      <c r="D2102" s="100" t="s">
        <v>1557</v>
      </c>
      <c r="E2102" s="4"/>
      <c r="F2102" s="78">
        <v>5.0</v>
      </c>
      <c r="G2102" s="92">
        <v>91.18</v>
      </c>
    </row>
    <row r="2103">
      <c r="A2103" s="6">
        <v>392.0</v>
      </c>
      <c r="B2103" s="76" t="str">
        <f>IFERROR(VLOOKUP($A2103,EVENTO!$A$2:$C$4999,2,FALSE),"")</f>
        <v>ADITIVO DE PRAZO</v>
      </c>
      <c r="C2103" s="76" t="str">
        <f>IFERROR(VLOOKUP($A2103,EVENTO!$A$2:$C$4999,3,FALSE),"")</f>
        <v>PREFEITURA MUNICIPAL DE ARACATI - TURISMO E CULTURA</v>
      </c>
      <c r="D2103" s="87" t="s">
        <v>1644</v>
      </c>
      <c r="E2103" s="4"/>
      <c r="F2103" s="78">
        <v>4.0</v>
      </c>
      <c r="G2103" s="93">
        <v>41.95</v>
      </c>
    </row>
    <row r="2104">
      <c r="A2104" s="6">
        <v>393.0</v>
      </c>
      <c r="B2104" s="76" t="str">
        <f>IFERROR(VLOOKUP($A2104,EVENTO!$A$2:$C$4999,2,FALSE),"")</f>
        <v>ADITIVO DE PRAZO</v>
      </c>
      <c r="C2104" s="76" t="str">
        <f>IFERROR(VLOOKUP($A2104,EVENTO!$A$2:$C$4999,3,FALSE),"")</f>
        <v>PREFEITURA MUNICIPAL DE ARACATI - TURISMO E CULTURA</v>
      </c>
      <c r="D2104" s="78" t="s">
        <v>1544</v>
      </c>
      <c r="E2104" s="6" t="s">
        <v>1545</v>
      </c>
      <c r="F2104" s="78">
        <v>2.0</v>
      </c>
      <c r="G2104" s="79">
        <v>534.71</v>
      </c>
    </row>
    <row r="2105">
      <c r="A2105" s="6">
        <v>393.0</v>
      </c>
      <c r="B2105" s="76" t="str">
        <f>IFERROR(VLOOKUP($A2105,EVENTO!$A$2:$C$4999,2,FALSE),"")</f>
        <v>ADITIVO DE PRAZO</v>
      </c>
      <c r="C2105" s="76" t="str">
        <f>IFERROR(VLOOKUP($A2105,EVENTO!$A$2:$C$4999,3,FALSE),"")</f>
        <v>PREFEITURA MUNICIPAL DE ARACATI - TURISMO E CULTURA</v>
      </c>
      <c r="D2105" s="78" t="s">
        <v>1458</v>
      </c>
      <c r="E2105" s="6" t="s">
        <v>1535</v>
      </c>
      <c r="F2105" s="78">
        <v>2.0</v>
      </c>
      <c r="G2105" s="79">
        <v>344.75</v>
      </c>
    </row>
    <row r="2106">
      <c r="A2106" s="6">
        <v>393.0</v>
      </c>
      <c r="B2106" s="76" t="str">
        <f>IFERROR(VLOOKUP($A2106,EVENTO!$A$2:$C$4999,2,FALSE),"")</f>
        <v>ADITIVO DE PRAZO</v>
      </c>
      <c r="C2106" s="76" t="str">
        <f>IFERROR(VLOOKUP($A2106,EVENTO!$A$2:$C$4999,3,FALSE),"")</f>
        <v>PREFEITURA MUNICIPAL DE ARACATI - TURISMO E CULTURA</v>
      </c>
      <c r="D2106" s="78" t="s">
        <v>1546</v>
      </c>
      <c r="E2106" s="6" t="s">
        <v>1547</v>
      </c>
      <c r="F2106" s="78">
        <v>2.0</v>
      </c>
      <c r="G2106" s="79">
        <v>270.39</v>
      </c>
    </row>
    <row r="2107">
      <c r="A2107" s="6">
        <v>393.0</v>
      </c>
      <c r="B2107" s="76" t="str">
        <f>IFERROR(VLOOKUP($A2107,EVENTO!$A$2:$C$4999,2,FALSE),"")</f>
        <v>ADITIVO DE PRAZO</v>
      </c>
      <c r="C2107" s="76" t="str">
        <f>IFERROR(VLOOKUP($A2107,EVENTO!$A$2:$C$4999,3,FALSE),"")</f>
        <v>PREFEITURA MUNICIPAL DE ARACATI - TURISMO E CULTURA</v>
      </c>
      <c r="D2107" s="78" t="s">
        <v>1456</v>
      </c>
      <c r="E2107" s="6" t="s">
        <v>1548</v>
      </c>
      <c r="F2107" s="78">
        <v>5.0</v>
      </c>
      <c r="G2107" s="79">
        <v>387.36</v>
      </c>
    </row>
    <row r="2108">
      <c r="A2108" s="6">
        <v>393.0</v>
      </c>
      <c r="B2108" s="76" t="str">
        <f>IFERROR(VLOOKUP($A2108,EVENTO!$A$2:$C$4999,2,FALSE),"")</f>
        <v>ADITIVO DE PRAZO</v>
      </c>
      <c r="C2108" s="76" t="str">
        <f>IFERROR(VLOOKUP($A2108,EVENTO!$A$2:$C$4999,3,FALSE),"")</f>
        <v>PREFEITURA MUNICIPAL DE ARACATI - TURISMO E CULTURA</v>
      </c>
      <c r="D2108" s="78" t="s">
        <v>1549</v>
      </c>
      <c r="E2108" s="6" t="s">
        <v>1550</v>
      </c>
      <c r="F2108" s="78">
        <v>5.0</v>
      </c>
      <c r="G2108" s="79">
        <v>221.78</v>
      </c>
    </row>
    <row r="2109">
      <c r="A2109" s="6">
        <v>393.0</v>
      </c>
      <c r="B2109" s="76" t="str">
        <f>IFERROR(VLOOKUP($A2109,EVENTO!$A$2:$C$4999,2,FALSE),"")</f>
        <v>ADITIVO DE PRAZO</v>
      </c>
      <c r="C2109" s="76" t="str">
        <f>IFERROR(VLOOKUP($A2109,EVENTO!$A$2:$C$4999,3,FALSE),"")</f>
        <v>PREFEITURA MUNICIPAL DE ARACATI - TURISMO E CULTURA</v>
      </c>
      <c r="D2109" s="78" t="s">
        <v>1551</v>
      </c>
      <c r="E2109" s="6" t="s">
        <v>1552</v>
      </c>
      <c r="F2109" s="78">
        <v>5.0</v>
      </c>
      <c r="G2109" s="79">
        <v>173.93</v>
      </c>
    </row>
    <row r="2110">
      <c r="A2110" s="6">
        <v>393.0</v>
      </c>
      <c r="B2110" s="76" t="str">
        <f>IFERROR(VLOOKUP($A2110,EVENTO!$A$2:$C$4999,2,FALSE),"")</f>
        <v>ADITIVO DE PRAZO</v>
      </c>
      <c r="C2110" s="76" t="str">
        <f>IFERROR(VLOOKUP($A2110,EVENTO!$A$2:$C$4999,3,FALSE),"")</f>
        <v>PREFEITURA MUNICIPAL DE ARACATI - TURISMO E CULTURA</v>
      </c>
      <c r="D2110" s="78" t="s">
        <v>1553</v>
      </c>
      <c r="F2110" s="78">
        <v>4.0</v>
      </c>
      <c r="G2110" s="79">
        <v>286.34</v>
      </c>
    </row>
    <row r="2111">
      <c r="A2111" s="6">
        <v>393.0</v>
      </c>
      <c r="B2111" s="76" t="str">
        <f>IFERROR(VLOOKUP($A2111,EVENTO!$A$2:$C$4999,2,FALSE),"")</f>
        <v>ADITIVO DE PRAZO</v>
      </c>
      <c r="C2111" s="76" t="str">
        <f>IFERROR(VLOOKUP($A2111,EVENTO!$A$2:$C$4999,3,FALSE),"")</f>
        <v>PREFEITURA MUNICIPAL DE ARACATI - TURISMO E CULTURA</v>
      </c>
      <c r="D2111" s="78" t="s">
        <v>1487</v>
      </c>
      <c r="F2111" s="78">
        <v>1.0</v>
      </c>
      <c r="G2111" s="79">
        <v>234.7</v>
      </c>
    </row>
    <row r="2112">
      <c r="A2112" s="6">
        <v>393.0</v>
      </c>
      <c r="B2112" s="76" t="str">
        <f>IFERROR(VLOOKUP($A2112,EVENTO!$A$2:$C$4999,2,FALSE),"")</f>
        <v>ADITIVO DE PRAZO</v>
      </c>
      <c r="C2112" s="76" t="str">
        <f>IFERROR(VLOOKUP($A2112,EVENTO!$A$2:$C$4999,3,FALSE),"")</f>
        <v>PREFEITURA MUNICIPAL DE ARACATI - TURISMO E CULTURA</v>
      </c>
      <c r="D2112" s="100" t="s">
        <v>1580</v>
      </c>
      <c r="E2112" s="4"/>
      <c r="F2112" s="78">
        <v>2.0</v>
      </c>
      <c r="G2112" s="92">
        <v>193.47</v>
      </c>
    </row>
    <row r="2113">
      <c r="A2113" s="6">
        <v>393.0</v>
      </c>
      <c r="B2113" s="76" t="str">
        <f>IFERROR(VLOOKUP($A2113,EVENTO!$A$2:$C$4999,2,FALSE),"")</f>
        <v>ADITIVO DE PRAZO</v>
      </c>
      <c r="C2113" s="76" t="str">
        <f>IFERROR(VLOOKUP($A2113,EVENTO!$A$2:$C$4999,3,FALSE),"")</f>
        <v>PREFEITURA MUNICIPAL DE ARACATI - TURISMO E CULTURA</v>
      </c>
      <c r="D2113" s="100" t="s">
        <v>1560</v>
      </c>
      <c r="E2113" s="4"/>
      <c r="F2113" s="78">
        <v>1.0</v>
      </c>
      <c r="G2113" s="92">
        <v>50.3</v>
      </c>
    </row>
    <row r="2114">
      <c r="A2114" s="6">
        <v>393.0</v>
      </c>
      <c r="B2114" s="76" t="str">
        <f>IFERROR(VLOOKUP($A2114,EVENTO!$A$2:$C$4999,2,FALSE),"")</f>
        <v>ADITIVO DE PRAZO</v>
      </c>
      <c r="C2114" s="76" t="str">
        <f>IFERROR(VLOOKUP($A2114,EVENTO!$A$2:$C$4999,3,FALSE),"")</f>
        <v>PREFEITURA MUNICIPAL DE ARACATI - TURISMO E CULTURA</v>
      </c>
      <c r="D2114" s="100" t="s">
        <v>1575</v>
      </c>
      <c r="E2114" s="4"/>
      <c r="F2114" s="78">
        <v>2.0</v>
      </c>
      <c r="G2114" s="92">
        <v>13.42</v>
      </c>
    </row>
    <row r="2115">
      <c r="A2115" s="6">
        <v>393.0</v>
      </c>
      <c r="B2115" s="76" t="str">
        <f>IFERROR(VLOOKUP($A2115,EVENTO!$A$2:$C$4999,2,FALSE),"")</f>
        <v>ADITIVO DE PRAZO</v>
      </c>
      <c r="C2115" s="76" t="str">
        <f>IFERROR(VLOOKUP($A2115,EVENTO!$A$2:$C$4999,3,FALSE),"")</f>
        <v>PREFEITURA MUNICIPAL DE ARACATI - TURISMO E CULTURA</v>
      </c>
      <c r="D2115" s="100" t="s">
        <v>1557</v>
      </c>
      <c r="E2115" s="4"/>
      <c r="F2115" s="78">
        <v>5.0</v>
      </c>
      <c r="G2115" s="92">
        <v>91.18</v>
      </c>
    </row>
    <row r="2116">
      <c r="A2116" s="6">
        <v>393.0</v>
      </c>
      <c r="B2116" s="76" t="str">
        <f>IFERROR(VLOOKUP($A2116,EVENTO!$A$2:$C$4999,2,FALSE),"")</f>
        <v>ADITIVO DE PRAZO</v>
      </c>
      <c r="C2116" s="76" t="str">
        <f>IFERROR(VLOOKUP($A2116,EVENTO!$A$2:$C$4999,3,FALSE),"")</f>
        <v>PREFEITURA MUNICIPAL DE ARACATI - TURISMO E CULTURA</v>
      </c>
      <c r="D2116" s="87" t="s">
        <v>1644</v>
      </c>
      <c r="E2116" s="4"/>
      <c r="F2116" s="78">
        <v>4.0</v>
      </c>
      <c r="G2116" s="93">
        <v>41.95</v>
      </c>
    </row>
    <row r="2117">
      <c r="A2117" s="6">
        <v>394.0</v>
      </c>
      <c r="B2117" s="76" t="str">
        <f>IFERROR(VLOOKUP($A2117,EVENTO!$A$2:$C$4999,2,FALSE),"")</f>
        <v>ADITIVO DE PRAZO</v>
      </c>
      <c r="C2117" s="76" t="str">
        <f>IFERROR(VLOOKUP($A2117,EVENTO!$A$2:$C$4999,3,FALSE),"")</f>
        <v>PREFEITURA MUNICIPAL DE ARACATI - TURISMO E CULTURA</v>
      </c>
      <c r="D2117" s="78" t="s">
        <v>1544</v>
      </c>
      <c r="E2117" s="6" t="s">
        <v>1545</v>
      </c>
      <c r="F2117" s="78">
        <v>2.0</v>
      </c>
      <c r="G2117" s="79">
        <v>534.71</v>
      </c>
    </row>
    <row r="2118">
      <c r="A2118" s="6">
        <v>394.0</v>
      </c>
      <c r="B2118" s="76" t="str">
        <f>IFERROR(VLOOKUP($A2118,EVENTO!$A$2:$C$4999,2,FALSE),"")</f>
        <v>ADITIVO DE PRAZO</v>
      </c>
      <c r="C2118" s="76" t="str">
        <f>IFERROR(VLOOKUP($A2118,EVENTO!$A$2:$C$4999,3,FALSE),"")</f>
        <v>PREFEITURA MUNICIPAL DE ARACATI - TURISMO E CULTURA</v>
      </c>
      <c r="D2118" s="78" t="s">
        <v>1458</v>
      </c>
      <c r="E2118" s="6" t="s">
        <v>1535</v>
      </c>
      <c r="F2118" s="78">
        <v>2.0</v>
      </c>
      <c r="G2118" s="79">
        <v>344.75</v>
      </c>
    </row>
    <row r="2119">
      <c r="A2119" s="6">
        <v>394.0</v>
      </c>
      <c r="B2119" s="76" t="str">
        <f>IFERROR(VLOOKUP($A2119,EVENTO!$A$2:$C$4999,2,FALSE),"")</f>
        <v>ADITIVO DE PRAZO</v>
      </c>
      <c r="C2119" s="76" t="str">
        <f>IFERROR(VLOOKUP($A2119,EVENTO!$A$2:$C$4999,3,FALSE),"")</f>
        <v>PREFEITURA MUNICIPAL DE ARACATI - TURISMO E CULTURA</v>
      </c>
      <c r="D2119" s="78" t="s">
        <v>1546</v>
      </c>
      <c r="E2119" s="6" t="s">
        <v>1547</v>
      </c>
      <c r="F2119" s="78">
        <v>2.0</v>
      </c>
      <c r="G2119" s="79">
        <v>270.39</v>
      </c>
    </row>
    <row r="2120">
      <c r="A2120" s="6">
        <v>394.0</v>
      </c>
      <c r="B2120" s="76" t="str">
        <f>IFERROR(VLOOKUP($A2120,EVENTO!$A$2:$C$4999,2,FALSE),"")</f>
        <v>ADITIVO DE PRAZO</v>
      </c>
      <c r="C2120" s="76" t="str">
        <f>IFERROR(VLOOKUP($A2120,EVENTO!$A$2:$C$4999,3,FALSE),"")</f>
        <v>PREFEITURA MUNICIPAL DE ARACATI - TURISMO E CULTURA</v>
      </c>
      <c r="D2120" s="78" t="s">
        <v>1456</v>
      </c>
      <c r="E2120" s="6" t="s">
        <v>1548</v>
      </c>
      <c r="F2120" s="78">
        <v>5.0</v>
      </c>
      <c r="G2120" s="79">
        <v>387.36</v>
      </c>
    </row>
    <row r="2121">
      <c r="A2121" s="6">
        <v>394.0</v>
      </c>
      <c r="B2121" s="76" t="str">
        <f>IFERROR(VLOOKUP($A2121,EVENTO!$A$2:$C$4999,2,FALSE),"")</f>
        <v>ADITIVO DE PRAZO</v>
      </c>
      <c r="C2121" s="76" t="str">
        <f>IFERROR(VLOOKUP($A2121,EVENTO!$A$2:$C$4999,3,FALSE),"")</f>
        <v>PREFEITURA MUNICIPAL DE ARACATI - TURISMO E CULTURA</v>
      </c>
      <c r="D2121" s="78" t="s">
        <v>1549</v>
      </c>
      <c r="E2121" s="6" t="s">
        <v>1550</v>
      </c>
      <c r="F2121" s="78">
        <v>5.0</v>
      </c>
      <c r="G2121" s="79">
        <v>221.78</v>
      </c>
    </row>
    <row r="2122">
      <c r="A2122" s="6">
        <v>394.0</v>
      </c>
      <c r="B2122" s="76" t="str">
        <f>IFERROR(VLOOKUP($A2122,EVENTO!$A$2:$C$4999,2,FALSE),"")</f>
        <v>ADITIVO DE PRAZO</v>
      </c>
      <c r="C2122" s="76" t="str">
        <f>IFERROR(VLOOKUP($A2122,EVENTO!$A$2:$C$4999,3,FALSE),"")</f>
        <v>PREFEITURA MUNICIPAL DE ARACATI - TURISMO E CULTURA</v>
      </c>
      <c r="D2122" s="78" t="s">
        <v>1551</v>
      </c>
      <c r="E2122" s="6" t="s">
        <v>1552</v>
      </c>
      <c r="F2122" s="78">
        <v>5.0</v>
      </c>
      <c r="G2122" s="79">
        <v>173.93</v>
      </c>
    </row>
    <row r="2123">
      <c r="A2123" s="6">
        <v>394.0</v>
      </c>
      <c r="B2123" s="76" t="str">
        <f>IFERROR(VLOOKUP($A2123,EVENTO!$A$2:$C$4999,2,FALSE),"")</f>
        <v>ADITIVO DE PRAZO</v>
      </c>
      <c r="C2123" s="76" t="str">
        <f>IFERROR(VLOOKUP($A2123,EVENTO!$A$2:$C$4999,3,FALSE),"")</f>
        <v>PREFEITURA MUNICIPAL DE ARACATI - TURISMO E CULTURA</v>
      </c>
      <c r="D2123" s="78" t="s">
        <v>1553</v>
      </c>
      <c r="F2123" s="78">
        <v>4.0</v>
      </c>
      <c r="G2123" s="79">
        <v>286.34</v>
      </c>
    </row>
    <row r="2124">
      <c r="A2124" s="6">
        <v>394.0</v>
      </c>
      <c r="B2124" s="76" t="str">
        <f>IFERROR(VLOOKUP($A2124,EVENTO!$A$2:$C$4999,2,FALSE),"")</f>
        <v>ADITIVO DE PRAZO</v>
      </c>
      <c r="C2124" s="76" t="str">
        <f>IFERROR(VLOOKUP($A2124,EVENTO!$A$2:$C$4999,3,FALSE),"")</f>
        <v>PREFEITURA MUNICIPAL DE ARACATI - TURISMO E CULTURA</v>
      </c>
      <c r="D2124" s="78" t="s">
        <v>1487</v>
      </c>
      <c r="F2124" s="78">
        <v>1.0</v>
      </c>
      <c r="G2124" s="79">
        <v>234.7</v>
      </c>
    </row>
    <row r="2125">
      <c r="A2125" s="6">
        <v>394.0</v>
      </c>
      <c r="B2125" s="76" t="str">
        <f>IFERROR(VLOOKUP($A2125,EVENTO!$A$2:$C$4999,2,FALSE),"")</f>
        <v>ADITIVO DE PRAZO</v>
      </c>
      <c r="C2125" s="76" t="str">
        <f>IFERROR(VLOOKUP($A2125,EVENTO!$A$2:$C$4999,3,FALSE),"")</f>
        <v>PREFEITURA MUNICIPAL DE ARACATI - TURISMO E CULTURA</v>
      </c>
      <c r="D2125" s="100" t="s">
        <v>1580</v>
      </c>
      <c r="E2125" s="4"/>
      <c r="F2125" s="78">
        <v>2.0</v>
      </c>
      <c r="G2125" s="92">
        <v>193.47</v>
      </c>
    </row>
    <row r="2126">
      <c r="A2126" s="6">
        <v>394.0</v>
      </c>
      <c r="B2126" s="76" t="str">
        <f>IFERROR(VLOOKUP($A2126,EVENTO!$A$2:$C$4999,2,FALSE),"")</f>
        <v>ADITIVO DE PRAZO</v>
      </c>
      <c r="C2126" s="76" t="str">
        <f>IFERROR(VLOOKUP($A2126,EVENTO!$A$2:$C$4999,3,FALSE),"")</f>
        <v>PREFEITURA MUNICIPAL DE ARACATI - TURISMO E CULTURA</v>
      </c>
      <c r="D2126" s="100" t="s">
        <v>1560</v>
      </c>
      <c r="E2126" s="4"/>
      <c r="F2126" s="78">
        <v>1.0</v>
      </c>
      <c r="G2126" s="92">
        <v>50.3</v>
      </c>
    </row>
    <row r="2127">
      <c r="A2127" s="6">
        <v>394.0</v>
      </c>
      <c r="B2127" s="76" t="str">
        <f>IFERROR(VLOOKUP($A2127,EVENTO!$A$2:$C$4999,2,FALSE),"")</f>
        <v>ADITIVO DE PRAZO</v>
      </c>
      <c r="C2127" s="76" t="str">
        <f>IFERROR(VLOOKUP($A2127,EVENTO!$A$2:$C$4999,3,FALSE),"")</f>
        <v>PREFEITURA MUNICIPAL DE ARACATI - TURISMO E CULTURA</v>
      </c>
      <c r="D2127" s="100" t="s">
        <v>1575</v>
      </c>
      <c r="E2127" s="4"/>
      <c r="F2127" s="78">
        <v>2.0</v>
      </c>
      <c r="G2127" s="92">
        <v>13.42</v>
      </c>
    </row>
    <row r="2128">
      <c r="A2128" s="6">
        <v>394.0</v>
      </c>
      <c r="B2128" s="76" t="str">
        <f>IFERROR(VLOOKUP($A2128,EVENTO!$A$2:$C$4999,2,FALSE),"")</f>
        <v>ADITIVO DE PRAZO</v>
      </c>
      <c r="C2128" s="76" t="str">
        <f>IFERROR(VLOOKUP($A2128,EVENTO!$A$2:$C$4999,3,FALSE),"")</f>
        <v>PREFEITURA MUNICIPAL DE ARACATI - TURISMO E CULTURA</v>
      </c>
      <c r="D2128" s="100" t="s">
        <v>1557</v>
      </c>
      <c r="E2128" s="4"/>
      <c r="F2128" s="78">
        <v>5.0</v>
      </c>
      <c r="G2128" s="92">
        <v>91.18</v>
      </c>
    </row>
    <row r="2129">
      <c r="A2129" s="6">
        <v>394.0</v>
      </c>
      <c r="B2129" s="76" t="str">
        <f>IFERROR(VLOOKUP($A2129,EVENTO!$A$2:$C$4999,2,FALSE),"")</f>
        <v>ADITIVO DE PRAZO</v>
      </c>
      <c r="C2129" s="76" t="str">
        <f>IFERROR(VLOOKUP($A2129,EVENTO!$A$2:$C$4999,3,FALSE),"")</f>
        <v>PREFEITURA MUNICIPAL DE ARACATI - TURISMO E CULTURA</v>
      </c>
      <c r="D2129" s="87" t="s">
        <v>1644</v>
      </c>
      <c r="E2129" s="4"/>
      <c r="F2129" s="78">
        <v>4.0</v>
      </c>
      <c r="G2129" s="93">
        <v>41.95</v>
      </c>
    </row>
    <row r="2130">
      <c r="A2130" s="6">
        <v>395.0</v>
      </c>
      <c r="B2130" s="76" t="str">
        <f>IFERROR(VLOOKUP($A2130,EVENTO!$A$2:$C$4999,2,FALSE),"")</f>
        <v>CADASTRO</v>
      </c>
      <c r="C2130" s="76" t="str">
        <f>IFERROR(VLOOKUP($A2130,EVENTO!$A$2:$C$4999,3,FALSE),"")</f>
        <v>PREF. MUNICIPAL DE ARACATI - DESENVOLVIMENTO SOCIAL - 020-2022</v>
      </c>
      <c r="D2130" s="100" t="s">
        <v>1650</v>
      </c>
      <c r="E2130" s="4"/>
      <c r="F2130" s="78">
        <v>2.0</v>
      </c>
      <c r="G2130" s="92">
        <v>201.73</v>
      </c>
    </row>
    <row r="2131">
      <c r="A2131" s="6">
        <v>395.0</v>
      </c>
      <c r="B2131" s="76" t="str">
        <f>IFERROR(VLOOKUP($A2131,EVENTO!$A$2:$C$4999,2,FALSE),"")</f>
        <v>CADASTRO</v>
      </c>
      <c r="C2131" s="76" t="str">
        <f>IFERROR(VLOOKUP($A2131,EVENTO!$A$2:$C$4999,3,FALSE),"")</f>
        <v>PREF. MUNICIPAL DE ARACATI - DESENVOLVIMENTO SOCIAL - 020-2022</v>
      </c>
      <c r="D2131" s="100" t="s">
        <v>1540</v>
      </c>
      <c r="E2131" s="4"/>
      <c r="F2131" s="78">
        <v>2.0</v>
      </c>
      <c r="G2131" s="101">
        <v>50.3</v>
      </c>
    </row>
    <row r="2132">
      <c r="A2132" s="6">
        <v>395.0</v>
      </c>
      <c r="B2132" s="76" t="str">
        <f>IFERROR(VLOOKUP($A2132,EVENTO!$A$2:$C$4999,2,FALSE),"")</f>
        <v>CADASTRO</v>
      </c>
      <c r="C2132" s="76" t="str">
        <f>IFERROR(VLOOKUP($A2132,EVENTO!$A$2:$C$4999,3,FALSE),"")</f>
        <v>PREF. MUNICIPAL DE ARACATI - DESENVOLVIMENTO SOCIAL - 020-2022</v>
      </c>
      <c r="D2132" s="100" t="s">
        <v>1556</v>
      </c>
      <c r="E2132" s="4"/>
      <c r="F2132" s="78">
        <v>3.0</v>
      </c>
      <c r="G2132" s="92">
        <v>148.11</v>
      </c>
    </row>
    <row r="2133">
      <c r="A2133" s="6">
        <v>395.0</v>
      </c>
      <c r="B2133" s="76" t="str">
        <f>IFERROR(VLOOKUP($A2133,EVENTO!$A$2:$C$4999,2,FALSE),"")</f>
        <v>CADASTRO</v>
      </c>
      <c r="C2133" s="76" t="str">
        <f>IFERROR(VLOOKUP($A2133,EVENTO!$A$2:$C$4999,3,FALSE),"")</f>
        <v>PREF. MUNICIPAL DE ARACATI - DESENVOLVIMENTO SOCIAL - 020-2022</v>
      </c>
      <c r="D2133" s="100" t="s">
        <v>1544</v>
      </c>
      <c r="E2133" s="4" t="s">
        <v>1545</v>
      </c>
      <c r="F2133" s="78">
        <v>1.0</v>
      </c>
      <c r="G2133" s="92">
        <v>534.71</v>
      </c>
    </row>
    <row r="2134">
      <c r="A2134" s="6">
        <v>395.0</v>
      </c>
      <c r="B2134" s="76" t="str">
        <f>IFERROR(VLOOKUP($A2134,EVENTO!$A$2:$C$4999,2,FALSE),"")</f>
        <v>CADASTRO</v>
      </c>
      <c r="C2134" s="76" t="str">
        <f>IFERROR(VLOOKUP($A2134,EVENTO!$A$2:$C$4999,3,FALSE),"")</f>
        <v>PREF. MUNICIPAL DE ARACATI - DESENVOLVIMENTO SOCIAL - 020-2022</v>
      </c>
      <c r="D2134" s="100" t="s">
        <v>1456</v>
      </c>
      <c r="E2134" s="4" t="s">
        <v>1548</v>
      </c>
      <c r="F2134" s="78">
        <v>5.0</v>
      </c>
      <c r="G2134" s="92">
        <v>387.36</v>
      </c>
    </row>
    <row r="2135">
      <c r="A2135" s="6">
        <v>395.0</v>
      </c>
      <c r="B2135" s="76" t="str">
        <f>IFERROR(VLOOKUP($A2135,EVENTO!$A$2:$C$4999,2,FALSE),"")</f>
        <v>CADASTRO</v>
      </c>
      <c r="C2135" s="76" t="str">
        <f>IFERROR(VLOOKUP($A2135,EVENTO!$A$2:$C$4999,3,FALSE),"")</f>
        <v>PREF. MUNICIPAL DE ARACATI - DESENVOLVIMENTO SOCIAL - 020-2022</v>
      </c>
      <c r="D2135" s="100" t="s">
        <v>1553</v>
      </c>
      <c r="E2135" s="4"/>
      <c r="F2135" s="78">
        <v>4.0</v>
      </c>
      <c r="G2135" s="92">
        <v>286.34</v>
      </c>
    </row>
    <row r="2136">
      <c r="A2136" s="6">
        <v>396.0</v>
      </c>
      <c r="B2136" s="76" t="str">
        <f>IFERROR(VLOOKUP($A2136,EVENTO!$A$2:$C$4999,2,FALSE),"")</f>
        <v>ADITIVO DE PRAZO</v>
      </c>
      <c r="C2136" s="76" t="str">
        <f>IFERROR(VLOOKUP($A2136,EVENTO!$A$2:$C$4999,3,FALSE),"")</f>
        <v>PREF. MUNICIPAL DE ARACATI - DESENVOLVIMENTO SOCIAL - 020-2022</v>
      </c>
      <c r="D2136" s="100" t="s">
        <v>1650</v>
      </c>
      <c r="E2136" s="4"/>
      <c r="F2136" s="78">
        <v>2.0</v>
      </c>
      <c r="G2136" s="92">
        <v>201.73</v>
      </c>
    </row>
    <row r="2137">
      <c r="A2137" s="6">
        <v>396.0</v>
      </c>
      <c r="B2137" s="76" t="str">
        <f>IFERROR(VLOOKUP($A2137,EVENTO!$A$2:$C$4999,2,FALSE),"")</f>
        <v>ADITIVO DE PRAZO</v>
      </c>
      <c r="C2137" s="76" t="str">
        <f>IFERROR(VLOOKUP($A2137,EVENTO!$A$2:$C$4999,3,FALSE),"")</f>
        <v>PREF. MUNICIPAL DE ARACATI - DESENVOLVIMENTO SOCIAL - 020-2022</v>
      </c>
      <c r="D2137" s="100" t="s">
        <v>1540</v>
      </c>
      <c r="E2137" s="4"/>
      <c r="F2137" s="78">
        <v>2.0</v>
      </c>
      <c r="G2137" s="101">
        <v>50.3</v>
      </c>
    </row>
    <row r="2138">
      <c r="A2138" s="6">
        <v>396.0</v>
      </c>
      <c r="B2138" s="76" t="str">
        <f>IFERROR(VLOOKUP($A2138,EVENTO!$A$2:$C$4999,2,FALSE),"")</f>
        <v>ADITIVO DE PRAZO</v>
      </c>
      <c r="C2138" s="76" t="str">
        <f>IFERROR(VLOOKUP($A2138,EVENTO!$A$2:$C$4999,3,FALSE),"")</f>
        <v>PREF. MUNICIPAL DE ARACATI - DESENVOLVIMENTO SOCIAL - 020-2022</v>
      </c>
      <c r="D2138" s="100" t="s">
        <v>1556</v>
      </c>
      <c r="E2138" s="4"/>
      <c r="F2138" s="78">
        <v>3.0</v>
      </c>
      <c r="G2138" s="92">
        <v>148.11</v>
      </c>
    </row>
    <row r="2139">
      <c r="A2139" s="6">
        <v>396.0</v>
      </c>
      <c r="B2139" s="76" t="str">
        <f>IFERROR(VLOOKUP($A2139,EVENTO!$A$2:$C$4999,2,FALSE),"")</f>
        <v>ADITIVO DE PRAZO</v>
      </c>
      <c r="C2139" s="76" t="str">
        <f>IFERROR(VLOOKUP($A2139,EVENTO!$A$2:$C$4999,3,FALSE),"")</f>
        <v>PREF. MUNICIPAL DE ARACATI - DESENVOLVIMENTO SOCIAL - 020-2022</v>
      </c>
      <c r="D2139" s="100" t="s">
        <v>1544</v>
      </c>
      <c r="E2139" s="4" t="s">
        <v>1545</v>
      </c>
      <c r="F2139" s="78">
        <v>1.0</v>
      </c>
      <c r="G2139" s="92">
        <v>534.71</v>
      </c>
    </row>
    <row r="2140">
      <c r="A2140" s="6">
        <v>396.0</v>
      </c>
      <c r="B2140" s="76" t="str">
        <f>IFERROR(VLOOKUP($A2140,EVENTO!$A$2:$C$4999,2,FALSE),"")</f>
        <v>ADITIVO DE PRAZO</v>
      </c>
      <c r="C2140" s="76" t="str">
        <f>IFERROR(VLOOKUP($A2140,EVENTO!$A$2:$C$4999,3,FALSE),"")</f>
        <v>PREF. MUNICIPAL DE ARACATI - DESENVOLVIMENTO SOCIAL - 020-2022</v>
      </c>
      <c r="D2140" s="100" t="s">
        <v>1456</v>
      </c>
      <c r="E2140" s="4" t="s">
        <v>1548</v>
      </c>
      <c r="F2140" s="78">
        <v>5.0</v>
      </c>
      <c r="G2140" s="92">
        <v>387.36</v>
      </c>
    </row>
    <row r="2141">
      <c r="A2141" s="6">
        <v>396.0</v>
      </c>
      <c r="B2141" s="76" t="str">
        <f>IFERROR(VLOOKUP($A2141,EVENTO!$A$2:$C$4999,2,FALSE),"")</f>
        <v>ADITIVO DE PRAZO</v>
      </c>
      <c r="C2141" s="76" t="str">
        <f>IFERROR(VLOOKUP($A2141,EVENTO!$A$2:$C$4999,3,FALSE),"")</f>
        <v>PREF. MUNICIPAL DE ARACATI - DESENVOLVIMENTO SOCIAL - 020-2022</v>
      </c>
      <c r="D2141" s="100" t="s">
        <v>1553</v>
      </c>
      <c r="E2141" s="4"/>
      <c r="F2141" s="78">
        <v>4.0</v>
      </c>
      <c r="G2141" s="92">
        <v>286.34</v>
      </c>
    </row>
    <row r="2142">
      <c r="A2142" s="6">
        <v>397.0</v>
      </c>
      <c r="B2142" s="76" t="str">
        <f>IFERROR(VLOOKUP($A2142,EVENTO!$A$2:$C$4999,2,FALSE),"")</f>
        <v>ADITIVO DE PRAZO</v>
      </c>
      <c r="C2142" s="76" t="str">
        <f>IFERROR(VLOOKUP($A2142,EVENTO!$A$2:$C$4999,3,FALSE),"")</f>
        <v>PREF. MUNICIPAL DE ARACATI - DESENVOLVIMENTO SOCIAL - 020-2022</v>
      </c>
      <c r="D2142" s="100" t="s">
        <v>1650</v>
      </c>
      <c r="E2142" s="4"/>
      <c r="F2142" s="78">
        <v>2.0</v>
      </c>
      <c r="G2142" s="92">
        <v>201.73</v>
      </c>
    </row>
    <row r="2143">
      <c r="A2143" s="6">
        <v>397.0</v>
      </c>
      <c r="B2143" s="76" t="str">
        <f>IFERROR(VLOOKUP($A2143,EVENTO!$A$2:$C$4999,2,FALSE),"")</f>
        <v>ADITIVO DE PRAZO</v>
      </c>
      <c r="C2143" s="76" t="str">
        <f>IFERROR(VLOOKUP($A2143,EVENTO!$A$2:$C$4999,3,FALSE),"")</f>
        <v>PREF. MUNICIPAL DE ARACATI - DESENVOLVIMENTO SOCIAL - 020-2022</v>
      </c>
      <c r="D2143" s="100" t="s">
        <v>1540</v>
      </c>
      <c r="E2143" s="4"/>
      <c r="F2143" s="78">
        <v>2.0</v>
      </c>
      <c r="G2143" s="101">
        <v>63.8</v>
      </c>
    </row>
    <row r="2144">
      <c r="A2144" s="6">
        <v>397.0</v>
      </c>
      <c r="B2144" s="76" t="str">
        <f>IFERROR(VLOOKUP($A2144,EVENTO!$A$2:$C$4999,2,FALSE),"")</f>
        <v>ADITIVO DE PRAZO</v>
      </c>
      <c r="C2144" s="76" t="str">
        <f>IFERROR(VLOOKUP($A2144,EVENTO!$A$2:$C$4999,3,FALSE),"")</f>
        <v>PREF. MUNICIPAL DE ARACATI - DESENVOLVIMENTO SOCIAL - 020-2022</v>
      </c>
      <c r="D2144" s="100" t="s">
        <v>1556</v>
      </c>
      <c r="E2144" s="4"/>
      <c r="F2144" s="78">
        <v>3.0</v>
      </c>
      <c r="G2144" s="92">
        <v>148.11</v>
      </c>
    </row>
    <row r="2145">
      <c r="A2145" s="6">
        <v>397.0</v>
      </c>
      <c r="B2145" s="76" t="str">
        <f>IFERROR(VLOOKUP($A2145,EVENTO!$A$2:$C$4999,2,FALSE),"")</f>
        <v>ADITIVO DE PRAZO</v>
      </c>
      <c r="C2145" s="76" t="str">
        <f>IFERROR(VLOOKUP($A2145,EVENTO!$A$2:$C$4999,3,FALSE),"")</f>
        <v>PREF. MUNICIPAL DE ARACATI - DESENVOLVIMENTO SOCIAL - 020-2022</v>
      </c>
      <c r="D2145" s="100" t="s">
        <v>1544</v>
      </c>
      <c r="E2145" s="4" t="s">
        <v>1545</v>
      </c>
      <c r="F2145" s="78">
        <v>1.0</v>
      </c>
      <c r="G2145" s="92">
        <v>534.71</v>
      </c>
    </row>
    <row r="2146">
      <c r="A2146" s="6">
        <v>397.0</v>
      </c>
      <c r="B2146" s="76" t="str">
        <f>IFERROR(VLOOKUP($A2146,EVENTO!$A$2:$C$4999,2,FALSE),"")</f>
        <v>ADITIVO DE PRAZO</v>
      </c>
      <c r="C2146" s="76" t="str">
        <f>IFERROR(VLOOKUP($A2146,EVENTO!$A$2:$C$4999,3,FALSE),"")</f>
        <v>PREF. MUNICIPAL DE ARACATI - DESENVOLVIMENTO SOCIAL - 020-2022</v>
      </c>
      <c r="D2146" s="100" t="s">
        <v>1456</v>
      </c>
      <c r="E2146" s="4" t="s">
        <v>1548</v>
      </c>
      <c r="F2146" s="78">
        <v>5.0</v>
      </c>
      <c r="G2146" s="92">
        <v>387.36</v>
      </c>
    </row>
    <row r="2147">
      <c r="A2147" s="6">
        <v>397.0</v>
      </c>
      <c r="B2147" s="76" t="str">
        <f>IFERROR(VLOOKUP($A2147,EVENTO!$A$2:$C$4999,2,FALSE),"")</f>
        <v>ADITIVO DE PRAZO</v>
      </c>
      <c r="C2147" s="76" t="str">
        <f>IFERROR(VLOOKUP($A2147,EVENTO!$A$2:$C$4999,3,FALSE),"")</f>
        <v>PREF. MUNICIPAL DE ARACATI - DESENVOLVIMENTO SOCIAL - 020-2022</v>
      </c>
      <c r="D2147" s="100" t="s">
        <v>1553</v>
      </c>
      <c r="E2147" s="4"/>
      <c r="F2147" s="78">
        <v>4.0</v>
      </c>
      <c r="G2147" s="92">
        <v>286.34</v>
      </c>
    </row>
    <row r="2148">
      <c r="A2148" s="6">
        <v>398.0</v>
      </c>
      <c r="B2148" s="76" t="str">
        <f>IFERROR(VLOOKUP($A2148,EVENTO!$A$2:$C$4999,2,FALSE),"")</f>
        <v>ADITIVO DE PRAZO</v>
      </c>
      <c r="C2148" s="76" t="str">
        <f>IFERROR(VLOOKUP($A2148,EVENTO!$A$2:$C$4999,3,FALSE),"")</f>
        <v>PREF. MUNICIPAL DE ARACATI - DESENVOLVIMENTO SOCIAL - 020-2022</v>
      </c>
      <c r="D2148" s="100" t="s">
        <v>1650</v>
      </c>
      <c r="E2148" s="4"/>
      <c r="F2148" s="78">
        <v>2.0</v>
      </c>
      <c r="G2148" s="92">
        <v>201.73</v>
      </c>
    </row>
    <row r="2149">
      <c r="A2149" s="6">
        <v>398.0</v>
      </c>
      <c r="B2149" s="76" t="str">
        <f>IFERROR(VLOOKUP($A2149,EVENTO!$A$2:$C$4999,2,FALSE),"")</f>
        <v>ADITIVO DE PRAZO</v>
      </c>
      <c r="C2149" s="76" t="str">
        <f>IFERROR(VLOOKUP($A2149,EVENTO!$A$2:$C$4999,3,FALSE),"")</f>
        <v>PREF. MUNICIPAL DE ARACATI - DESENVOLVIMENTO SOCIAL - 020-2022</v>
      </c>
      <c r="D2149" s="100" t="s">
        <v>1540</v>
      </c>
      <c r="E2149" s="4"/>
      <c r="F2149" s="78">
        <v>2.0</v>
      </c>
      <c r="G2149" s="101">
        <v>63.8</v>
      </c>
    </row>
    <row r="2150">
      <c r="A2150" s="6">
        <v>398.0</v>
      </c>
      <c r="B2150" s="76" t="str">
        <f>IFERROR(VLOOKUP($A2150,EVENTO!$A$2:$C$4999,2,FALSE),"")</f>
        <v>ADITIVO DE PRAZO</v>
      </c>
      <c r="C2150" s="76" t="str">
        <f>IFERROR(VLOOKUP($A2150,EVENTO!$A$2:$C$4999,3,FALSE),"")</f>
        <v>PREF. MUNICIPAL DE ARACATI - DESENVOLVIMENTO SOCIAL - 020-2022</v>
      </c>
      <c r="D2150" s="100" t="s">
        <v>1556</v>
      </c>
      <c r="E2150" s="4"/>
      <c r="F2150" s="78">
        <v>3.0</v>
      </c>
      <c r="G2150" s="92">
        <v>148.11</v>
      </c>
    </row>
    <row r="2151">
      <c r="A2151" s="6">
        <v>398.0</v>
      </c>
      <c r="B2151" s="76" t="str">
        <f>IFERROR(VLOOKUP($A2151,EVENTO!$A$2:$C$4999,2,FALSE),"")</f>
        <v>ADITIVO DE PRAZO</v>
      </c>
      <c r="C2151" s="76" t="str">
        <f>IFERROR(VLOOKUP($A2151,EVENTO!$A$2:$C$4999,3,FALSE),"")</f>
        <v>PREF. MUNICIPAL DE ARACATI - DESENVOLVIMENTO SOCIAL - 020-2022</v>
      </c>
      <c r="D2151" s="100" t="s">
        <v>1544</v>
      </c>
      <c r="E2151" s="4" t="s">
        <v>1545</v>
      </c>
      <c r="F2151" s="78">
        <v>1.0</v>
      </c>
      <c r="G2151" s="92">
        <v>534.71</v>
      </c>
    </row>
    <row r="2152">
      <c r="A2152" s="6">
        <v>398.0</v>
      </c>
      <c r="B2152" s="76" t="str">
        <f>IFERROR(VLOOKUP($A2152,EVENTO!$A$2:$C$4999,2,FALSE),"")</f>
        <v>ADITIVO DE PRAZO</v>
      </c>
      <c r="C2152" s="76" t="str">
        <f>IFERROR(VLOOKUP($A2152,EVENTO!$A$2:$C$4999,3,FALSE),"")</f>
        <v>PREF. MUNICIPAL DE ARACATI - DESENVOLVIMENTO SOCIAL - 020-2022</v>
      </c>
      <c r="D2152" s="100" t="s">
        <v>1456</v>
      </c>
      <c r="E2152" s="4" t="s">
        <v>1548</v>
      </c>
      <c r="F2152" s="78">
        <v>5.0</v>
      </c>
      <c r="G2152" s="92">
        <v>387.36</v>
      </c>
    </row>
    <row r="2153">
      <c r="A2153" s="6">
        <v>398.0</v>
      </c>
      <c r="B2153" s="76" t="str">
        <f>IFERROR(VLOOKUP($A2153,EVENTO!$A$2:$C$4999,2,FALSE),"")</f>
        <v>ADITIVO DE PRAZO</v>
      </c>
      <c r="C2153" s="76" t="str">
        <f>IFERROR(VLOOKUP($A2153,EVENTO!$A$2:$C$4999,3,FALSE),"")</f>
        <v>PREF. MUNICIPAL DE ARACATI - DESENVOLVIMENTO SOCIAL - 020-2022</v>
      </c>
      <c r="D2153" s="100" t="s">
        <v>1553</v>
      </c>
      <c r="E2153" s="4"/>
      <c r="F2153" s="78">
        <v>4.0</v>
      </c>
      <c r="G2153" s="92">
        <v>286.34</v>
      </c>
    </row>
    <row r="2154">
      <c r="A2154" s="6">
        <v>399.0</v>
      </c>
      <c r="B2154" s="76" t="str">
        <f>IFERROR(VLOOKUP($A2154,EVENTO!$A$2:$C$4999,2,FALSE),"")</f>
        <v>ADITIVO DE PRAZO</v>
      </c>
      <c r="C2154" s="76" t="str">
        <f>IFERROR(VLOOKUP($A2154,EVENTO!$A$2:$C$4999,3,FALSE),"")</f>
        <v>PREF. MUNICIPAL DE ARACATI - DESENVOLVIMENTO SOCIAL - 020-2022</v>
      </c>
      <c r="D2154" s="100" t="s">
        <v>1650</v>
      </c>
      <c r="E2154" s="4"/>
      <c r="F2154" s="78">
        <v>2.0</v>
      </c>
      <c r="G2154" s="92">
        <v>201.73</v>
      </c>
    </row>
    <row r="2155">
      <c r="A2155" s="6">
        <v>399.0</v>
      </c>
      <c r="B2155" s="76" t="str">
        <f>IFERROR(VLOOKUP($A2155,EVENTO!$A$2:$C$4999,2,FALSE),"")</f>
        <v>ADITIVO DE PRAZO</v>
      </c>
      <c r="C2155" s="76" t="str">
        <f>IFERROR(VLOOKUP($A2155,EVENTO!$A$2:$C$4999,3,FALSE),"")</f>
        <v>PREF. MUNICIPAL DE ARACATI - DESENVOLVIMENTO SOCIAL - 020-2022</v>
      </c>
      <c r="D2155" s="100" t="s">
        <v>1540</v>
      </c>
      <c r="E2155" s="4"/>
      <c r="F2155" s="78">
        <v>2.0</v>
      </c>
      <c r="G2155" s="101">
        <v>63.8</v>
      </c>
    </row>
    <row r="2156">
      <c r="A2156" s="6">
        <v>399.0</v>
      </c>
      <c r="B2156" s="76" t="str">
        <f>IFERROR(VLOOKUP($A2156,EVENTO!$A$2:$C$4999,2,FALSE),"")</f>
        <v>ADITIVO DE PRAZO</v>
      </c>
      <c r="C2156" s="76" t="str">
        <f>IFERROR(VLOOKUP($A2156,EVENTO!$A$2:$C$4999,3,FALSE),"")</f>
        <v>PREF. MUNICIPAL DE ARACATI - DESENVOLVIMENTO SOCIAL - 020-2022</v>
      </c>
      <c r="D2156" s="100" t="s">
        <v>1556</v>
      </c>
      <c r="E2156" s="4"/>
      <c r="F2156" s="78">
        <v>3.0</v>
      </c>
      <c r="G2156" s="92">
        <v>148.11</v>
      </c>
    </row>
    <row r="2157">
      <c r="A2157" s="6">
        <v>399.0</v>
      </c>
      <c r="B2157" s="76" t="str">
        <f>IFERROR(VLOOKUP($A2157,EVENTO!$A$2:$C$4999,2,FALSE),"")</f>
        <v>ADITIVO DE PRAZO</v>
      </c>
      <c r="C2157" s="76" t="str">
        <f>IFERROR(VLOOKUP($A2157,EVENTO!$A$2:$C$4999,3,FALSE),"")</f>
        <v>PREF. MUNICIPAL DE ARACATI - DESENVOLVIMENTO SOCIAL - 020-2022</v>
      </c>
      <c r="D2157" s="100" t="s">
        <v>1544</v>
      </c>
      <c r="E2157" s="4" t="s">
        <v>1545</v>
      </c>
      <c r="F2157" s="78">
        <v>1.0</v>
      </c>
      <c r="G2157" s="92">
        <v>534.71</v>
      </c>
    </row>
    <row r="2158">
      <c r="A2158" s="6">
        <v>399.0</v>
      </c>
      <c r="B2158" s="76" t="str">
        <f>IFERROR(VLOOKUP($A2158,EVENTO!$A$2:$C$4999,2,FALSE),"")</f>
        <v>ADITIVO DE PRAZO</v>
      </c>
      <c r="C2158" s="76" t="str">
        <f>IFERROR(VLOOKUP($A2158,EVENTO!$A$2:$C$4999,3,FALSE),"")</f>
        <v>PREF. MUNICIPAL DE ARACATI - DESENVOLVIMENTO SOCIAL - 020-2022</v>
      </c>
      <c r="D2158" s="100" t="s">
        <v>1456</v>
      </c>
      <c r="E2158" s="4" t="s">
        <v>1548</v>
      </c>
      <c r="F2158" s="78">
        <v>5.0</v>
      </c>
      <c r="G2158" s="92">
        <v>387.36</v>
      </c>
    </row>
    <row r="2159">
      <c r="A2159" s="6">
        <v>399.0</v>
      </c>
      <c r="B2159" s="76" t="str">
        <f>IFERROR(VLOOKUP($A2159,EVENTO!$A$2:$C$4999,2,FALSE),"")</f>
        <v>ADITIVO DE PRAZO</v>
      </c>
      <c r="C2159" s="76" t="str">
        <f>IFERROR(VLOOKUP($A2159,EVENTO!$A$2:$C$4999,3,FALSE),"")</f>
        <v>PREF. MUNICIPAL DE ARACATI - DESENVOLVIMENTO SOCIAL - 020-2022</v>
      </c>
      <c r="D2159" s="100" t="s">
        <v>1553</v>
      </c>
      <c r="E2159" s="4"/>
      <c r="F2159" s="78">
        <v>4.0</v>
      </c>
      <c r="G2159" s="92">
        <v>286.34</v>
      </c>
    </row>
    <row r="2160">
      <c r="A2160" s="6">
        <v>401.0</v>
      </c>
      <c r="B2160" s="76" t="str">
        <f>IFERROR(VLOOKUP($A2160,EVENTO!$A$2:$C$4999,2,FALSE),"")</f>
        <v>CADASTRO</v>
      </c>
      <c r="C2160" s="76" t="str">
        <f>IFERROR(VLOOKUP($A2160,EVENTO!$A$2:$C$4999,3,FALSE),"")</f>
        <v>ISG - CCC &amp; HUC - 106951-21</v>
      </c>
      <c r="D2160" s="78" t="s">
        <v>1729</v>
      </c>
      <c r="E2160" s="6" t="s">
        <v>1731</v>
      </c>
      <c r="F2160" s="78">
        <v>3.0</v>
      </c>
      <c r="G2160" s="101">
        <v>79.0</v>
      </c>
    </row>
    <row r="2161">
      <c r="A2161" s="6">
        <v>402.0</v>
      </c>
      <c r="B2161" s="76" t="str">
        <f>IFERROR(VLOOKUP($A2161,EVENTO!$A$2:$C$4999,2,FALSE),"")</f>
        <v>ADITIVO DE PRAZO</v>
      </c>
      <c r="C2161" s="76" t="str">
        <f>IFERROR(VLOOKUP($A2161,EVENTO!$A$2:$C$4999,3,FALSE),"")</f>
        <v>ISG - CCC &amp; HUC - 106951-21</v>
      </c>
      <c r="D2161" s="78" t="s">
        <v>1729</v>
      </c>
      <c r="E2161" s="6" t="s">
        <v>1731</v>
      </c>
      <c r="F2161" s="78">
        <v>3.0</v>
      </c>
      <c r="G2161" s="101">
        <v>79.0</v>
      </c>
    </row>
    <row r="2162">
      <c r="A2162" s="6">
        <v>403.0</v>
      </c>
      <c r="B2162" s="76" t="str">
        <f>IFERROR(VLOOKUP($A2162,EVENTO!$A$2:$C$4999,2,FALSE),"")</f>
        <v>ADITIVO DE PRAZO</v>
      </c>
      <c r="C2162" s="76" t="str">
        <f>IFERROR(VLOOKUP($A2162,EVENTO!$A$2:$C$4999,3,FALSE),"")</f>
        <v>ISG - CCC &amp; HUC - 106951-21</v>
      </c>
      <c r="D2162" s="78" t="s">
        <v>1729</v>
      </c>
      <c r="E2162" s="6" t="s">
        <v>1731</v>
      </c>
      <c r="F2162" s="78">
        <v>3.0</v>
      </c>
      <c r="G2162" s="101">
        <v>79.0</v>
      </c>
    </row>
    <row r="2163">
      <c r="A2163" s="6">
        <v>404.0</v>
      </c>
      <c r="B2163" s="76" t="str">
        <f>IFERROR(VLOOKUP($A2163,EVENTO!$A$2:$C$4999,2,FALSE),"")</f>
        <v>ADITIVO DE PRAZO</v>
      </c>
      <c r="C2163" s="76" t="str">
        <f>IFERROR(VLOOKUP($A2163,EVENTO!$A$2:$C$4999,3,FALSE),"")</f>
        <v>ISG - CCC &amp; HUC - 106951-21</v>
      </c>
      <c r="D2163" s="78" t="s">
        <v>1729</v>
      </c>
      <c r="E2163" s="6" t="s">
        <v>1731</v>
      </c>
      <c r="F2163" s="78">
        <v>3.0</v>
      </c>
      <c r="G2163" s="101">
        <v>79.0</v>
      </c>
    </row>
    <row r="2164">
      <c r="A2164" s="6">
        <v>405.0</v>
      </c>
      <c r="B2164" s="76" t="str">
        <f>IFERROR(VLOOKUP($A2164,EVENTO!$A$2:$C$4999,2,FALSE),"")</f>
        <v>ADITIVO DE PRAZO</v>
      </c>
      <c r="C2164" s="76" t="str">
        <f>IFERROR(VLOOKUP($A2164,EVENTO!$A$2:$C$4999,3,FALSE),"")</f>
        <v>ISG - CCC &amp; HUC - 106951-21</v>
      </c>
      <c r="D2164" s="78" t="s">
        <v>1729</v>
      </c>
      <c r="E2164" s="6" t="s">
        <v>1731</v>
      </c>
      <c r="F2164" s="78">
        <v>3.0</v>
      </c>
      <c r="G2164" s="101">
        <v>79.0</v>
      </c>
    </row>
    <row r="2165">
      <c r="A2165" s="6">
        <v>406.0</v>
      </c>
      <c r="B2165" s="76" t="str">
        <f>IFERROR(VLOOKUP($A2165,EVENTO!$A$2:$C$4999,2,FALSE),"")</f>
        <v>ADITIVO DE QUANTIDADE</v>
      </c>
      <c r="C2165" s="76" t="str">
        <f>IFERROR(VLOOKUP($A2165,EVENTO!$A$2:$C$4999,3,FALSE),"")</f>
        <v>ISG - CCC &amp; HUC - 106951-21</v>
      </c>
      <c r="D2165" s="78" t="s">
        <v>1729</v>
      </c>
      <c r="E2165" s="6" t="s">
        <v>1731</v>
      </c>
      <c r="F2165" s="78">
        <v>10.0</v>
      </c>
      <c r="G2165" s="101">
        <v>79.0</v>
      </c>
    </row>
    <row r="2166">
      <c r="A2166" s="6">
        <v>406.0</v>
      </c>
      <c r="B2166" s="76" t="str">
        <f>IFERROR(VLOOKUP($A2166,EVENTO!$A$2:$C$4999,2,FALSE),"")</f>
        <v>ADITIVO DE QUANTIDADE</v>
      </c>
      <c r="C2166" s="76" t="str">
        <f>IFERROR(VLOOKUP($A2166,EVENTO!$A$2:$C$4999,3,FALSE),"")</f>
        <v>ISG - CCC &amp; HUC - 106951-21</v>
      </c>
      <c r="D2166" s="78" t="s">
        <v>1729</v>
      </c>
      <c r="E2166" s="6" t="s">
        <v>1732</v>
      </c>
      <c r="F2166" s="78">
        <v>7.0</v>
      </c>
      <c r="G2166" s="101">
        <v>79.0</v>
      </c>
    </row>
    <row r="2167">
      <c r="A2167" s="6">
        <v>407.0</v>
      </c>
      <c r="B2167" s="76" t="str">
        <f>IFERROR(VLOOKUP($A2167,EVENTO!$A$2:$C$4999,2,FALSE),"")</f>
        <v>ADITIVO DE QUANTIDADE</v>
      </c>
      <c r="C2167" s="76" t="str">
        <f>IFERROR(VLOOKUP($A2167,EVENTO!$A$2:$C$4999,3,FALSE),"")</f>
        <v>ISG - CCC &amp; HUC - 106951-21</v>
      </c>
      <c r="D2167" s="100" t="s">
        <v>1729</v>
      </c>
      <c r="E2167" s="4" t="s">
        <v>1731</v>
      </c>
      <c r="F2167" s="78">
        <v>3.0</v>
      </c>
      <c r="G2167" s="92">
        <v>79.0</v>
      </c>
    </row>
    <row r="2168">
      <c r="A2168" s="6">
        <v>407.0</v>
      </c>
      <c r="B2168" s="76" t="str">
        <f>IFERROR(VLOOKUP($A2168,EVENTO!$A$2:$C$4999,2,FALSE),"")</f>
        <v>ADITIVO DE QUANTIDADE</v>
      </c>
      <c r="C2168" s="76" t="str">
        <f>IFERROR(VLOOKUP($A2168,EVENTO!$A$2:$C$4999,3,FALSE),"")</f>
        <v>ISG - CCC &amp; HUC - 106951-21</v>
      </c>
      <c r="D2168" s="100" t="s">
        <v>1729</v>
      </c>
      <c r="E2168" s="4" t="s">
        <v>1731</v>
      </c>
      <c r="F2168" s="78">
        <v>10.0</v>
      </c>
      <c r="G2168" s="92">
        <v>79.0</v>
      </c>
    </row>
    <row r="2169">
      <c r="A2169" s="6">
        <v>407.0</v>
      </c>
      <c r="B2169" s="76" t="str">
        <f>IFERROR(VLOOKUP($A2169,EVENTO!$A$2:$C$4999,2,FALSE),"")</f>
        <v>ADITIVO DE QUANTIDADE</v>
      </c>
      <c r="C2169" s="76" t="str">
        <f>IFERROR(VLOOKUP($A2169,EVENTO!$A$2:$C$4999,3,FALSE),"")</f>
        <v>ISG - CCC &amp; HUC - 106951-21</v>
      </c>
      <c r="D2169" s="100" t="s">
        <v>1729</v>
      </c>
      <c r="E2169" s="4" t="s">
        <v>1732</v>
      </c>
      <c r="F2169" s="78">
        <v>20.0</v>
      </c>
      <c r="G2169" s="92">
        <v>79.0</v>
      </c>
    </row>
    <row r="2170">
      <c r="A2170" s="6">
        <v>407.0</v>
      </c>
      <c r="B2170" s="76" t="str">
        <f>IFERROR(VLOOKUP($A2170,EVENTO!$A$2:$C$4999,2,FALSE),"")</f>
        <v>ADITIVO DE QUANTIDADE</v>
      </c>
      <c r="C2170" s="76" t="str">
        <f>IFERROR(VLOOKUP($A2170,EVENTO!$A$2:$C$4999,3,FALSE),"")</f>
        <v>ISG - CCC &amp; HUC - 106951-21</v>
      </c>
      <c r="D2170" s="100" t="s">
        <v>1729</v>
      </c>
      <c r="E2170" s="4" t="s">
        <v>1732</v>
      </c>
      <c r="F2170" s="78">
        <v>13.0</v>
      </c>
      <c r="G2170" s="92">
        <v>79.0</v>
      </c>
    </row>
    <row r="2171">
      <c r="A2171" s="6">
        <v>409.0</v>
      </c>
      <c r="B2171" s="76" t="str">
        <f>IFERROR(VLOOKUP($A2171,EVENTO!$A$2:$C$4999,2,FALSE),"")</f>
        <v>ADITIVO DE PRAZO</v>
      </c>
      <c r="C2171" s="76" t="str">
        <f>IFERROR(VLOOKUP($A2171,EVENTO!$A$2:$C$4999,3,FALSE),"")</f>
        <v>ISG - CCC &amp; HUC - 106951-21</v>
      </c>
      <c r="D2171" s="78" t="s">
        <v>1729</v>
      </c>
      <c r="E2171" s="6" t="s">
        <v>1732</v>
      </c>
      <c r="F2171" s="78">
        <v>7.0</v>
      </c>
      <c r="G2171" s="101">
        <v>79.0</v>
      </c>
    </row>
    <row r="2172">
      <c r="A2172" s="6">
        <v>409.0</v>
      </c>
      <c r="B2172" s="76" t="str">
        <f>IFERROR(VLOOKUP($A2172,EVENTO!$A$2:$C$4999,2,FALSE),"")</f>
        <v>ADITIVO DE PRAZO</v>
      </c>
      <c r="C2172" s="76" t="str">
        <f>IFERROR(VLOOKUP($A2172,EVENTO!$A$2:$C$4999,3,FALSE),"")</f>
        <v>ISG - CCC &amp; HUC - 106951-21</v>
      </c>
      <c r="D2172" s="100" t="s">
        <v>1729</v>
      </c>
      <c r="E2172" s="4" t="s">
        <v>1731</v>
      </c>
      <c r="F2172" s="78">
        <v>3.0</v>
      </c>
      <c r="G2172" s="92">
        <v>79.0</v>
      </c>
    </row>
    <row r="2173">
      <c r="A2173" s="6">
        <v>409.0</v>
      </c>
      <c r="B2173" s="76" t="str">
        <f>IFERROR(VLOOKUP($A2173,EVENTO!$A$2:$C$4999,2,FALSE),"")</f>
        <v>ADITIVO DE PRAZO</v>
      </c>
      <c r="C2173" s="76" t="str">
        <f>IFERROR(VLOOKUP($A2173,EVENTO!$A$2:$C$4999,3,FALSE),"")</f>
        <v>ISG - CCC &amp; HUC - 106951-21</v>
      </c>
      <c r="D2173" s="100" t="s">
        <v>1729</v>
      </c>
      <c r="E2173" s="4" t="s">
        <v>1731</v>
      </c>
      <c r="F2173" s="78">
        <v>10.0</v>
      </c>
      <c r="G2173" s="92">
        <v>79.0</v>
      </c>
    </row>
    <row r="2174">
      <c r="A2174" s="6">
        <v>409.0</v>
      </c>
      <c r="B2174" s="76" t="str">
        <f>IFERROR(VLOOKUP($A2174,EVENTO!$A$2:$C$4999,2,FALSE),"")</f>
        <v>ADITIVO DE PRAZO</v>
      </c>
      <c r="C2174" s="76" t="str">
        <f>IFERROR(VLOOKUP($A2174,EVENTO!$A$2:$C$4999,3,FALSE),"")</f>
        <v>ISG - CCC &amp; HUC - 106951-21</v>
      </c>
      <c r="D2174" s="100" t="s">
        <v>1729</v>
      </c>
      <c r="E2174" s="4" t="s">
        <v>1732</v>
      </c>
      <c r="F2174" s="78">
        <v>20.0</v>
      </c>
      <c r="G2174" s="92">
        <v>79.0</v>
      </c>
    </row>
    <row r="2175">
      <c r="A2175" s="6">
        <v>409.0</v>
      </c>
      <c r="B2175" s="76" t="str">
        <f>IFERROR(VLOOKUP($A2175,EVENTO!$A$2:$C$4999,2,FALSE),"")</f>
        <v>ADITIVO DE PRAZO</v>
      </c>
      <c r="C2175" s="76" t="str">
        <f>IFERROR(VLOOKUP($A2175,EVENTO!$A$2:$C$4999,3,FALSE),"")</f>
        <v>ISG - CCC &amp; HUC - 106951-21</v>
      </c>
      <c r="D2175" s="100" t="s">
        <v>1729</v>
      </c>
      <c r="E2175" s="4" t="s">
        <v>1732</v>
      </c>
      <c r="F2175" s="78">
        <v>13.0</v>
      </c>
      <c r="G2175" s="92">
        <v>79.0</v>
      </c>
    </row>
    <row r="2176">
      <c r="A2176" s="6">
        <v>410.0</v>
      </c>
      <c r="B2176" s="76" t="str">
        <f>IFERROR(VLOOKUP($A2176,EVENTO!$A$2:$C$4999,2,FALSE),"")</f>
        <v>CADASTRO</v>
      </c>
      <c r="C2176" s="76" t="str">
        <f>IFERROR(VLOOKUP($A2176,EVENTO!$A$2:$C$4999,3,FALSE),"")</f>
        <v>ISG - CCC - 106967-21</v>
      </c>
      <c r="D2176" s="78" t="s">
        <v>1549</v>
      </c>
      <c r="E2176" s="6" t="s">
        <v>1550</v>
      </c>
      <c r="F2176" s="78">
        <v>12.0</v>
      </c>
      <c r="G2176" s="98">
        <v>139.0</v>
      </c>
    </row>
    <row r="2177">
      <c r="A2177" s="6">
        <v>411.0</v>
      </c>
      <c r="B2177" s="76" t="str">
        <f>IFERROR(VLOOKUP($A2177,EVENTO!$A$2:$C$4999,2,FALSE),"")</f>
        <v>ADITIVO DE PRAZO</v>
      </c>
      <c r="C2177" s="76" t="str">
        <f>IFERROR(VLOOKUP($A2177,EVENTO!$A$2:$C$4999,3,FALSE),"")</f>
        <v>ISG - CCC - 106967-21</v>
      </c>
      <c r="D2177" s="78" t="s">
        <v>1549</v>
      </c>
      <c r="E2177" s="6" t="s">
        <v>1550</v>
      </c>
      <c r="F2177" s="78">
        <v>12.0</v>
      </c>
      <c r="G2177" s="98">
        <v>139.0</v>
      </c>
    </row>
    <row r="2178">
      <c r="A2178" s="6">
        <v>412.0</v>
      </c>
      <c r="B2178" s="76" t="str">
        <f>IFERROR(VLOOKUP($A2178,EVENTO!$A$2:$C$4999,2,FALSE),"")</f>
        <v>ADITIVO DE QUANTIDADE</v>
      </c>
      <c r="C2178" s="76" t="str">
        <f>IFERROR(VLOOKUP($A2178,EVENTO!$A$2:$C$4999,3,FALSE),"")</f>
        <v>ISG - CCC - 106967-21</v>
      </c>
      <c r="D2178" s="78" t="s">
        <v>1549</v>
      </c>
      <c r="E2178" s="6" t="s">
        <v>1550</v>
      </c>
      <c r="F2178" s="78">
        <v>15.0</v>
      </c>
      <c r="G2178" s="98">
        <v>139.0</v>
      </c>
    </row>
    <row r="2179">
      <c r="A2179" s="6">
        <v>413.0</v>
      </c>
      <c r="B2179" s="76" t="str">
        <f>IFERROR(VLOOKUP($A2179,EVENTO!$A$2:$C$4999,2,FALSE),"")</f>
        <v>ADITIVO DE PRAZO</v>
      </c>
      <c r="C2179" s="76" t="str">
        <f>IFERROR(VLOOKUP($A2179,EVENTO!$A$2:$C$4999,3,FALSE),"")</f>
        <v>ISG - CCC - 106967-21</v>
      </c>
      <c r="D2179" s="78" t="s">
        <v>1549</v>
      </c>
      <c r="E2179" s="6" t="s">
        <v>1550</v>
      </c>
      <c r="F2179" s="78">
        <v>15.0</v>
      </c>
      <c r="G2179" s="98">
        <v>139.0</v>
      </c>
    </row>
    <row r="2180">
      <c r="A2180" s="6">
        <v>408.0</v>
      </c>
      <c r="B2180" s="76" t="str">
        <f>IFERROR(VLOOKUP($A2180,EVENTO!$A$2:$C$4999,2,FALSE),"")</f>
        <v>CADASTRO</v>
      </c>
      <c r="C2180" s="76" t="str">
        <f>IFERROR(VLOOKUP($A2180,EVENTO!$A$2:$C$4999,3,FALSE),"")</f>
        <v>PREFEITURA MUNICIPAL DE CAUCAIA -  SECRETARIA DE GESTÃO E GOVERNO</v>
      </c>
      <c r="D2180" s="102" t="s">
        <v>1546</v>
      </c>
      <c r="E2180" s="96" t="s">
        <v>1547</v>
      </c>
      <c r="F2180" s="78">
        <v>8.0</v>
      </c>
      <c r="G2180" s="98">
        <v>270.39</v>
      </c>
    </row>
    <row r="2181">
      <c r="A2181" s="6">
        <v>408.0</v>
      </c>
      <c r="B2181" s="76" t="str">
        <f>IFERROR(VLOOKUP($A2181,EVENTO!$A$2:$C$4999,2,FALSE),"")</f>
        <v>CADASTRO</v>
      </c>
      <c r="C2181" s="76" t="str">
        <f>IFERROR(VLOOKUP($A2181,EVENTO!$A$2:$C$4999,3,FALSE),"")</f>
        <v>PREFEITURA MUNICIPAL DE CAUCAIA -  SECRETARIA DE GESTÃO E GOVERNO</v>
      </c>
      <c r="D2181" s="102" t="s">
        <v>1551</v>
      </c>
      <c r="E2181" s="96" t="s">
        <v>1552</v>
      </c>
      <c r="F2181" s="78">
        <v>15.0</v>
      </c>
      <c r="G2181" s="98">
        <v>173.93</v>
      </c>
    </row>
    <row r="2182">
      <c r="A2182" s="6">
        <v>408.0</v>
      </c>
      <c r="B2182" s="76" t="str">
        <f>IFERROR(VLOOKUP($A2182,EVENTO!$A$2:$C$4999,2,FALSE),"")</f>
        <v>CADASTRO</v>
      </c>
      <c r="C2182" s="76" t="str">
        <f>IFERROR(VLOOKUP($A2182,EVENTO!$A$2:$C$4999,3,FALSE),"")</f>
        <v>PREFEITURA MUNICIPAL DE CAUCAIA -  SECRETARIA DE GESTÃO E GOVERNO</v>
      </c>
      <c r="D2182" s="102" t="s">
        <v>1733</v>
      </c>
      <c r="E2182" s="96" t="s">
        <v>1734</v>
      </c>
      <c r="F2182" s="78">
        <v>2.0</v>
      </c>
      <c r="G2182" s="98">
        <v>286.34</v>
      </c>
    </row>
    <row r="2183">
      <c r="A2183" s="6">
        <v>408.0</v>
      </c>
      <c r="B2183" s="76" t="str">
        <f>IFERROR(VLOOKUP($A2183,EVENTO!$A$2:$C$4999,2,FALSE),"")</f>
        <v>CADASTRO</v>
      </c>
      <c r="C2183" s="76" t="str">
        <f>IFERROR(VLOOKUP($A2183,EVENTO!$A$2:$C$4999,3,FALSE),"")</f>
        <v>PREFEITURA MUNICIPAL DE CAUCAIA -  SECRETARIA DE GESTÃO E GOVERNO</v>
      </c>
      <c r="D2183" s="102" t="s">
        <v>1735</v>
      </c>
      <c r="E2183" s="96" t="s">
        <v>1736</v>
      </c>
      <c r="F2183" s="78">
        <v>6.0</v>
      </c>
      <c r="G2183" s="98">
        <v>148.11</v>
      </c>
    </row>
    <row r="2184">
      <c r="A2184" s="6">
        <v>408.0</v>
      </c>
      <c r="B2184" s="76" t="str">
        <f>IFERROR(VLOOKUP($A2184,EVENTO!$A$2:$C$4999,2,FALSE),"")</f>
        <v>CADASTRO</v>
      </c>
      <c r="C2184" s="76" t="str">
        <f>IFERROR(VLOOKUP($A2184,EVENTO!$A$2:$C$4999,3,FALSE),"")</f>
        <v>PREFEITURA MUNICIPAL DE CAUCAIA -  SECRETARIA DE GESTÃO E GOVERNO</v>
      </c>
      <c r="D2184" s="102" t="s">
        <v>1737</v>
      </c>
      <c r="E2184" s="96" t="s">
        <v>1738</v>
      </c>
      <c r="F2184" s="78">
        <v>1.0</v>
      </c>
      <c r="G2184" s="98">
        <v>181.17</v>
      </c>
    </row>
    <row r="2185">
      <c r="A2185" s="6">
        <v>408.0</v>
      </c>
      <c r="B2185" s="76" t="str">
        <f>IFERROR(VLOOKUP($A2185,EVENTO!$A$2:$C$4999,2,FALSE),"")</f>
        <v>CADASTRO</v>
      </c>
      <c r="C2185" s="76" t="str">
        <f>IFERROR(VLOOKUP($A2185,EVENTO!$A$2:$C$4999,3,FALSE),"")</f>
        <v>PREFEITURA MUNICIPAL DE CAUCAIA -  SECRETARIA DE GESTÃO E GOVERNO</v>
      </c>
      <c r="D2185" s="39" t="s">
        <v>1739</v>
      </c>
      <c r="E2185" s="96" t="s">
        <v>1740</v>
      </c>
      <c r="F2185" s="78">
        <v>4.0</v>
      </c>
      <c r="G2185" s="98">
        <v>36.65</v>
      </c>
    </row>
    <row r="2186">
      <c r="A2186" s="6">
        <v>414.0</v>
      </c>
      <c r="B2186" s="76" t="str">
        <f>IFERROR(VLOOKUP($A2186,EVENTO!$A$2:$C$4999,2,FALSE),"")</f>
        <v>ADITIVO DE PRAZO</v>
      </c>
      <c r="C2186" s="76" t="str">
        <f>IFERROR(VLOOKUP($A2186,EVENTO!$A$2:$C$4999,3,FALSE),"")</f>
        <v>ISG - CCC - 106967-21</v>
      </c>
      <c r="D2186" s="78" t="s">
        <v>1549</v>
      </c>
      <c r="E2186" s="6" t="s">
        <v>1550</v>
      </c>
      <c r="F2186" s="78">
        <v>15.0</v>
      </c>
      <c r="G2186" s="98">
        <v>139.0</v>
      </c>
    </row>
    <row r="2187">
      <c r="A2187" s="6">
        <v>415.0</v>
      </c>
      <c r="B2187" s="76" t="str">
        <f>IFERROR(VLOOKUP($A2187,EVENTO!$A$2:$C$4999,2,FALSE),"")</f>
        <v>ADITIVO DE PRAZO</v>
      </c>
      <c r="C2187" s="76" t="str">
        <f>IFERROR(VLOOKUP($A2187,EVENTO!$A$2:$C$4999,3,FALSE),"")</f>
        <v>ISG - CCC - 106967-21</v>
      </c>
      <c r="D2187" s="78" t="s">
        <v>1549</v>
      </c>
      <c r="E2187" s="6" t="s">
        <v>1550</v>
      </c>
      <c r="F2187" s="78">
        <v>15.0</v>
      </c>
      <c r="G2187" s="98">
        <v>139.0</v>
      </c>
    </row>
    <row r="2188">
      <c r="A2188" s="6">
        <v>416.0</v>
      </c>
      <c r="B2188" s="76" t="str">
        <f>IFERROR(VLOOKUP($A2188,EVENTO!$A$2:$C$4999,2,FALSE),"")</f>
        <v>ADITIVO DE PRAZO</v>
      </c>
      <c r="C2188" s="76" t="str">
        <f>IFERROR(VLOOKUP($A2188,EVENTO!$A$2:$C$4999,3,FALSE),"")</f>
        <v>ISG - CCC - 106967-21</v>
      </c>
      <c r="D2188" s="78" t="s">
        <v>1549</v>
      </c>
      <c r="E2188" s="6" t="s">
        <v>1550</v>
      </c>
      <c r="F2188" s="78">
        <v>15.0</v>
      </c>
      <c r="G2188" s="98">
        <v>139.0</v>
      </c>
    </row>
    <row r="2189">
      <c r="A2189" s="6">
        <v>420.0</v>
      </c>
      <c r="B2189" s="76" t="str">
        <f>IFERROR(VLOOKUP($A2189,EVENTO!$A$2:$C$4999,2,FALSE),"")</f>
        <v>CADASTRO</v>
      </c>
      <c r="C2189" s="76" t="str">
        <f>IFERROR(VLOOKUP($A2189,EVENTO!$A$2:$C$4999,3,FALSE),"")</f>
        <v>ISG - PRIMILAB</v>
      </c>
      <c r="D2189" s="100" t="s">
        <v>1729</v>
      </c>
      <c r="E2189" s="5" t="s">
        <v>1741</v>
      </c>
      <c r="F2189" s="78">
        <v>3.0</v>
      </c>
      <c r="G2189" s="92">
        <v>79.0</v>
      </c>
    </row>
    <row r="2190">
      <c r="A2190" s="6">
        <v>421.0</v>
      </c>
      <c r="B2190" s="76" t="str">
        <f>IFERROR(VLOOKUP($A2190,EVENTO!$A$2:$C$4999,2,FALSE),"")</f>
        <v>ADITIVO DE PRAZO</v>
      </c>
      <c r="C2190" s="76" t="str">
        <f>IFERROR(VLOOKUP($A2190,EVENTO!$A$2:$C$4999,3,FALSE),"")</f>
        <v>ISG - PRIMILAB</v>
      </c>
      <c r="D2190" s="100" t="s">
        <v>1729</v>
      </c>
      <c r="E2190" s="5" t="s">
        <v>1741</v>
      </c>
      <c r="F2190" s="78">
        <v>3.0</v>
      </c>
      <c r="G2190" s="92">
        <v>79.0</v>
      </c>
    </row>
    <row r="2191">
      <c r="A2191" s="6">
        <v>422.0</v>
      </c>
      <c r="B2191" s="76" t="str">
        <f>IFERROR(VLOOKUP($A2191,EVENTO!$A$2:$C$4999,2,FALSE),"")</f>
        <v>ADITIVO DE QUANTIDADE</v>
      </c>
      <c r="C2191" s="76" t="str">
        <f>IFERROR(VLOOKUP($A2191,EVENTO!$A$2:$C$4999,3,FALSE),"")</f>
        <v>ISG - PRIMILAB</v>
      </c>
      <c r="D2191" s="100" t="s">
        <v>1729</v>
      </c>
      <c r="E2191" s="5" t="s">
        <v>1741</v>
      </c>
      <c r="F2191" s="78">
        <v>5.0</v>
      </c>
      <c r="G2191" s="92">
        <v>79.0</v>
      </c>
    </row>
    <row r="2192">
      <c r="A2192" s="6">
        <v>423.0</v>
      </c>
      <c r="B2192" s="76" t="str">
        <f>IFERROR(VLOOKUP($A2192,EVENTO!$A$2:$C$4999,2,FALSE),"")</f>
        <v>ADITIVO DE PRAZO</v>
      </c>
      <c r="C2192" s="76" t="str">
        <f>IFERROR(VLOOKUP($A2192,EVENTO!$A$2:$C$4999,3,FALSE),"")</f>
        <v>ISG - PRIMILAB</v>
      </c>
      <c r="D2192" s="100" t="s">
        <v>1729</v>
      </c>
      <c r="E2192" s="5" t="s">
        <v>1741</v>
      </c>
      <c r="F2192" s="78">
        <v>5.0</v>
      </c>
      <c r="G2192" s="92">
        <v>79.0</v>
      </c>
    </row>
    <row r="2193">
      <c r="A2193" s="6">
        <v>424.0</v>
      </c>
      <c r="B2193" s="76" t="str">
        <f>IFERROR(VLOOKUP($A2193,EVENTO!$A$2:$C$4999,2,FALSE),"")</f>
        <v>ADITIVO DE PRAZO</v>
      </c>
      <c r="C2193" s="76" t="str">
        <f>IFERROR(VLOOKUP($A2193,EVENTO!$A$2:$C$4999,3,FALSE),"")</f>
        <v>ISG - PRIMILAB</v>
      </c>
      <c r="D2193" s="100" t="s">
        <v>1729</v>
      </c>
      <c r="E2193" s="5" t="s">
        <v>1741</v>
      </c>
      <c r="F2193" s="78">
        <v>3.0</v>
      </c>
      <c r="G2193" s="92">
        <v>79.0</v>
      </c>
    </row>
    <row r="2194">
      <c r="A2194" s="6">
        <v>425.0</v>
      </c>
      <c r="B2194" s="76" t="str">
        <f>IFERROR(VLOOKUP($A2194,EVENTO!$A$2:$C$4999,2,FALSE),"")</f>
        <v>ADITIVO DE SUPRESSÃO</v>
      </c>
      <c r="C2194" s="76" t="str">
        <f>IFERROR(VLOOKUP($A2194,EVENTO!$A$2:$C$4999,3,FALSE),"")</f>
        <v>ISG - PRIMILAB</v>
      </c>
      <c r="D2194" s="100" t="s">
        <v>1729</v>
      </c>
      <c r="E2194" s="5" t="s">
        <v>1741</v>
      </c>
      <c r="F2194" s="78">
        <v>3.0</v>
      </c>
      <c r="G2194" s="92">
        <v>79.0</v>
      </c>
    </row>
    <row r="2195">
      <c r="A2195" s="6">
        <v>426.0</v>
      </c>
      <c r="B2195" s="76" t="str">
        <f>IFERROR(VLOOKUP($A2195,EVENTO!$A$2:$C$4999,2,FALSE),"")</f>
        <v>ADITIVO DE PRAZO</v>
      </c>
      <c r="C2195" s="76" t="str">
        <f>IFERROR(VLOOKUP($A2195,EVENTO!$A$2:$C$4999,3,FALSE),"")</f>
        <v>ISG - PRIMILAB</v>
      </c>
      <c r="D2195" s="100" t="s">
        <v>1729</v>
      </c>
      <c r="E2195" s="5" t="s">
        <v>1741</v>
      </c>
      <c r="F2195" s="78">
        <v>3.0</v>
      </c>
      <c r="G2195" s="92">
        <v>79.0</v>
      </c>
    </row>
    <row r="2196">
      <c r="A2196" s="6">
        <v>427.0</v>
      </c>
      <c r="B2196" s="76" t="str">
        <f>IFERROR(VLOOKUP($A2196,EVENTO!$A$2:$C$4999,2,FALSE),"")</f>
        <v>CADASTRO</v>
      </c>
      <c r="C2196" s="76" t="str">
        <f>IFERROR(VLOOKUP($A2196,EVENTO!$A$2:$C$4999,3,FALSE),"")</f>
        <v>ISG - HELV - 95592-20</v>
      </c>
      <c r="D2196" s="78" t="s">
        <v>1742</v>
      </c>
      <c r="E2196" s="6" t="s">
        <v>1743</v>
      </c>
      <c r="F2196" s="78">
        <v>8.0</v>
      </c>
      <c r="G2196" s="101">
        <v>348.75</v>
      </c>
    </row>
    <row r="2197">
      <c r="A2197" s="6">
        <v>428.0</v>
      </c>
      <c r="B2197" s="76" t="str">
        <f>IFERROR(VLOOKUP($A2197,EVENTO!$A$2:$C$4999,2,FALSE),"")</f>
        <v>ADITIVO DE PRAZO</v>
      </c>
      <c r="C2197" s="76" t="str">
        <f>IFERROR(VLOOKUP($A2197,EVENTO!$A$2:$C$4999,3,FALSE),"")</f>
        <v>ISG - HELV - 95592-20</v>
      </c>
      <c r="D2197" s="78" t="s">
        <v>1742</v>
      </c>
      <c r="E2197" s="6" t="s">
        <v>1743</v>
      </c>
      <c r="F2197" s="78">
        <v>8.0</v>
      </c>
      <c r="G2197" s="101">
        <v>348.75</v>
      </c>
    </row>
    <row r="2198">
      <c r="A2198" s="6">
        <v>429.0</v>
      </c>
      <c r="B2198" s="76" t="str">
        <f>IFERROR(VLOOKUP($A2198,EVENTO!$A$2:$C$4999,2,FALSE),"")</f>
        <v>ADITIVO DE PRAZO</v>
      </c>
      <c r="C2198" s="76" t="str">
        <f>IFERROR(VLOOKUP($A2198,EVENTO!$A$2:$C$4999,3,FALSE),"")</f>
        <v>ISG - HELV - 95592-20</v>
      </c>
      <c r="D2198" s="78" t="s">
        <v>1742</v>
      </c>
      <c r="E2198" s="6" t="s">
        <v>1743</v>
      </c>
      <c r="F2198" s="78">
        <v>8.0</v>
      </c>
      <c r="G2198" s="101">
        <v>348.75</v>
      </c>
    </row>
    <row r="2199">
      <c r="A2199" s="6">
        <v>430.0</v>
      </c>
      <c r="B2199" s="76" t="str">
        <f>IFERROR(VLOOKUP($A2199,EVENTO!$A$2:$C$4999,2,FALSE),"")</f>
        <v>ADITIVO DE PRAZO</v>
      </c>
      <c r="C2199" s="76" t="str">
        <f>IFERROR(VLOOKUP($A2199,EVENTO!$A$2:$C$4999,3,FALSE),"")</f>
        <v>ISG - HELV - 95592-20</v>
      </c>
      <c r="D2199" s="78" t="s">
        <v>1742</v>
      </c>
      <c r="E2199" s="6" t="s">
        <v>1743</v>
      </c>
      <c r="F2199" s="78">
        <v>8.0</v>
      </c>
      <c r="G2199" s="101">
        <v>348.75</v>
      </c>
    </row>
    <row r="2200">
      <c r="A2200" s="6">
        <v>431.0</v>
      </c>
      <c r="B2200" s="76" t="str">
        <f>IFERROR(VLOOKUP($A2200,EVENTO!$A$2:$C$4999,2,FALSE),"")</f>
        <v>ADITIVO DE PRAZO</v>
      </c>
      <c r="C2200" s="76" t="str">
        <f>IFERROR(VLOOKUP($A2200,EVENTO!$A$2:$C$4999,3,FALSE),"")</f>
        <v>ISG - HELV - 95592-20</v>
      </c>
      <c r="D2200" s="78" t="s">
        <v>1742</v>
      </c>
      <c r="E2200" s="6" t="s">
        <v>1743</v>
      </c>
      <c r="F2200" s="78">
        <v>8.0</v>
      </c>
      <c r="G2200" s="101">
        <v>348.75</v>
      </c>
    </row>
    <row r="2201">
      <c r="A2201" s="6">
        <v>432.0</v>
      </c>
      <c r="B2201" s="76" t="str">
        <f>IFERROR(VLOOKUP($A2201,EVENTO!$A$2:$C$4999,2,FALSE),"")</f>
        <v>ADITIVO DE PRAZO</v>
      </c>
      <c r="C2201" s="76" t="str">
        <f>IFERROR(VLOOKUP($A2201,EVENTO!$A$2:$C$4999,3,FALSE),"")</f>
        <v>ISG - HELV - 95592-20</v>
      </c>
      <c r="D2201" s="78" t="s">
        <v>1742</v>
      </c>
      <c r="E2201" s="6" t="s">
        <v>1743</v>
      </c>
      <c r="F2201" s="78">
        <v>8.0</v>
      </c>
      <c r="G2201" s="101">
        <v>348.75</v>
      </c>
    </row>
    <row r="2202">
      <c r="A2202" s="6">
        <v>433.0</v>
      </c>
      <c r="B2202" s="76" t="str">
        <f>IFERROR(VLOOKUP($A2202,EVENTO!$A$2:$C$4999,2,FALSE),"")</f>
        <v>CADASTRO</v>
      </c>
      <c r="C2202" s="76" t="str">
        <f>IFERROR(VLOOKUP($A2202,EVENTO!$A$2:$C$4999,3,FALSE),"")</f>
        <v>ISG - HELV - 96210-20</v>
      </c>
      <c r="D2202" s="78" t="s">
        <v>1549</v>
      </c>
      <c r="E2202" s="6" t="s">
        <v>1550</v>
      </c>
      <c r="F2202" s="78">
        <v>65.0</v>
      </c>
      <c r="G2202" s="98">
        <v>139.0</v>
      </c>
    </row>
    <row r="2203">
      <c r="A2203" s="6">
        <v>434.0</v>
      </c>
      <c r="B2203" s="76" t="str">
        <f>IFERROR(VLOOKUP($A2203,EVENTO!$A$2:$C$4999,2,FALSE),"")</f>
        <v>ADITIVO DE QUANTIDADE</v>
      </c>
      <c r="C2203" s="76" t="str">
        <f>IFERROR(VLOOKUP($A2203,EVENTO!$A$2:$C$4999,3,FALSE),"")</f>
        <v>ISG - HELV - 96210-20</v>
      </c>
      <c r="D2203" s="78" t="s">
        <v>1549</v>
      </c>
      <c r="E2203" s="6" t="s">
        <v>1550</v>
      </c>
      <c r="F2203" s="78">
        <v>70.0</v>
      </c>
      <c r="G2203" s="98">
        <v>139.0</v>
      </c>
    </row>
    <row r="2204">
      <c r="A2204" s="6">
        <v>435.0</v>
      </c>
      <c r="B2204" s="76" t="str">
        <f>IFERROR(VLOOKUP($A2204,EVENTO!$A$2:$C$4999,2,FALSE),"")</f>
        <v>ADITIVO DE PRAZO</v>
      </c>
      <c r="C2204" s="76" t="str">
        <f>IFERROR(VLOOKUP($A2204,EVENTO!$A$2:$C$4999,3,FALSE),"")</f>
        <v>ISG - HELV - 96210-20</v>
      </c>
      <c r="D2204" s="78" t="s">
        <v>1549</v>
      </c>
      <c r="E2204" s="6" t="s">
        <v>1550</v>
      </c>
      <c r="F2204" s="78">
        <v>70.0</v>
      </c>
      <c r="G2204" s="98">
        <v>139.0</v>
      </c>
    </row>
    <row r="2205">
      <c r="A2205" s="6">
        <v>439.0</v>
      </c>
      <c r="B2205" s="76" t="str">
        <f>IFERROR(VLOOKUP($A2205,EVENTO!$A$2:$C$4999,2,FALSE),"")</f>
        <v>CADASTRO</v>
      </c>
      <c r="C2205" s="76" t="str">
        <f>IFERROR(VLOOKUP($A2205,EVENTO!$A$2:$C$4999,3,FALSE),"")</f>
        <v>PREFEITURA MUNICIPAL DE CAUCAIA -  SECRETARIA MUNICIPAL DE PLANEJAMENTO URBANO E AMBIENTAL </v>
      </c>
      <c r="D2205" s="78" t="s">
        <v>1744</v>
      </c>
      <c r="E2205" s="78" t="s">
        <v>1745</v>
      </c>
      <c r="F2205" s="78">
        <v>10.0</v>
      </c>
      <c r="G2205" s="98">
        <v>534.71</v>
      </c>
    </row>
    <row r="2206">
      <c r="A2206" s="6">
        <v>439.0</v>
      </c>
      <c r="B2206" s="76" t="str">
        <f>IFERROR(VLOOKUP($A2206,EVENTO!$A$2:$C$4999,2,FALSE),"")</f>
        <v>CADASTRO</v>
      </c>
      <c r="C2206" s="76" t="str">
        <f>IFERROR(VLOOKUP($A2206,EVENTO!$A$2:$C$4999,3,FALSE),"")</f>
        <v>PREFEITURA MUNICIPAL DE CAUCAIA -  SECRETARIA MUNICIPAL DE PLANEJAMENTO URBANO E AMBIENTAL </v>
      </c>
      <c r="D2206" s="78" t="s">
        <v>1746</v>
      </c>
      <c r="E2206" s="78" t="s">
        <v>1747</v>
      </c>
      <c r="F2206" s="78">
        <v>17.0</v>
      </c>
      <c r="G2206" s="98">
        <v>344.75</v>
      </c>
    </row>
    <row r="2207">
      <c r="A2207" s="6">
        <v>439.0</v>
      </c>
      <c r="B2207" s="76" t="str">
        <f>IFERROR(VLOOKUP($A2207,EVENTO!$A$2:$C$4999,2,FALSE),"")</f>
        <v>CADASTRO</v>
      </c>
      <c r="C2207" s="76" t="str">
        <f>IFERROR(VLOOKUP($A2207,EVENTO!$A$2:$C$4999,3,FALSE),"")</f>
        <v>PREFEITURA MUNICIPAL DE CAUCAIA -  SECRETARIA MUNICIPAL DE PLANEJAMENTO URBANO E AMBIENTAL </v>
      </c>
      <c r="D2207" s="78" t="s">
        <v>1748</v>
      </c>
      <c r="E2207" s="78" t="s">
        <v>1749</v>
      </c>
      <c r="F2207" s="78">
        <v>29.0</v>
      </c>
      <c r="G2207" s="98">
        <v>270.39</v>
      </c>
    </row>
    <row r="2208">
      <c r="A2208" s="6">
        <v>439.0</v>
      </c>
      <c r="B2208" s="76" t="str">
        <f>IFERROR(VLOOKUP($A2208,EVENTO!$A$2:$C$4999,2,FALSE),"")</f>
        <v>CADASTRO</v>
      </c>
      <c r="C2208" s="76" t="str">
        <f>IFERROR(VLOOKUP($A2208,EVENTO!$A$2:$C$4999,3,FALSE),"")</f>
        <v>PREFEITURA MUNICIPAL DE CAUCAIA -  SECRETARIA MUNICIPAL DE PLANEJAMENTO URBANO E AMBIENTAL </v>
      </c>
      <c r="D2208" s="78" t="s">
        <v>1750</v>
      </c>
      <c r="E2208" s="78" t="s">
        <v>1751</v>
      </c>
      <c r="F2208" s="78">
        <v>20.0</v>
      </c>
      <c r="G2208" s="98">
        <v>387.36</v>
      </c>
    </row>
    <row r="2209">
      <c r="A2209" s="6">
        <v>439.0</v>
      </c>
      <c r="B2209" s="76" t="str">
        <f>IFERROR(VLOOKUP($A2209,EVENTO!$A$2:$C$4999,2,FALSE),"")</f>
        <v>CADASTRO</v>
      </c>
      <c r="C2209" s="76" t="str">
        <f>IFERROR(VLOOKUP($A2209,EVENTO!$A$2:$C$4999,3,FALSE),"")</f>
        <v>PREFEITURA MUNICIPAL DE CAUCAIA -  SECRETARIA MUNICIPAL DE PLANEJAMENTO URBANO E AMBIENTAL </v>
      </c>
      <c r="D2209" s="78" t="s">
        <v>1752</v>
      </c>
      <c r="E2209" s="78" t="s">
        <v>1753</v>
      </c>
      <c r="F2209" s="78">
        <v>34.0</v>
      </c>
      <c r="G2209" s="98">
        <v>221.78</v>
      </c>
    </row>
    <row r="2210">
      <c r="A2210" s="6">
        <v>439.0</v>
      </c>
      <c r="B2210" s="76" t="str">
        <f>IFERROR(VLOOKUP($A2210,EVENTO!$A$2:$C$4999,2,FALSE),"")</f>
        <v>CADASTRO</v>
      </c>
      <c r="C2210" s="76" t="str">
        <f>IFERROR(VLOOKUP($A2210,EVENTO!$A$2:$C$4999,3,FALSE),"")</f>
        <v>PREFEITURA MUNICIPAL DE CAUCAIA -  SECRETARIA MUNICIPAL DE PLANEJAMENTO URBANO E AMBIENTAL </v>
      </c>
      <c r="D2210" s="78" t="s">
        <v>1754</v>
      </c>
      <c r="E2210" s="78" t="s">
        <v>1755</v>
      </c>
      <c r="F2210" s="78">
        <v>12.0</v>
      </c>
      <c r="G2210" s="98">
        <v>286.34</v>
      </c>
    </row>
    <row r="2211">
      <c r="A2211" s="6">
        <v>439.0</v>
      </c>
      <c r="B2211" s="76" t="str">
        <f>IFERROR(VLOOKUP($A2211,EVENTO!$A$2:$C$4999,2,FALSE),"")</f>
        <v>CADASTRO</v>
      </c>
      <c r="C2211" s="76" t="str">
        <f>IFERROR(VLOOKUP($A2211,EVENTO!$A$2:$C$4999,3,FALSE),"")</f>
        <v>PREFEITURA MUNICIPAL DE CAUCAIA -  SECRETARIA MUNICIPAL DE PLANEJAMENTO URBANO E AMBIENTAL </v>
      </c>
      <c r="D2211" s="78" t="s">
        <v>1756</v>
      </c>
      <c r="E2211" s="78" t="s">
        <v>1757</v>
      </c>
      <c r="F2211" s="78">
        <v>9.0</v>
      </c>
      <c r="G2211" s="98">
        <v>234.7</v>
      </c>
    </row>
    <row r="2212">
      <c r="A2212" s="6">
        <v>439.0</v>
      </c>
      <c r="B2212" s="76" t="str">
        <f>IFERROR(VLOOKUP($A2212,EVENTO!$A$2:$C$4999,2,FALSE),"")</f>
        <v>CADASTRO</v>
      </c>
      <c r="C2212" s="76" t="str">
        <f>IFERROR(VLOOKUP($A2212,EVENTO!$A$2:$C$4999,3,FALSE),"")</f>
        <v>PREFEITURA MUNICIPAL DE CAUCAIA -  SECRETARIA MUNICIPAL DE PLANEJAMENTO URBANO E AMBIENTAL </v>
      </c>
      <c r="D2212" s="78" t="s">
        <v>1758</v>
      </c>
      <c r="E2212" s="78" t="s">
        <v>1759</v>
      </c>
      <c r="F2212" s="78">
        <v>4.0</v>
      </c>
      <c r="G2212" s="98">
        <v>148.11</v>
      </c>
    </row>
    <row r="2213">
      <c r="A2213" s="6">
        <v>439.0</v>
      </c>
      <c r="B2213" s="76" t="str">
        <f>IFERROR(VLOOKUP($A2213,EVENTO!$A$2:$C$4999,2,FALSE),"")</f>
        <v>CADASTRO</v>
      </c>
      <c r="C2213" s="76" t="str">
        <f>IFERROR(VLOOKUP($A2213,EVENTO!$A$2:$C$4999,3,FALSE),"")</f>
        <v>PREFEITURA MUNICIPAL DE CAUCAIA -  SECRETARIA MUNICIPAL DE PLANEJAMENTO URBANO E AMBIENTAL </v>
      </c>
      <c r="D2213" s="78" t="s">
        <v>1760</v>
      </c>
      <c r="E2213" s="78" t="s">
        <v>1761</v>
      </c>
      <c r="F2213" s="78">
        <v>1.0</v>
      </c>
      <c r="G2213" s="98">
        <v>1239.56</v>
      </c>
    </row>
    <row r="2214">
      <c r="A2214" s="6">
        <v>439.0</v>
      </c>
      <c r="B2214" s="76" t="str">
        <f>IFERROR(VLOOKUP($A2214,EVENTO!$A$2:$C$4999,2,FALSE),"")</f>
        <v>CADASTRO</v>
      </c>
      <c r="C2214" s="76" t="str">
        <f>IFERROR(VLOOKUP($A2214,EVENTO!$A$2:$C$4999,3,FALSE),"")</f>
        <v>PREFEITURA MUNICIPAL DE CAUCAIA -  SECRETARIA MUNICIPAL DE PLANEJAMENTO URBANO E AMBIENTAL </v>
      </c>
      <c r="D2214" s="78" t="s">
        <v>1762</v>
      </c>
      <c r="E2214" s="78" t="s">
        <v>1763</v>
      </c>
      <c r="F2214" s="78">
        <v>1.0</v>
      </c>
      <c r="G2214" s="98">
        <v>1363.36</v>
      </c>
    </row>
    <row r="2215">
      <c r="A2215" s="6">
        <v>439.0</v>
      </c>
      <c r="B2215" s="76" t="str">
        <f>IFERROR(VLOOKUP($A2215,EVENTO!$A$2:$C$4999,2,FALSE),"")</f>
        <v>CADASTRO</v>
      </c>
      <c r="C2215" s="76" t="str">
        <f>IFERROR(VLOOKUP($A2215,EVENTO!$A$2:$C$4999,3,FALSE),"")</f>
        <v>PREFEITURA MUNICIPAL DE CAUCAIA -  SECRETARIA MUNICIPAL DE PLANEJAMENTO URBANO E AMBIENTAL </v>
      </c>
      <c r="D2215" s="78" t="s">
        <v>1764</v>
      </c>
      <c r="E2215" s="78" t="s">
        <v>1765</v>
      </c>
      <c r="F2215" s="78">
        <v>15.0</v>
      </c>
      <c r="G2215" s="98">
        <v>119.99</v>
      </c>
    </row>
    <row r="2216">
      <c r="A2216" s="6">
        <v>439.0</v>
      </c>
      <c r="B2216" s="76" t="str">
        <f>IFERROR(VLOOKUP($A2216,EVENTO!$A$2:$C$4999,2,FALSE),"")</f>
        <v>CADASTRO</v>
      </c>
      <c r="C2216" s="76" t="str">
        <f>IFERROR(VLOOKUP($A2216,EVENTO!$A$2:$C$4999,3,FALSE),"")</f>
        <v>PREFEITURA MUNICIPAL DE CAUCAIA -  SECRETARIA MUNICIPAL DE PLANEJAMENTO URBANO E AMBIENTAL </v>
      </c>
      <c r="D2216" s="78" t="s">
        <v>1766</v>
      </c>
      <c r="E2216" s="78" t="s">
        <v>1767</v>
      </c>
      <c r="F2216" s="78">
        <v>2.0</v>
      </c>
      <c r="G2216" s="98">
        <v>181.17</v>
      </c>
    </row>
    <row r="2217">
      <c r="A2217" s="6">
        <v>439.0</v>
      </c>
      <c r="B2217" s="76" t="str">
        <f>IFERROR(VLOOKUP($A2217,EVENTO!$A$2:$C$4999,2,FALSE),"")</f>
        <v>CADASTRO</v>
      </c>
      <c r="C2217" s="76" t="str">
        <f>IFERROR(VLOOKUP($A2217,EVENTO!$A$2:$C$4999,3,FALSE),"")</f>
        <v>PREFEITURA MUNICIPAL DE CAUCAIA -  SECRETARIA MUNICIPAL DE PLANEJAMENTO URBANO E AMBIENTAL </v>
      </c>
      <c r="D2217" s="78" t="s">
        <v>1768</v>
      </c>
      <c r="E2217" s="78" t="s">
        <v>1769</v>
      </c>
      <c r="F2217" s="78">
        <v>1.0</v>
      </c>
      <c r="G2217" s="98">
        <v>283.89</v>
      </c>
    </row>
    <row r="2218">
      <c r="A2218" s="6">
        <v>439.0</v>
      </c>
      <c r="B2218" s="76" t="str">
        <f>IFERROR(VLOOKUP($A2218,EVENTO!$A$2:$C$4999,2,FALSE),"")</f>
        <v>CADASTRO</v>
      </c>
      <c r="C2218" s="76" t="str">
        <f>IFERROR(VLOOKUP($A2218,EVENTO!$A$2:$C$4999,3,FALSE),"")</f>
        <v>PREFEITURA MUNICIPAL DE CAUCAIA -  SECRETARIA MUNICIPAL DE PLANEJAMENTO URBANO E AMBIENTAL </v>
      </c>
      <c r="D2218" s="78" t="s">
        <v>1770</v>
      </c>
      <c r="E2218" s="78" t="s">
        <v>1771</v>
      </c>
      <c r="F2218" s="78">
        <v>1.0</v>
      </c>
      <c r="G2218" s="98">
        <v>13.42</v>
      </c>
    </row>
    <row r="2219">
      <c r="A2219" s="6">
        <v>439.0</v>
      </c>
      <c r="B2219" s="76" t="str">
        <f>IFERROR(VLOOKUP($A2219,EVENTO!$A$2:$C$4999,2,FALSE),"")</f>
        <v>CADASTRO</v>
      </c>
      <c r="C2219" s="76" t="str">
        <f>IFERROR(VLOOKUP($A2219,EVENTO!$A$2:$C$4999,3,FALSE),"")</f>
        <v>PREFEITURA MUNICIPAL DE CAUCAIA -  SECRETARIA MUNICIPAL DE PLANEJAMENTO URBANO E AMBIENTAL </v>
      </c>
      <c r="D2219" s="78" t="s">
        <v>1772</v>
      </c>
      <c r="E2219" s="78" t="s">
        <v>1773</v>
      </c>
      <c r="F2219" s="78">
        <v>1.0</v>
      </c>
      <c r="G2219" s="98">
        <v>36.65</v>
      </c>
    </row>
    <row r="2220">
      <c r="A2220" s="6">
        <v>439.0</v>
      </c>
      <c r="B2220" s="76" t="str">
        <f>IFERROR(VLOOKUP($A2220,EVENTO!$A$2:$C$4999,2,FALSE),"")</f>
        <v>CADASTRO</v>
      </c>
      <c r="C2220" s="76" t="str">
        <f>IFERROR(VLOOKUP($A2220,EVENTO!$A$2:$C$4999,3,FALSE),"")</f>
        <v>PREFEITURA MUNICIPAL DE CAUCAIA -  SECRETARIA MUNICIPAL DE PLANEJAMENTO URBANO E AMBIENTAL </v>
      </c>
      <c r="D2220" s="78" t="s">
        <v>1774</v>
      </c>
      <c r="E2220" s="78" t="s">
        <v>1775</v>
      </c>
      <c r="F2220" s="78">
        <v>3.0</v>
      </c>
      <c r="G2220" s="98">
        <v>91.18</v>
      </c>
    </row>
    <row r="2221">
      <c r="A2221" s="6">
        <v>439.0</v>
      </c>
      <c r="B2221" s="76" t="str">
        <f>IFERROR(VLOOKUP($A2221,EVENTO!$A$2:$C$4999,2,FALSE),"")</f>
        <v>CADASTRO</v>
      </c>
      <c r="C2221" s="76" t="str">
        <f>IFERROR(VLOOKUP($A2221,EVENTO!$A$2:$C$4999,3,FALSE),"")</f>
        <v>PREFEITURA MUNICIPAL DE CAUCAIA -  SECRETARIA MUNICIPAL DE PLANEJAMENTO URBANO E AMBIENTAL </v>
      </c>
      <c r="D2221" s="78" t="s">
        <v>1776</v>
      </c>
      <c r="E2221" s="78" t="s">
        <v>1777</v>
      </c>
      <c r="F2221" s="78">
        <v>1.0</v>
      </c>
      <c r="G2221" s="98">
        <v>29.23</v>
      </c>
    </row>
    <row r="2222">
      <c r="A2222" s="6">
        <v>439.0</v>
      </c>
      <c r="B2222" s="76" t="str">
        <f>IFERROR(VLOOKUP($A2222,EVENTO!$A$2:$C$4999,2,FALSE),"")</f>
        <v>CADASTRO</v>
      </c>
      <c r="C2222" s="76" t="str">
        <f>IFERROR(VLOOKUP($A2222,EVENTO!$A$2:$C$4999,3,FALSE),"")</f>
        <v>PREFEITURA MUNICIPAL DE CAUCAIA -  SECRETARIA MUNICIPAL DE PLANEJAMENTO URBANO E AMBIENTAL </v>
      </c>
      <c r="D2222" s="78" t="s">
        <v>1778</v>
      </c>
      <c r="E2222" s="78" t="s">
        <v>1779</v>
      </c>
      <c r="F2222" s="78">
        <v>2.0</v>
      </c>
      <c r="G2222" s="98">
        <v>63.8</v>
      </c>
    </row>
    <row r="2223">
      <c r="A2223" s="6">
        <v>439.0</v>
      </c>
      <c r="B2223" s="76" t="str">
        <f>IFERROR(VLOOKUP($A2223,EVENTO!$A$2:$C$4999,2,FALSE),"")</f>
        <v>CADASTRO</v>
      </c>
      <c r="C2223" s="76" t="str">
        <f>IFERROR(VLOOKUP($A2223,EVENTO!$A$2:$C$4999,3,FALSE),"")</f>
        <v>PREFEITURA MUNICIPAL DE CAUCAIA -  SECRETARIA MUNICIPAL DE PLANEJAMENTO URBANO E AMBIENTAL </v>
      </c>
      <c r="D2223" s="78" t="s">
        <v>1780</v>
      </c>
      <c r="E2223" s="78" t="s">
        <v>1781</v>
      </c>
      <c r="F2223" s="78">
        <v>2.0</v>
      </c>
      <c r="G2223" s="98">
        <v>41.95</v>
      </c>
    </row>
    <row r="2224">
      <c r="A2224" s="6">
        <v>446.0</v>
      </c>
      <c r="B2224" s="76" t="str">
        <f>IFERROR(VLOOKUP($A2224,EVENTO!$A$2:$C$4999,2,FALSE),"")</f>
        <v>CADASTRO</v>
      </c>
      <c r="C2224" s="76" t="str">
        <f>IFERROR(VLOOKUP($A2224,EVENTO!$A$2:$C$4999,3,FALSE),"")</f>
        <v>PREFEITURA MUNICIPAL DE CAUCAIA - SECRETARIA MUNICIPAL DE INFRAESTRUTURA</v>
      </c>
      <c r="D2224" s="78" t="s">
        <v>1744</v>
      </c>
      <c r="E2224" s="78" t="s">
        <v>1745</v>
      </c>
      <c r="F2224" s="78">
        <v>3.0</v>
      </c>
      <c r="G2224" s="98">
        <v>534.71</v>
      </c>
    </row>
    <row r="2225">
      <c r="A2225" s="6">
        <v>446.0</v>
      </c>
      <c r="B2225" s="76" t="str">
        <f>IFERROR(VLOOKUP($A2225,EVENTO!$A$2:$C$4999,2,FALSE),"")</f>
        <v>CADASTRO</v>
      </c>
      <c r="C2225" s="76" t="str">
        <f>IFERROR(VLOOKUP($A2225,EVENTO!$A$2:$C$4999,3,FALSE),"")</f>
        <v>PREFEITURA MUNICIPAL DE CAUCAIA - SECRETARIA MUNICIPAL DE INFRAESTRUTURA</v>
      </c>
      <c r="D2225" s="78" t="s">
        <v>1746</v>
      </c>
      <c r="E2225" s="78" t="s">
        <v>1747</v>
      </c>
      <c r="F2225" s="78">
        <v>10.0</v>
      </c>
      <c r="G2225" s="98">
        <v>344.75</v>
      </c>
    </row>
    <row r="2226">
      <c r="A2226" s="6">
        <v>446.0</v>
      </c>
      <c r="B2226" s="76" t="str">
        <f>IFERROR(VLOOKUP($A2226,EVENTO!$A$2:$C$4999,2,FALSE),"")</f>
        <v>CADASTRO</v>
      </c>
      <c r="C2226" s="76" t="str">
        <f>IFERROR(VLOOKUP($A2226,EVENTO!$A$2:$C$4999,3,FALSE),"")</f>
        <v>PREFEITURA MUNICIPAL DE CAUCAIA - SECRETARIA MUNICIPAL DE INFRAESTRUTURA</v>
      </c>
      <c r="D2226" s="78" t="s">
        <v>1748</v>
      </c>
      <c r="E2226" s="78" t="s">
        <v>1749</v>
      </c>
      <c r="F2226" s="78">
        <v>4.0</v>
      </c>
      <c r="G2226" s="98">
        <v>270.39</v>
      </c>
    </row>
    <row r="2227">
      <c r="A2227" s="6">
        <v>446.0</v>
      </c>
      <c r="B2227" s="76" t="str">
        <f>IFERROR(VLOOKUP($A2227,EVENTO!$A$2:$C$4999,2,FALSE),"")</f>
        <v>CADASTRO</v>
      </c>
      <c r="C2227" s="76" t="str">
        <f>IFERROR(VLOOKUP($A2227,EVENTO!$A$2:$C$4999,3,FALSE),"")</f>
        <v>PREFEITURA MUNICIPAL DE CAUCAIA - SECRETARIA MUNICIPAL DE INFRAESTRUTURA</v>
      </c>
      <c r="D2227" s="78" t="s">
        <v>1750</v>
      </c>
      <c r="E2227" s="78" t="s">
        <v>1751</v>
      </c>
      <c r="F2227" s="78">
        <v>20.0</v>
      </c>
      <c r="G2227" s="98">
        <v>387.36</v>
      </c>
    </row>
    <row r="2228">
      <c r="A2228" s="6">
        <v>446.0</v>
      </c>
      <c r="B2228" s="76" t="str">
        <f>IFERROR(VLOOKUP($A2228,EVENTO!$A$2:$C$4999,2,FALSE),"")</f>
        <v>CADASTRO</v>
      </c>
      <c r="C2228" s="76" t="str">
        <f>IFERROR(VLOOKUP($A2228,EVENTO!$A$2:$C$4999,3,FALSE),"")</f>
        <v>PREFEITURA MUNICIPAL DE CAUCAIA - SECRETARIA MUNICIPAL DE INFRAESTRUTURA</v>
      </c>
      <c r="D2228" s="78" t="s">
        <v>1752</v>
      </c>
      <c r="E2228" s="78" t="s">
        <v>1753</v>
      </c>
      <c r="F2228" s="78">
        <v>62.0</v>
      </c>
      <c r="G2228" s="98">
        <v>221.78</v>
      </c>
    </row>
    <row r="2229">
      <c r="A2229" s="6">
        <v>446.0</v>
      </c>
      <c r="B2229" s="76" t="str">
        <f>IFERROR(VLOOKUP($A2229,EVENTO!$A$2:$C$4999,2,FALSE),"")</f>
        <v>CADASTRO</v>
      </c>
      <c r="C2229" s="76" t="str">
        <f>IFERROR(VLOOKUP($A2229,EVENTO!$A$2:$C$4999,3,FALSE),"")</f>
        <v>PREFEITURA MUNICIPAL DE CAUCAIA - SECRETARIA MUNICIPAL DE INFRAESTRUTURA</v>
      </c>
      <c r="D2229" s="78" t="s">
        <v>1782</v>
      </c>
      <c r="E2229" s="78" t="s">
        <v>1783</v>
      </c>
      <c r="F2229" s="78">
        <v>4.0</v>
      </c>
      <c r="G2229" s="98">
        <v>173.93</v>
      </c>
    </row>
    <row r="2230">
      <c r="A2230" s="6">
        <v>446.0</v>
      </c>
      <c r="B2230" s="76" t="str">
        <f>IFERROR(VLOOKUP($A2230,EVENTO!$A$2:$C$4999,2,FALSE),"")</f>
        <v>CADASTRO</v>
      </c>
      <c r="C2230" s="76" t="str">
        <f>IFERROR(VLOOKUP($A2230,EVENTO!$A$2:$C$4999,3,FALSE),"")</f>
        <v>PREFEITURA MUNICIPAL DE CAUCAIA - SECRETARIA MUNICIPAL DE INFRAESTRUTURA</v>
      </c>
      <c r="D2230" s="78" t="s">
        <v>1754</v>
      </c>
      <c r="E2230" s="78" t="s">
        <v>1755</v>
      </c>
      <c r="F2230" s="78">
        <v>8.0</v>
      </c>
      <c r="G2230" s="98">
        <v>286.34</v>
      </c>
    </row>
    <row r="2231">
      <c r="A2231" s="6">
        <v>446.0</v>
      </c>
      <c r="B2231" s="76" t="str">
        <f>IFERROR(VLOOKUP($A2231,EVENTO!$A$2:$C$4999,2,FALSE),"")</f>
        <v>CADASTRO</v>
      </c>
      <c r="C2231" s="76" t="str">
        <f>IFERROR(VLOOKUP($A2231,EVENTO!$A$2:$C$4999,3,FALSE),"")</f>
        <v>PREFEITURA MUNICIPAL DE CAUCAIA - SECRETARIA MUNICIPAL DE INFRAESTRUTURA</v>
      </c>
      <c r="D2231" s="78" t="s">
        <v>1756</v>
      </c>
      <c r="E2231" s="78" t="s">
        <v>1757</v>
      </c>
      <c r="F2231" s="78">
        <v>2.0</v>
      </c>
      <c r="G2231" s="98">
        <v>234.69</v>
      </c>
    </row>
    <row r="2232">
      <c r="A2232" s="6">
        <v>446.0</v>
      </c>
      <c r="B2232" s="76" t="str">
        <f>IFERROR(VLOOKUP($A2232,EVENTO!$A$2:$C$4999,2,FALSE),"")</f>
        <v>CADASTRO</v>
      </c>
      <c r="C2232" s="76" t="str">
        <f>IFERROR(VLOOKUP($A2232,EVENTO!$A$2:$C$4999,3,FALSE),"")</f>
        <v>PREFEITURA MUNICIPAL DE CAUCAIA - SECRETARIA MUNICIPAL DE INFRAESTRUTURA</v>
      </c>
      <c r="D2232" s="78" t="s">
        <v>1758</v>
      </c>
      <c r="E2232" s="78" t="s">
        <v>1759</v>
      </c>
      <c r="F2232" s="78">
        <v>6.0</v>
      </c>
      <c r="G2232" s="98">
        <v>148.1</v>
      </c>
    </row>
    <row r="2233">
      <c r="A2233" s="6">
        <v>446.0</v>
      </c>
      <c r="B2233" s="76" t="str">
        <f>IFERROR(VLOOKUP($A2233,EVENTO!$A$2:$C$4999,2,FALSE),"")</f>
        <v>CADASTRO</v>
      </c>
      <c r="C2233" s="76" t="str">
        <f>IFERROR(VLOOKUP($A2233,EVENTO!$A$2:$C$4999,3,FALSE),"")</f>
        <v>PREFEITURA MUNICIPAL DE CAUCAIA - SECRETARIA MUNICIPAL DE INFRAESTRUTURA</v>
      </c>
      <c r="D2233" s="78" t="s">
        <v>1784</v>
      </c>
      <c r="E2233" s="78" t="s">
        <v>1785</v>
      </c>
      <c r="F2233" s="78">
        <v>2.0</v>
      </c>
      <c r="G2233" s="98">
        <v>412.42</v>
      </c>
    </row>
    <row r="2234">
      <c r="A2234" s="6">
        <v>446.0</v>
      </c>
      <c r="B2234" s="76" t="str">
        <f>IFERROR(VLOOKUP($A2234,EVENTO!$A$2:$C$4999,2,FALSE),"")</f>
        <v>CADASTRO</v>
      </c>
      <c r="C2234" s="76" t="str">
        <f>IFERROR(VLOOKUP($A2234,EVENTO!$A$2:$C$4999,3,FALSE),"")</f>
        <v>PREFEITURA MUNICIPAL DE CAUCAIA - SECRETARIA MUNICIPAL DE INFRAESTRUTURA</v>
      </c>
      <c r="D2234" s="78" t="s">
        <v>1760</v>
      </c>
      <c r="E2234" s="78" t="s">
        <v>1786</v>
      </c>
      <c r="F2234" s="78">
        <v>2.0</v>
      </c>
      <c r="G2234" s="98">
        <v>1239.55</v>
      </c>
    </row>
    <row r="2235">
      <c r="A2235" s="6">
        <v>446.0</v>
      </c>
      <c r="B2235" s="76" t="str">
        <f>IFERROR(VLOOKUP($A2235,EVENTO!$A$2:$C$4999,2,FALSE),"")</f>
        <v>CADASTRO</v>
      </c>
      <c r="C2235" s="76" t="str">
        <f>IFERROR(VLOOKUP($A2235,EVENTO!$A$2:$C$4999,3,FALSE),"")</f>
        <v>PREFEITURA MUNICIPAL DE CAUCAIA - SECRETARIA MUNICIPAL DE INFRAESTRUTURA</v>
      </c>
      <c r="D2235" s="78" t="s">
        <v>1762</v>
      </c>
      <c r="E2235" s="78" t="s">
        <v>1763</v>
      </c>
      <c r="F2235" s="78">
        <v>3.0</v>
      </c>
      <c r="G2235" s="98">
        <v>1363.36</v>
      </c>
    </row>
    <row r="2236">
      <c r="A2236" s="6">
        <v>446.0</v>
      </c>
      <c r="B2236" s="76" t="str">
        <f>IFERROR(VLOOKUP($A2236,EVENTO!$A$2:$C$4999,2,FALSE),"")</f>
        <v>CADASTRO</v>
      </c>
      <c r="C2236" s="76" t="str">
        <f>IFERROR(VLOOKUP($A2236,EVENTO!$A$2:$C$4999,3,FALSE),"")</f>
        <v>PREFEITURA MUNICIPAL DE CAUCAIA - SECRETARIA MUNICIPAL DE INFRAESTRUTURA</v>
      </c>
      <c r="D2236" s="78" t="s">
        <v>1787</v>
      </c>
      <c r="E2236" s="78" t="s">
        <v>1788</v>
      </c>
      <c r="F2236" s="78">
        <v>1.0</v>
      </c>
      <c r="G2236" s="98">
        <v>1499.32</v>
      </c>
    </row>
    <row r="2237">
      <c r="A2237" s="6">
        <v>446.0</v>
      </c>
      <c r="B2237" s="76" t="str">
        <f>IFERROR(VLOOKUP($A2237,EVENTO!$A$2:$C$4999,2,FALSE),"")</f>
        <v>CADASTRO</v>
      </c>
      <c r="C2237" s="76" t="str">
        <f>IFERROR(VLOOKUP($A2237,EVENTO!$A$2:$C$4999,3,FALSE),"")</f>
        <v>PREFEITURA MUNICIPAL DE CAUCAIA - SECRETARIA MUNICIPAL DE INFRAESTRUTURA</v>
      </c>
      <c r="D2237" s="78" t="s">
        <v>1766</v>
      </c>
      <c r="E2237" s="78" t="s">
        <v>1767</v>
      </c>
      <c r="F2237" s="78">
        <v>1.0</v>
      </c>
      <c r="G2237" s="98">
        <v>181.17</v>
      </c>
    </row>
    <row r="2238">
      <c r="A2238" s="6">
        <v>446.0</v>
      </c>
      <c r="B2238" s="76" t="str">
        <f>IFERROR(VLOOKUP($A2238,EVENTO!$A$2:$C$4999,2,FALSE),"")</f>
        <v>CADASTRO</v>
      </c>
      <c r="C2238" s="76" t="str">
        <f>IFERROR(VLOOKUP($A2238,EVENTO!$A$2:$C$4999,3,FALSE),"")</f>
        <v>PREFEITURA MUNICIPAL DE CAUCAIA - SECRETARIA MUNICIPAL DE INFRAESTRUTURA</v>
      </c>
      <c r="D2238" s="78" t="s">
        <v>1768</v>
      </c>
      <c r="E2238" s="78" t="s">
        <v>1769</v>
      </c>
      <c r="F2238" s="78">
        <v>4.0</v>
      </c>
      <c r="G2238" s="98">
        <v>283.89</v>
      </c>
    </row>
    <row r="2239">
      <c r="A2239" s="6">
        <v>446.0</v>
      </c>
      <c r="B2239" s="76" t="str">
        <f>IFERROR(VLOOKUP($A2239,EVENTO!$A$2:$C$4999,2,FALSE),"")</f>
        <v>CADASTRO</v>
      </c>
      <c r="C2239" s="76" t="str">
        <f>IFERROR(VLOOKUP($A2239,EVENTO!$A$2:$C$4999,3,FALSE),"")</f>
        <v>PREFEITURA MUNICIPAL DE CAUCAIA - SECRETARIA MUNICIPAL DE INFRAESTRUTURA</v>
      </c>
      <c r="D2239" s="78" t="s">
        <v>1789</v>
      </c>
      <c r="E2239" s="78" t="s">
        <v>1790</v>
      </c>
      <c r="F2239" s="78">
        <v>2.0</v>
      </c>
      <c r="G2239" s="98">
        <v>193.47</v>
      </c>
    </row>
    <row r="2240">
      <c r="A2240" s="6">
        <v>446.0</v>
      </c>
      <c r="B2240" s="76" t="str">
        <f>IFERROR(VLOOKUP($A2240,EVENTO!$A$2:$C$4999,2,FALSE),"")</f>
        <v>CADASTRO</v>
      </c>
      <c r="C2240" s="76" t="str">
        <f>IFERROR(VLOOKUP($A2240,EVENTO!$A$2:$C$4999,3,FALSE),"")</f>
        <v>PREFEITURA MUNICIPAL DE CAUCAIA - SECRETARIA MUNICIPAL DE INFRAESTRUTURA</v>
      </c>
      <c r="D2240" s="78" t="s">
        <v>1791</v>
      </c>
      <c r="E2240" s="78" t="s">
        <v>1792</v>
      </c>
      <c r="F2240" s="78">
        <v>3.0</v>
      </c>
      <c r="G2240" s="98">
        <v>50.3</v>
      </c>
    </row>
    <row r="2241">
      <c r="A2241" s="6">
        <v>446.0</v>
      </c>
      <c r="B2241" s="76" t="str">
        <f>IFERROR(VLOOKUP($A2241,EVENTO!$A$2:$C$4999,2,FALSE),"")</f>
        <v>CADASTRO</v>
      </c>
      <c r="C2241" s="76" t="str">
        <f>IFERROR(VLOOKUP($A2241,EVENTO!$A$2:$C$4999,3,FALSE),"")</f>
        <v>PREFEITURA MUNICIPAL DE CAUCAIA - SECRETARIA MUNICIPAL DE INFRAESTRUTURA</v>
      </c>
      <c r="D2241" s="78" t="s">
        <v>1770</v>
      </c>
      <c r="E2241" s="78" t="s">
        <v>1771</v>
      </c>
      <c r="F2241" s="78">
        <v>3.0</v>
      </c>
      <c r="G2241" s="98">
        <v>13.42</v>
      </c>
    </row>
    <row r="2242">
      <c r="A2242" s="6">
        <v>446.0</v>
      </c>
      <c r="B2242" s="76" t="str">
        <f>IFERROR(VLOOKUP($A2242,EVENTO!$A$2:$C$4999,2,FALSE),"")</f>
        <v>CADASTRO</v>
      </c>
      <c r="C2242" s="76" t="str">
        <f>IFERROR(VLOOKUP($A2242,EVENTO!$A$2:$C$4999,3,FALSE),"")</f>
        <v>PREFEITURA MUNICIPAL DE CAUCAIA - SECRETARIA MUNICIPAL DE INFRAESTRUTURA</v>
      </c>
      <c r="D2242" s="78" t="s">
        <v>1772</v>
      </c>
      <c r="E2242" s="78" t="s">
        <v>1773</v>
      </c>
      <c r="F2242" s="78">
        <v>1.0</v>
      </c>
      <c r="G2242" s="98">
        <v>36.65</v>
      </c>
    </row>
    <row r="2243">
      <c r="A2243" s="6">
        <v>446.0</v>
      </c>
      <c r="B2243" s="76" t="str">
        <f>IFERROR(VLOOKUP($A2243,EVENTO!$A$2:$C$4999,2,FALSE),"")</f>
        <v>CADASTRO</v>
      </c>
      <c r="C2243" s="76" t="str">
        <f>IFERROR(VLOOKUP($A2243,EVENTO!$A$2:$C$4999,3,FALSE),"")</f>
        <v>PREFEITURA MUNICIPAL DE CAUCAIA - SECRETARIA MUNICIPAL DE INFRAESTRUTURA</v>
      </c>
      <c r="D2243" s="78" t="s">
        <v>1774</v>
      </c>
      <c r="E2243" s="78" t="s">
        <v>1775</v>
      </c>
      <c r="F2243" s="78">
        <v>4.0</v>
      </c>
      <c r="G2243" s="98">
        <v>91.18</v>
      </c>
    </row>
    <row r="2244">
      <c r="A2244" s="6">
        <v>446.0</v>
      </c>
      <c r="B2244" s="76" t="str">
        <f>IFERROR(VLOOKUP($A2244,EVENTO!$A$2:$C$4999,2,FALSE),"")</f>
        <v>CADASTRO</v>
      </c>
      <c r="C2244" s="76" t="str">
        <f>IFERROR(VLOOKUP($A2244,EVENTO!$A$2:$C$4999,3,FALSE),"")</f>
        <v>PREFEITURA MUNICIPAL DE CAUCAIA - SECRETARIA MUNICIPAL DE INFRAESTRUTURA</v>
      </c>
      <c r="D2244" s="78" t="s">
        <v>1793</v>
      </c>
      <c r="E2244" s="78" t="s">
        <v>1794</v>
      </c>
      <c r="F2244" s="78">
        <v>1.0</v>
      </c>
      <c r="G2244" s="98">
        <v>182.78</v>
      </c>
    </row>
    <row r="2245">
      <c r="A2245" s="6">
        <v>446.0</v>
      </c>
      <c r="B2245" s="76" t="str">
        <f>IFERROR(VLOOKUP($A2245,EVENTO!$A$2:$C$4999,2,FALSE),"")</f>
        <v>CADASTRO</v>
      </c>
      <c r="C2245" s="76" t="str">
        <f>IFERROR(VLOOKUP($A2245,EVENTO!$A$2:$C$4999,3,FALSE),"")</f>
        <v>PREFEITURA MUNICIPAL DE CAUCAIA - SECRETARIA MUNICIPAL DE INFRAESTRUTURA</v>
      </c>
      <c r="D2245" s="78" t="s">
        <v>1776</v>
      </c>
      <c r="E2245" s="78" t="s">
        <v>1777</v>
      </c>
      <c r="F2245" s="78">
        <v>2.0</v>
      </c>
      <c r="G2245" s="98">
        <v>29.23</v>
      </c>
    </row>
    <row r="2246">
      <c r="A2246" s="6">
        <v>446.0</v>
      </c>
      <c r="B2246" s="76" t="str">
        <f>IFERROR(VLOOKUP($A2246,EVENTO!$A$2:$C$4999,2,FALSE),"")</f>
        <v>CADASTRO</v>
      </c>
      <c r="C2246" s="76" t="str">
        <f>IFERROR(VLOOKUP($A2246,EVENTO!$A$2:$C$4999,3,FALSE),"")</f>
        <v>PREFEITURA MUNICIPAL DE CAUCAIA - SECRETARIA MUNICIPAL DE INFRAESTRUTURA</v>
      </c>
      <c r="D2246" s="78" t="s">
        <v>1778</v>
      </c>
      <c r="E2246" s="78" t="s">
        <v>1779</v>
      </c>
      <c r="F2246" s="78">
        <v>4.0</v>
      </c>
      <c r="G2246" s="98">
        <v>63.8</v>
      </c>
    </row>
    <row r="2247">
      <c r="A2247" s="6">
        <v>446.0</v>
      </c>
      <c r="B2247" s="76" t="str">
        <f>IFERROR(VLOOKUP($A2247,EVENTO!$A$2:$C$4999,2,FALSE),"")</f>
        <v>CADASTRO</v>
      </c>
      <c r="C2247" s="76" t="str">
        <f>IFERROR(VLOOKUP($A2247,EVENTO!$A$2:$C$4999,3,FALSE),"")</f>
        <v>PREFEITURA MUNICIPAL DE CAUCAIA - SECRETARIA MUNICIPAL DE INFRAESTRUTURA</v>
      </c>
      <c r="D2247" s="78" t="s">
        <v>1780</v>
      </c>
      <c r="E2247" s="78" t="s">
        <v>1781</v>
      </c>
      <c r="F2247" s="78">
        <v>4.0</v>
      </c>
      <c r="G2247" s="98">
        <v>41.95</v>
      </c>
    </row>
    <row r="2248">
      <c r="A2248" s="6">
        <v>451.0</v>
      </c>
      <c r="B2248" s="76" t="str">
        <f>IFERROR(VLOOKUP($A2248,EVENTO!$A$2:$C$4999,2,FALSE),"")</f>
        <v>CADASTRO</v>
      </c>
      <c r="C2248" s="76" t="str">
        <f>IFERROR(VLOOKUP($A2248,EVENTO!$A$2:$C$4999,3,FALSE),"")</f>
        <v>PREFEITURA MUNICIPAL DE CAUCAIA - PROCURADORIA-GERAL DO MUNICÍPIO</v>
      </c>
      <c r="D2248" s="78" t="s">
        <v>1744</v>
      </c>
      <c r="E2248" s="78" t="s">
        <v>1745</v>
      </c>
      <c r="F2248" s="78">
        <v>2.0</v>
      </c>
      <c r="G2248" s="98">
        <v>534.71</v>
      </c>
    </row>
    <row r="2249">
      <c r="A2249" s="6">
        <v>451.0</v>
      </c>
      <c r="B2249" s="76" t="str">
        <f>IFERROR(VLOOKUP($A2249,EVENTO!$A$2:$C$4999,2,FALSE),"")</f>
        <v>CADASTRO</v>
      </c>
      <c r="C2249" s="76" t="str">
        <f>IFERROR(VLOOKUP($A2249,EVENTO!$A$2:$C$4999,3,FALSE),"")</f>
        <v>PREFEITURA MUNICIPAL DE CAUCAIA - PROCURADORIA-GERAL DO MUNICÍPIO</v>
      </c>
      <c r="D2249" s="78" t="s">
        <v>1746</v>
      </c>
      <c r="E2249" s="78" t="s">
        <v>1747</v>
      </c>
      <c r="F2249" s="78">
        <v>20.0</v>
      </c>
      <c r="G2249" s="98">
        <v>344.75</v>
      </c>
    </row>
    <row r="2250">
      <c r="A2250" s="6">
        <v>451.0</v>
      </c>
      <c r="B2250" s="76" t="str">
        <f>IFERROR(VLOOKUP($A2250,EVENTO!$A$2:$C$4999,2,FALSE),"")</f>
        <v>CADASTRO</v>
      </c>
      <c r="C2250" s="76" t="str">
        <f>IFERROR(VLOOKUP($A2250,EVENTO!$A$2:$C$4999,3,FALSE),"")</f>
        <v>PREFEITURA MUNICIPAL DE CAUCAIA - PROCURADORIA-GERAL DO MUNICÍPIO</v>
      </c>
      <c r="D2250" s="78" t="s">
        <v>1748</v>
      </c>
      <c r="E2250" s="78" t="s">
        <v>1749</v>
      </c>
      <c r="F2250" s="78">
        <v>2.0</v>
      </c>
      <c r="G2250" s="98">
        <v>270.39</v>
      </c>
    </row>
    <row r="2251">
      <c r="A2251" s="6">
        <v>451.0</v>
      </c>
      <c r="B2251" s="76" t="str">
        <f>IFERROR(VLOOKUP($A2251,EVENTO!$A$2:$C$4999,2,FALSE),"")</f>
        <v>CADASTRO</v>
      </c>
      <c r="C2251" s="76" t="str">
        <f>IFERROR(VLOOKUP($A2251,EVENTO!$A$2:$C$4999,3,FALSE),"")</f>
        <v>PREFEITURA MUNICIPAL DE CAUCAIA - PROCURADORIA-GERAL DO MUNICÍPIO</v>
      </c>
      <c r="D2251" s="78" t="s">
        <v>1750</v>
      </c>
      <c r="E2251" s="78" t="s">
        <v>1795</v>
      </c>
      <c r="F2251" s="78">
        <v>2.0</v>
      </c>
      <c r="G2251" s="98">
        <v>387.36</v>
      </c>
    </row>
    <row r="2252">
      <c r="A2252" s="6">
        <v>451.0</v>
      </c>
      <c r="B2252" s="76" t="str">
        <f>IFERROR(VLOOKUP($A2252,EVENTO!$A$2:$C$4999,2,FALSE),"")</f>
        <v>CADASTRO</v>
      </c>
      <c r="C2252" s="76" t="str">
        <f>IFERROR(VLOOKUP($A2252,EVENTO!$A$2:$C$4999,3,FALSE),"")</f>
        <v>PREFEITURA MUNICIPAL DE CAUCAIA - PROCURADORIA-GERAL DO MUNICÍPIO</v>
      </c>
      <c r="D2252" s="78" t="s">
        <v>1752</v>
      </c>
      <c r="E2252" s="78" t="s">
        <v>1796</v>
      </c>
      <c r="F2252" s="78">
        <v>36.0</v>
      </c>
      <c r="G2252" s="98">
        <v>221.78</v>
      </c>
    </row>
    <row r="2253">
      <c r="A2253" s="6">
        <v>451.0</v>
      </c>
      <c r="B2253" s="76" t="str">
        <f>IFERROR(VLOOKUP($A2253,EVENTO!$A$2:$C$4999,2,FALSE),"")</f>
        <v>CADASTRO</v>
      </c>
      <c r="C2253" s="76" t="str">
        <f>IFERROR(VLOOKUP($A2253,EVENTO!$A$2:$C$4999,3,FALSE),"")</f>
        <v>PREFEITURA MUNICIPAL DE CAUCAIA - PROCURADORIA-GERAL DO MUNICÍPIO</v>
      </c>
      <c r="D2253" s="78" t="s">
        <v>1782</v>
      </c>
      <c r="E2253" s="78" t="s">
        <v>1797</v>
      </c>
      <c r="F2253" s="78">
        <v>4.0</v>
      </c>
      <c r="G2253" s="98">
        <v>173.93</v>
      </c>
    </row>
    <row r="2254">
      <c r="A2254" s="6">
        <v>451.0</v>
      </c>
      <c r="B2254" s="76" t="str">
        <f>IFERROR(VLOOKUP($A2254,EVENTO!$A$2:$C$4999,2,FALSE),"")</f>
        <v>CADASTRO</v>
      </c>
      <c r="C2254" s="76" t="str">
        <f>IFERROR(VLOOKUP($A2254,EVENTO!$A$2:$C$4999,3,FALSE),"")</f>
        <v>PREFEITURA MUNICIPAL DE CAUCAIA - PROCURADORIA-GERAL DO MUNICÍPIO</v>
      </c>
      <c r="D2254" s="78" t="s">
        <v>1798</v>
      </c>
      <c r="E2254" s="78" t="s">
        <v>1799</v>
      </c>
      <c r="F2254" s="78">
        <v>2.0</v>
      </c>
      <c r="G2254" s="98">
        <v>638.01</v>
      </c>
    </row>
    <row r="2255">
      <c r="A2255" s="6">
        <v>451.0</v>
      </c>
      <c r="B2255" s="76" t="str">
        <f>IFERROR(VLOOKUP($A2255,EVENTO!$A$2:$C$4999,2,FALSE),"")</f>
        <v>CADASTRO</v>
      </c>
      <c r="C2255" s="76" t="str">
        <f>IFERROR(VLOOKUP($A2255,EVENTO!$A$2:$C$4999,3,FALSE),"")</f>
        <v>PREFEITURA MUNICIPAL DE CAUCAIA - PROCURADORIA-GERAL DO MUNICÍPIO</v>
      </c>
      <c r="D2255" s="78" t="s">
        <v>1800</v>
      </c>
      <c r="E2255" s="78" t="s">
        <v>1801</v>
      </c>
      <c r="F2255" s="78">
        <v>2.0</v>
      </c>
      <c r="G2255" s="98">
        <v>290.14</v>
      </c>
    </row>
    <row r="2256">
      <c r="A2256" s="6">
        <v>451.0</v>
      </c>
      <c r="B2256" s="76" t="str">
        <f>IFERROR(VLOOKUP($A2256,EVENTO!$A$2:$C$4999,2,FALSE),"")</f>
        <v>CADASTRO</v>
      </c>
      <c r="C2256" s="76" t="str">
        <f>IFERROR(VLOOKUP($A2256,EVENTO!$A$2:$C$4999,3,FALSE),"")</f>
        <v>PREFEITURA MUNICIPAL DE CAUCAIA - PROCURADORIA-GERAL DO MUNICÍPIO</v>
      </c>
      <c r="D2256" s="78" t="s">
        <v>1754</v>
      </c>
      <c r="E2256" s="78" t="s">
        <v>1802</v>
      </c>
      <c r="F2256" s="78">
        <v>12.0</v>
      </c>
      <c r="G2256" s="98">
        <v>286.34</v>
      </c>
    </row>
    <row r="2257">
      <c r="A2257" s="6">
        <v>451.0</v>
      </c>
      <c r="B2257" s="76" t="str">
        <f>IFERROR(VLOOKUP($A2257,EVENTO!$A$2:$C$4999,2,FALSE),"")</f>
        <v>CADASTRO</v>
      </c>
      <c r="C2257" s="76" t="str">
        <f>IFERROR(VLOOKUP($A2257,EVENTO!$A$2:$C$4999,3,FALSE),"")</f>
        <v>PREFEITURA MUNICIPAL DE CAUCAIA - PROCURADORIA-GERAL DO MUNICÍPIO</v>
      </c>
      <c r="D2257" s="78" t="s">
        <v>1758</v>
      </c>
      <c r="E2257" s="78" t="s">
        <v>1759</v>
      </c>
      <c r="F2257" s="78">
        <v>4.0</v>
      </c>
      <c r="G2257" s="98">
        <v>148.11</v>
      </c>
    </row>
    <row r="2258">
      <c r="A2258" s="6">
        <v>451.0</v>
      </c>
      <c r="B2258" s="76" t="str">
        <f>IFERROR(VLOOKUP($A2258,EVENTO!$A$2:$C$4999,2,FALSE),"")</f>
        <v>CADASTRO</v>
      </c>
      <c r="C2258" s="76" t="str">
        <f>IFERROR(VLOOKUP($A2258,EVENTO!$A$2:$C$4999,3,FALSE),"")</f>
        <v>PREFEITURA MUNICIPAL DE CAUCAIA - PROCURADORIA-GERAL DO MUNICÍPIO</v>
      </c>
      <c r="D2258" s="78" t="s">
        <v>1803</v>
      </c>
      <c r="E2258" s="78" t="s">
        <v>1804</v>
      </c>
      <c r="F2258" s="78">
        <v>20.0</v>
      </c>
      <c r="G2258" s="98">
        <v>90.38</v>
      </c>
    </row>
    <row r="2259">
      <c r="A2259" s="6">
        <v>451.0</v>
      </c>
      <c r="B2259" s="76" t="str">
        <f>IFERROR(VLOOKUP($A2259,EVENTO!$A$2:$C$4999,2,FALSE),"")</f>
        <v>CADASTRO</v>
      </c>
      <c r="C2259" s="76" t="str">
        <f>IFERROR(VLOOKUP($A2259,EVENTO!$A$2:$C$4999,3,FALSE),"")</f>
        <v>PREFEITURA MUNICIPAL DE CAUCAIA - PROCURADORIA-GERAL DO MUNICÍPIO</v>
      </c>
      <c r="D2259" s="78" t="s">
        <v>1805</v>
      </c>
      <c r="E2259" s="78" t="s">
        <v>1806</v>
      </c>
      <c r="F2259" s="78">
        <v>1.0</v>
      </c>
      <c r="G2259" s="98">
        <v>358.33</v>
      </c>
    </row>
    <row r="2260">
      <c r="A2260" s="6">
        <v>451.0</v>
      </c>
      <c r="B2260" s="76" t="str">
        <f>IFERROR(VLOOKUP($A2260,EVENTO!$A$2:$C$4999,2,FALSE),"")</f>
        <v>CADASTRO</v>
      </c>
      <c r="C2260" s="76" t="str">
        <f>IFERROR(VLOOKUP($A2260,EVENTO!$A$2:$C$4999,3,FALSE),"")</f>
        <v>PREFEITURA MUNICIPAL DE CAUCAIA - PROCURADORIA-GERAL DO MUNICÍPIO</v>
      </c>
      <c r="D2260" s="78" t="s">
        <v>1807</v>
      </c>
      <c r="E2260" s="78" t="s">
        <v>1808</v>
      </c>
      <c r="F2260" s="78">
        <v>2.0</v>
      </c>
      <c r="G2260" s="98">
        <v>201.73</v>
      </c>
    </row>
    <row r="2261">
      <c r="A2261" s="6">
        <v>451.0</v>
      </c>
      <c r="B2261" s="76" t="str">
        <f>IFERROR(VLOOKUP($A2261,EVENTO!$A$2:$C$4999,2,FALSE),"")</f>
        <v>CADASTRO</v>
      </c>
      <c r="C2261" s="76" t="str">
        <f>IFERROR(VLOOKUP($A2261,EVENTO!$A$2:$C$4999,3,FALSE),"")</f>
        <v>PREFEITURA MUNICIPAL DE CAUCAIA - PROCURADORIA-GERAL DO MUNICÍPIO</v>
      </c>
      <c r="D2261" s="78" t="s">
        <v>1809</v>
      </c>
      <c r="E2261" s="78" t="s">
        <v>1810</v>
      </c>
      <c r="F2261" s="78">
        <v>1.0</v>
      </c>
      <c r="G2261" s="98">
        <v>338.04</v>
      </c>
    </row>
    <row r="2262">
      <c r="A2262" s="6">
        <v>451.0</v>
      </c>
      <c r="B2262" s="76" t="str">
        <f>IFERROR(VLOOKUP($A2262,EVENTO!$A$2:$C$4999,2,FALSE),"")</f>
        <v>CADASTRO</v>
      </c>
      <c r="C2262" s="76" t="str">
        <f>IFERROR(VLOOKUP($A2262,EVENTO!$A$2:$C$4999,3,FALSE),"")</f>
        <v>PREFEITURA MUNICIPAL DE CAUCAIA - PROCURADORIA-GERAL DO MUNICÍPIO</v>
      </c>
      <c r="D2262" s="78" t="s">
        <v>1768</v>
      </c>
      <c r="E2262" s="78" t="s">
        <v>1769</v>
      </c>
      <c r="F2262" s="78">
        <v>2.0</v>
      </c>
      <c r="G2262" s="98">
        <v>283.89</v>
      </c>
    </row>
    <row r="2263">
      <c r="A2263" s="6">
        <v>451.0</v>
      </c>
      <c r="B2263" s="76" t="str">
        <f>IFERROR(VLOOKUP($A2263,EVENTO!$A$2:$C$4999,2,FALSE),"")</f>
        <v>CADASTRO</v>
      </c>
      <c r="C2263" s="76" t="str">
        <f>IFERROR(VLOOKUP($A2263,EVENTO!$A$2:$C$4999,3,FALSE),"")</f>
        <v>PREFEITURA MUNICIPAL DE CAUCAIA - PROCURADORIA-GERAL DO MUNICÍPIO</v>
      </c>
      <c r="D2263" s="78" t="s">
        <v>1770</v>
      </c>
      <c r="E2263" s="78" t="s">
        <v>1811</v>
      </c>
      <c r="F2263" s="78">
        <v>1.0</v>
      </c>
      <c r="G2263" s="98">
        <v>13.42</v>
      </c>
    </row>
    <row r="2264">
      <c r="A2264" s="6">
        <v>451.0</v>
      </c>
      <c r="B2264" s="76" t="str">
        <f>IFERROR(VLOOKUP($A2264,EVENTO!$A$2:$C$4999,2,FALSE),"")</f>
        <v>CADASTRO</v>
      </c>
      <c r="C2264" s="76" t="str">
        <f>IFERROR(VLOOKUP($A2264,EVENTO!$A$2:$C$4999,3,FALSE),"")</f>
        <v>PREFEITURA MUNICIPAL DE CAUCAIA - PROCURADORIA-GERAL DO MUNICÍPIO</v>
      </c>
      <c r="D2264" s="78" t="s">
        <v>1772</v>
      </c>
      <c r="E2264" s="78" t="s">
        <v>1812</v>
      </c>
      <c r="F2264" s="78">
        <v>2.0</v>
      </c>
      <c r="G2264" s="98">
        <v>36.65</v>
      </c>
    </row>
    <row r="2265">
      <c r="A2265" s="6">
        <v>451.0</v>
      </c>
      <c r="B2265" s="76" t="str">
        <f>IFERROR(VLOOKUP($A2265,EVENTO!$A$2:$C$4999,2,FALSE),"")</f>
        <v>CADASTRO</v>
      </c>
      <c r="C2265" s="76" t="str">
        <f>IFERROR(VLOOKUP($A2265,EVENTO!$A$2:$C$4999,3,FALSE),"")</f>
        <v>PREFEITURA MUNICIPAL DE CAUCAIA - PROCURADORIA-GERAL DO MUNICÍPIO</v>
      </c>
      <c r="D2265" s="78" t="s">
        <v>1774</v>
      </c>
      <c r="E2265" s="78" t="s">
        <v>1775</v>
      </c>
      <c r="F2265" s="78">
        <v>3.0</v>
      </c>
      <c r="G2265" s="98">
        <v>91.18</v>
      </c>
    </row>
    <row r="2266">
      <c r="A2266" s="6">
        <v>451.0</v>
      </c>
      <c r="B2266" s="76" t="str">
        <f>IFERROR(VLOOKUP($A2266,EVENTO!$A$2:$C$4999,2,FALSE),"")</f>
        <v>CADASTRO</v>
      </c>
      <c r="C2266" s="76" t="str">
        <f>IFERROR(VLOOKUP($A2266,EVENTO!$A$2:$C$4999,3,FALSE),"")</f>
        <v>PREFEITURA MUNICIPAL DE CAUCAIA - PROCURADORIA-GERAL DO MUNICÍPIO</v>
      </c>
      <c r="D2266" s="78" t="s">
        <v>1793</v>
      </c>
      <c r="E2266" s="78" t="s">
        <v>1794</v>
      </c>
      <c r="F2266" s="78">
        <v>1.0</v>
      </c>
      <c r="G2266" s="98">
        <v>182.78</v>
      </c>
    </row>
    <row r="2267">
      <c r="A2267" s="6">
        <v>451.0</v>
      </c>
      <c r="B2267" s="76" t="str">
        <f>IFERROR(VLOOKUP($A2267,EVENTO!$A$2:$C$4999,2,FALSE),"")</f>
        <v>CADASTRO</v>
      </c>
      <c r="C2267" s="76" t="str">
        <f>IFERROR(VLOOKUP($A2267,EVENTO!$A$2:$C$4999,3,FALSE),"")</f>
        <v>PREFEITURA MUNICIPAL DE CAUCAIA - PROCURADORIA-GERAL DO MUNICÍPIO</v>
      </c>
      <c r="D2267" s="78" t="s">
        <v>1776</v>
      </c>
      <c r="E2267" s="78" t="s">
        <v>1777</v>
      </c>
      <c r="F2267" s="78">
        <v>4.0</v>
      </c>
      <c r="G2267" s="98">
        <v>29.23</v>
      </c>
    </row>
    <row r="2268">
      <c r="A2268" s="6">
        <v>451.0</v>
      </c>
      <c r="B2268" s="76" t="str">
        <f>IFERROR(VLOOKUP($A2268,EVENTO!$A$2:$C$4999,2,FALSE),"")</f>
        <v>CADASTRO</v>
      </c>
      <c r="C2268" s="76" t="str">
        <f>IFERROR(VLOOKUP($A2268,EVENTO!$A$2:$C$4999,3,FALSE),"")</f>
        <v>PREFEITURA MUNICIPAL DE CAUCAIA - PROCURADORIA-GERAL DO MUNICÍPIO</v>
      </c>
      <c r="D2268" s="78" t="s">
        <v>1778</v>
      </c>
      <c r="E2268" s="78" t="s">
        <v>1779</v>
      </c>
      <c r="F2268" s="78">
        <v>2.0</v>
      </c>
      <c r="G2268" s="98">
        <v>63.8</v>
      </c>
    </row>
    <row r="2269">
      <c r="A2269" s="6">
        <v>451.0</v>
      </c>
      <c r="B2269" s="76" t="str">
        <f>IFERROR(VLOOKUP($A2269,EVENTO!$A$2:$C$4999,2,FALSE),"")</f>
        <v>CADASTRO</v>
      </c>
      <c r="C2269" s="76" t="str">
        <f>IFERROR(VLOOKUP($A2269,EVENTO!$A$2:$C$4999,3,FALSE),"")</f>
        <v>PREFEITURA MUNICIPAL DE CAUCAIA - PROCURADORIA-GERAL DO MUNICÍPIO</v>
      </c>
      <c r="D2269" s="78" t="s">
        <v>1780</v>
      </c>
      <c r="E2269" s="78" t="s">
        <v>1781</v>
      </c>
      <c r="F2269" s="78">
        <v>6.0</v>
      </c>
      <c r="G2269" s="98">
        <v>41.95</v>
      </c>
    </row>
    <row r="2270">
      <c r="A2270" s="6">
        <v>455.0</v>
      </c>
      <c r="B2270" s="76" t="str">
        <f>IFERROR(VLOOKUP($A2270,EVENTO!$A$2:$C$4999,2,FALSE),"")</f>
        <v>CADASTRO</v>
      </c>
      <c r="C2270" s="76" t="str">
        <f>IFERROR(VLOOKUP($A2270,EVENTO!$A$2:$C$4999,3,FALSE),"")</f>
        <v>PREFEITURA MUNICIPAL DE CAUCAIA - SECRETARIA MUNICIPAL DE PATRIMÔNIO E TRANSPORTE</v>
      </c>
      <c r="D2270" s="78" t="s">
        <v>1744</v>
      </c>
      <c r="E2270" s="78" t="s">
        <v>1745</v>
      </c>
      <c r="F2270" s="78">
        <v>6.0</v>
      </c>
      <c r="G2270" s="98">
        <v>534.71</v>
      </c>
    </row>
    <row r="2271">
      <c r="A2271" s="6">
        <v>455.0</v>
      </c>
      <c r="B2271" s="76" t="str">
        <f>IFERROR(VLOOKUP($A2271,EVENTO!$A$2:$C$4999,2,FALSE),"")</f>
        <v>CADASTRO</v>
      </c>
      <c r="C2271" s="76" t="str">
        <f>IFERROR(VLOOKUP($A2271,EVENTO!$A$2:$C$4999,3,FALSE),"")</f>
        <v>PREFEITURA MUNICIPAL DE CAUCAIA - SECRETARIA MUNICIPAL DE PATRIMÔNIO E TRANSPORTE</v>
      </c>
      <c r="D2271" s="78" t="s">
        <v>1746</v>
      </c>
      <c r="E2271" s="78" t="s">
        <v>1747</v>
      </c>
      <c r="F2271" s="78">
        <v>10.0</v>
      </c>
      <c r="G2271" s="98">
        <v>344.75</v>
      </c>
    </row>
    <row r="2272">
      <c r="A2272" s="6">
        <v>455.0</v>
      </c>
      <c r="B2272" s="76" t="str">
        <f>IFERROR(VLOOKUP($A2272,EVENTO!$A$2:$C$4999,2,FALSE),"")</f>
        <v>CADASTRO</v>
      </c>
      <c r="C2272" s="76" t="str">
        <f>IFERROR(VLOOKUP($A2272,EVENTO!$A$2:$C$4999,3,FALSE),"")</f>
        <v>PREFEITURA MUNICIPAL DE CAUCAIA - SECRETARIA MUNICIPAL DE PATRIMÔNIO E TRANSPORTE</v>
      </c>
      <c r="D2272" s="78" t="s">
        <v>1748</v>
      </c>
      <c r="E2272" s="78" t="s">
        <v>1749</v>
      </c>
      <c r="F2272" s="78">
        <v>2.0</v>
      </c>
      <c r="G2272" s="98">
        <v>270.39</v>
      </c>
    </row>
    <row r="2273">
      <c r="A2273" s="6">
        <v>455.0</v>
      </c>
      <c r="B2273" s="76" t="str">
        <f>IFERROR(VLOOKUP($A2273,EVENTO!$A$2:$C$4999,2,FALSE),"")</f>
        <v>CADASTRO</v>
      </c>
      <c r="C2273" s="76" t="str">
        <f>IFERROR(VLOOKUP($A2273,EVENTO!$A$2:$C$4999,3,FALSE),"")</f>
        <v>PREFEITURA MUNICIPAL DE CAUCAIA - SECRETARIA MUNICIPAL DE PATRIMÔNIO E TRANSPORTE</v>
      </c>
      <c r="D2273" s="78" t="s">
        <v>1750</v>
      </c>
      <c r="E2273" s="78" t="s">
        <v>1795</v>
      </c>
      <c r="F2273" s="78">
        <v>4.0</v>
      </c>
      <c r="G2273" s="98">
        <v>387.36</v>
      </c>
    </row>
    <row r="2274">
      <c r="A2274" s="6">
        <v>455.0</v>
      </c>
      <c r="B2274" s="76" t="str">
        <f>IFERROR(VLOOKUP($A2274,EVENTO!$A$2:$C$4999,2,FALSE),"")</f>
        <v>CADASTRO</v>
      </c>
      <c r="C2274" s="76" t="str">
        <f>IFERROR(VLOOKUP($A2274,EVENTO!$A$2:$C$4999,3,FALSE),"")</f>
        <v>PREFEITURA MUNICIPAL DE CAUCAIA - SECRETARIA MUNICIPAL DE PATRIMÔNIO E TRANSPORTE</v>
      </c>
      <c r="D2274" s="78" t="s">
        <v>1752</v>
      </c>
      <c r="E2274" s="78" t="s">
        <v>1753</v>
      </c>
      <c r="F2274" s="78">
        <v>48.0</v>
      </c>
      <c r="G2274" s="98">
        <v>221.78</v>
      </c>
    </row>
    <row r="2275">
      <c r="A2275" s="6">
        <v>455.0</v>
      </c>
      <c r="B2275" s="76" t="str">
        <f>IFERROR(VLOOKUP($A2275,EVENTO!$A$2:$C$4999,2,FALSE),"")</f>
        <v>CADASTRO</v>
      </c>
      <c r="C2275" s="76" t="str">
        <f>IFERROR(VLOOKUP($A2275,EVENTO!$A$2:$C$4999,3,FALSE),"")</f>
        <v>PREFEITURA MUNICIPAL DE CAUCAIA - SECRETARIA MUNICIPAL DE PATRIMÔNIO E TRANSPORTE</v>
      </c>
      <c r="D2275" s="78" t="s">
        <v>1782</v>
      </c>
      <c r="E2275" s="78" t="s">
        <v>1797</v>
      </c>
      <c r="F2275" s="78">
        <v>10.0</v>
      </c>
      <c r="G2275" s="98">
        <v>173.93</v>
      </c>
    </row>
    <row r="2276">
      <c r="A2276" s="6">
        <v>455.0</v>
      </c>
      <c r="B2276" s="76" t="str">
        <f>IFERROR(VLOOKUP($A2276,EVENTO!$A$2:$C$4999,2,FALSE),"")</f>
        <v>CADASTRO</v>
      </c>
      <c r="C2276" s="76" t="str">
        <f>IFERROR(VLOOKUP($A2276,EVENTO!$A$2:$C$4999,3,FALSE),"")</f>
        <v>PREFEITURA MUNICIPAL DE CAUCAIA - SECRETARIA MUNICIPAL DE PATRIMÔNIO E TRANSPORTE</v>
      </c>
      <c r="D2276" s="78" t="s">
        <v>1754</v>
      </c>
      <c r="E2276" s="78" t="s">
        <v>1802</v>
      </c>
      <c r="F2276" s="78">
        <v>16.0</v>
      </c>
      <c r="G2276" s="98">
        <v>286.34</v>
      </c>
    </row>
    <row r="2277">
      <c r="A2277" s="6">
        <v>455.0</v>
      </c>
      <c r="B2277" s="76" t="str">
        <f>IFERROR(VLOOKUP($A2277,EVENTO!$A$2:$C$4999,2,FALSE),"")</f>
        <v>CADASTRO</v>
      </c>
      <c r="C2277" s="76" t="str">
        <f>IFERROR(VLOOKUP($A2277,EVENTO!$A$2:$C$4999,3,FALSE),"")</f>
        <v>PREFEITURA MUNICIPAL DE CAUCAIA - SECRETARIA MUNICIPAL DE PATRIMÔNIO E TRANSPORTE</v>
      </c>
      <c r="D2277" s="78" t="s">
        <v>1756</v>
      </c>
      <c r="E2277" s="78" t="s">
        <v>1813</v>
      </c>
      <c r="F2277" s="78">
        <v>15.0</v>
      </c>
      <c r="G2277" s="98">
        <v>234.7</v>
      </c>
    </row>
    <row r="2278">
      <c r="A2278" s="6">
        <v>455.0</v>
      </c>
      <c r="B2278" s="76" t="str">
        <f>IFERROR(VLOOKUP($A2278,EVENTO!$A$2:$C$4999,2,FALSE),"")</f>
        <v>CADASTRO</v>
      </c>
      <c r="C2278" s="76" t="str">
        <f>IFERROR(VLOOKUP($A2278,EVENTO!$A$2:$C$4999,3,FALSE),"")</f>
        <v>PREFEITURA MUNICIPAL DE CAUCAIA - SECRETARIA MUNICIPAL DE PATRIMÔNIO E TRANSPORTE</v>
      </c>
      <c r="D2278" s="78" t="s">
        <v>1758</v>
      </c>
      <c r="E2278" s="78" t="s">
        <v>1759</v>
      </c>
      <c r="F2278" s="78">
        <v>12.0</v>
      </c>
      <c r="G2278" s="98">
        <v>148.11</v>
      </c>
    </row>
    <row r="2279">
      <c r="A2279" s="6">
        <v>455.0</v>
      </c>
      <c r="B2279" s="76" t="str">
        <f>IFERROR(VLOOKUP($A2279,EVENTO!$A$2:$C$4999,2,FALSE),"")</f>
        <v>CADASTRO</v>
      </c>
      <c r="C2279" s="76" t="str">
        <f>IFERROR(VLOOKUP($A2279,EVENTO!$A$2:$C$4999,3,FALSE),"")</f>
        <v>PREFEITURA MUNICIPAL DE CAUCAIA - SECRETARIA MUNICIPAL DE PATRIMÔNIO E TRANSPORTE</v>
      </c>
      <c r="D2279" s="78" t="s">
        <v>1789</v>
      </c>
      <c r="E2279" s="78" t="s">
        <v>1814</v>
      </c>
      <c r="F2279" s="78">
        <v>2.0</v>
      </c>
      <c r="G2279" s="98">
        <v>193.47</v>
      </c>
    </row>
    <row r="2280">
      <c r="A2280" s="6">
        <v>455.0</v>
      </c>
      <c r="B2280" s="76" t="str">
        <f>IFERROR(VLOOKUP($A2280,EVENTO!$A$2:$C$4999,2,FALSE),"")</f>
        <v>CADASTRO</v>
      </c>
      <c r="C2280" s="76" t="str">
        <f>IFERROR(VLOOKUP($A2280,EVENTO!$A$2:$C$4999,3,FALSE),"")</f>
        <v>PREFEITURA MUNICIPAL DE CAUCAIA - SECRETARIA MUNICIPAL DE PATRIMÔNIO E TRANSPORTE</v>
      </c>
      <c r="D2280" s="78" t="s">
        <v>1791</v>
      </c>
      <c r="E2280" s="78" t="s">
        <v>1815</v>
      </c>
      <c r="F2280" s="78">
        <v>2.0</v>
      </c>
      <c r="G2280" s="98">
        <v>50.3</v>
      </c>
    </row>
    <row r="2281">
      <c r="A2281" s="6">
        <v>455.0</v>
      </c>
      <c r="B2281" s="76" t="str">
        <f>IFERROR(VLOOKUP($A2281,EVENTO!$A$2:$C$4999,2,FALSE),"")</f>
        <v>CADASTRO</v>
      </c>
      <c r="C2281" s="76" t="str">
        <f>IFERROR(VLOOKUP($A2281,EVENTO!$A$2:$C$4999,3,FALSE),"")</f>
        <v>PREFEITURA MUNICIPAL DE CAUCAIA - SECRETARIA MUNICIPAL DE PATRIMÔNIO E TRANSPORTE</v>
      </c>
      <c r="D2281" s="78" t="s">
        <v>1770</v>
      </c>
      <c r="E2281" s="78" t="s">
        <v>1811</v>
      </c>
      <c r="F2281" s="78">
        <v>2.0</v>
      </c>
      <c r="G2281" s="98">
        <v>13.42</v>
      </c>
    </row>
    <row r="2282">
      <c r="A2282" s="6">
        <v>455.0</v>
      </c>
      <c r="B2282" s="76" t="str">
        <f>IFERROR(VLOOKUP($A2282,EVENTO!$A$2:$C$4999,2,FALSE),"")</f>
        <v>CADASTRO</v>
      </c>
      <c r="C2282" s="76" t="str">
        <f>IFERROR(VLOOKUP($A2282,EVENTO!$A$2:$C$4999,3,FALSE),"")</f>
        <v>PREFEITURA MUNICIPAL DE CAUCAIA - SECRETARIA MUNICIPAL DE PATRIMÔNIO E TRANSPORTE</v>
      </c>
      <c r="D2282" s="78" t="s">
        <v>1772</v>
      </c>
      <c r="E2282" s="78" t="s">
        <v>1812</v>
      </c>
      <c r="F2282" s="78">
        <v>1.0</v>
      </c>
      <c r="G2282" s="98">
        <v>36.65</v>
      </c>
    </row>
    <row r="2283">
      <c r="A2283" s="6">
        <v>455.0</v>
      </c>
      <c r="B2283" s="76" t="str">
        <f>IFERROR(VLOOKUP($A2283,EVENTO!$A$2:$C$4999,2,FALSE),"")</f>
        <v>CADASTRO</v>
      </c>
      <c r="C2283" s="76" t="str">
        <f>IFERROR(VLOOKUP($A2283,EVENTO!$A$2:$C$4999,3,FALSE),"")</f>
        <v>PREFEITURA MUNICIPAL DE CAUCAIA - SECRETARIA MUNICIPAL DE PATRIMÔNIO E TRANSPORTE</v>
      </c>
      <c r="D2283" s="78" t="s">
        <v>1774</v>
      </c>
      <c r="E2283" s="78" t="s">
        <v>1816</v>
      </c>
      <c r="F2283" s="78">
        <v>3.0</v>
      </c>
      <c r="G2283" s="98">
        <v>91.18</v>
      </c>
    </row>
    <row r="2284">
      <c r="A2284" s="6">
        <v>455.0</v>
      </c>
      <c r="B2284" s="76" t="str">
        <f>IFERROR(VLOOKUP($A2284,EVENTO!$A$2:$C$4999,2,FALSE),"")</f>
        <v>CADASTRO</v>
      </c>
      <c r="C2284" s="76" t="str">
        <f>IFERROR(VLOOKUP($A2284,EVENTO!$A$2:$C$4999,3,FALSE),"")</f>
        <v>PREFEITURA MUNICIPAL DE CAUCAIA - SECRETARIA MUNICIPAL DE PATRIMÔNIO E TRANSPORTE</v>
      </c>
      <c r="D2284" s="78" t="s">
        <v>1776</v>
      </c>
      <c r="E2284" s="78" t="s">
        <v>1777</v>
      </c>
      <c r="F2284" s="78">
        <v>2.0</v>
      </c>
      <c r="G2284" s="98">
        <v>29.23</v>
      </c>
    </row>
    <row r="2285">
      <c r="A2285" s="6">
        <v>455.0</v>
      </c>
      <c r="B2285" s="76" t="str">
        <f>IFERROR(VLOOKUP($A2285,EVENTO!$A$2:$C$4999,2,FALSE),"")</f>
        <v>CADASTRO</v>
      </c>
      <c r="C2285" s="76" t="str">
        <f>IFERROR(VLOOKUP($A2285,EVENTO!$A$2:$C$4999,3,FALSE),"")</f>
        <v>PREFEITURA MUNICIPAL DE CAUCAIA - SECRETARIA MUNICIPAL DE PATRIMÔNIO E TRANSPORTE</v>
      </c>
      <c r="D2285" s="78" t="s">
        <v>1778</v>
      </c>
      <c r="E2285" s="78" t="s">
        <v>1817</v>
      </c>
      <c r="F2285" s="78">
        <v>1.0</v>
      </c>
      <c r="G2285" s="98">
        <v>63.8</v>
      </c>
    </row>
    <row r="2286">
      <c r="A2286" s="6">
        <v>455.0</v>
      </c>
      <c r="B2286" s="76" t="str">
        <f>IFERROR(VLOOKUP($A2286,EVENTO!$A$2:$C$4999,2,FALSE),"")</f>
        <v>CADASTRO</v>
      </c>
      <c r="C2286" s="76" t="str">
        <f>IFERROR(VLOOKUP($A2286,EVENTO!$A$2:$C$4999,3,FALSE),"")</f>
        <v>PREFEITURA MUNICIPAL DE CAUCAIA - SECRETARIA MUNICIPAL DE PATRIMÔNIO E TRANSPORTE</v>
      </c>
      <c r="D2286" s="78" t="s">
        <v>1780</v>
      </c>
      <c r="E2286" s="78" t="s">
        <v>1504</v>
      </c>
      <c r="F2286" s="78">
        <v>4.0</v>
      </c>
      <c r="G2286" s="98">
        <v>41.95</v>
      </c>
    </row>
    <row r="2287">
      <c r="A2287" s="6">
        <v>460.0</v>
      </c>
      <c r="B2287" s="76" t="str">
        <f>IFERROR(VLOOKUP($A2287,EVENTO!$A$2:$C$4999,2,FALSE),"")</f>
        <v>CADASTRO</v>
      </c>
      <c r="C2287" s="76" t="str">
        <f>IFERROR(VLOOKUP($A2287,EVENTO!$A$2:$C$4999,3,FALSE),"")</f>
        <v>PREFEITURA MUNICIPAL DE CAUCAIA - INSTITUTO DE PREVIDÊNCIA DO MUNICÍPIO</v>
      </c>
      <c r="D2287" s="78" t="s">
        <v>1744</v>
      </c>
      <c r="E2287" s="78" t="s">
        <v>1745</v>
      </c>
      <c r="F2287" s="78">
        <v>1.0</v>
      </c>
      <c r="G2287" s="98">
        <v>534.71</v>
      </c>
    </row>
    <row r="2288">
      <c r="A2288" s="6">
        <v>460.0</v>
      </c>
      <c r="B2288" s="76" t="str">
        <f>IFERROR(VLOOKUP($A2288,EVENTO!$A$2:$C$4999,2,FALSE),"")</f>
        <v>CADASTRO</v>
      </c>
      <c r="C2288" s="76" t="str">
        <f>IFERROR(VLOOKUP($A2288,EVENTO!$A$2:$C$4999,3,FALSE),"")</f>
        <v>PREFEITURA MUNICIPAL DE CAUCAIA - INSTITUTO DE PREVIDÊNCIA DO MUNICÍPIO</v>
      </c>
      <c r="D2288" s="78" t="s">
        <v>1746</v>
      </c>
      <c r="E2288" s="78" t="s">
        <v>1747</v>
      </c>
      <c r="F2288" s="78">
        <v>1.0</v>
      </c>
      <c r="G2288" s="98">
        <v>344.75</v>
      </c>
    </row>
    <row r="2289">
      <c r="A2289" s="6">
        <v>460.0</v>
      </c>
      <c r="B2289" s="76" t="str">
        <f>IFERROR(VLOOKUP($A2289,EVENTO!$A$2:$C$4999,2,FALSE),"")</f>
        <v>CADASTRO</v>
      </c>
      <c r="C2289" s="76" t="str">
        <f>IFERROR(VLOOKUP($A2289,EVENTO!$A$2:$C$4999,3,FALSE),"")</f>
        <v>PREFEITURA MUNICIPAL DE CAUCAIA - INSTITUTO DE PREVIDÊNCIA DO MUNICÍPIO</v>
      </c>
      <c r="D2289" s="78" t="s">
        <v>1750</v>
      </c>
      <c r="E2289" s="78" t="s">
        <v>1795</v>
      </c>
      <c r="F2289" s="78">
        <v>1.0</v>
      </c>
      <c r="G2289" s="98">
        <v>387.36</v>
      </c>
    </row>
    <row r="2290">
      <c r="A2290" s="6">
        <v>460.0</v>
      </c>
      <c r="B2290" s="76" t="str">
        <f>IFERROR(VLOOKUP($A2290,EVENTO!$A$2:$C$4999,2,FALSE),"")</f>
        <v>CADASTRO</v>
      </c>
      <c r="C2290" s="76" t="str">
        <f>IFERROR(VLOOKUP($A2290,EVENTO!$A$2:$C$4999,3,FALSE),"")</f>
        <v>PREFEITURA MUNICIPAL DE CAUCAIA - INSTITUTO DE PREVIDÊNCIA DO MUNICÍPIO</v>
      </c>
      <c r="D2290" s="78" t="s">
        <v>1752</v>
      </c>
      <c r="E2290" s="78" t="s">
        <v>1753</v>
      </c>
      <c r="F2290" s="78">
        <v>20.0</v>
      </c>
      <c r="G2290" s="98">
        <v>221.78</v>
      </c>
    </row>
    <row r="2291">
      <c r="A2291" s="6">
        <v>460.0</v>
      </c>
      <c r="B2291" s="76" t="str">
        <f>IFERROR(VLOOKUP($A2291,EVENTO!$A$2:$C$4999,2,FALSE),"")</f>
        <v>CADASTRO</v>
      </c>
      <c r="C2291" s="76" t="str">
        <f>IFERROR(VLOOKUP($A2291,EVENTO!$A$2:$C$4999,3,FALSE),"")</f>
        <v>PREFEITURA MUNICIPAL DE CAUCAIA - INSTITUTO DE PREVIDÊNCIA DO MUNICÍPIO</v>
      </c>
      <c r="D2291" s="78" t="s">
        <v>1782</v>
      </c>
      <c r="E2291" s="78" t="s">
        <v>1797</v>
      </c>
      <c r="F2291" s="78">
        <v>2.0</v>
      </c>
      <c r="G2291" s="98">
        <v>173.93</v>
      </c>
    </row>
    <row r="2292">
      <c r="A2292" s="6">
        <v>460.0</v>
      </c>
      <c r="B2292" s="76" t="str">
        <f>IFERROR(VLOOKUP($A2292,EVENTO!$A$2:$C$4999,2,FALSE),"")</f>
        <v>CADASTRO</v>
      </c>
      <c r="C2292" s="76" t="str">
        <f>IFERROR(VLOOKUP($A2292,EVENTO!$A$2:$C$4999,3,FALSE),"")</f>
        <v>PREFEITURA MUNICIPAL DE CAUCAIA - INSTITUTO DE PREVIDÊNCIA DO MUNICÍPIO</v>
      </c>
      <c r="D2292" s="78" t="s">
        <v>1754</v>
      </c>
      <c r="E2292" s="78" t="s">
        <v>1802</v>
      </c>
      <c r="F2292" s="78">
        <v>12.0</v>
      </c>
      <c r="G2292" s="98">
        <v>286.34</v>
      </c>
    </row>
    <row r="2293">
      <c r="A2293" s="6">
        <v>460.0</v>
      </c>
      <c r="B2293" s="76" t="str">
        <f>IFERROR(VLOOKUP($A2293,EVENTO!$A$2:$C$4999,2,FALSE),"")</f>
        <v>CADASTRO</v>
      </c>
      <c r="C2293" s="76" t="str">
        <f>IFERROR(VLOOKUP($A2293,EVENTO!$A$2:$C$4999,3,FALSE),"")</f>
        <v>PREFEITURA MUNICIPAL DE CAUCAIA - INSTITUTO DE PREVIDÊNCIA DO MUNICÍPIO</v>
      </c>
      <c r="D2293" s="78" t="s">
        <v>1758</v>
      </c>
      <c r="E2293" s="78" t="s">
        <v>1759</v>
      </c>
      <c r="F2293" s="78">
        <v>1.0</v>
      </c>
      <c r="G2293" s="98">
        <v>148.11</v>
      </c>
    </row>
    <row r="2294">
      <c r="A2294" s="6">
        <v>460.0</v>
      </c>
      <c r="B2294" s="76" t="str">
        <f>IFERROR(VLOOKUP($A2294,EVENTO!$A$2:$C$4999,2,FALSE),"")</f>
        <v>CADASTRO</v>
      </c>
      <c r="C2294" s="76" t="str">
        <f>IFERROR(VLOOKUP($A2294,EVENTO!$A$2:$C$4999,3,FALSE),"")</f>
        <v>PREFEITURA MUNICIPAL DE CAUCAIA - INSTITUTO DE PREVIDÊNCIA DO MUNICÍPIO</v>
      </c>
      <c r="D2294" s="78" t="s">
        <v>1818</v>
      </c>
      <c r="E2294" s="78" t="s">
        <v>1808</v>
      </c>
      <c r="F2294" s="78">
        <v>1.0</v>
      </c>
      <c r="G2294" s="98">
        <v>201.73</v>
      </c>
    </row>
    <row r="2295">
      <c r="A2295" s="6">
        <v>460.0</v>
      </c>
      <c r="B2295" s="76" t="str">
        <f>IFERROR(VLOOKUP($A2295,EVENTO!$A$2:$C$4999,2,FALSE),"")</f>
        <v>CADASTRO</v>
      </c>
      <c r="C2295" s="76" t="str">
        <f>IFERROR(VLOOKUP($A2295,EVENTO!$A$2:$C$4999,3,FALSE),"")</f>
        <v>PREFEITURA MUNICIPAL DE CAUCAIA - INSTITUTO DE PREVIDÊNCIA DO MUNICÍPIO</v>
      </c>
      <c r="D2295" s="78" t="s">
        <v>1776</v>
      </c>
      <c r="E2295" s="78" t="s">
        <v>1777</v>
      </c>
      <c r="F2295" s="78">
        <v>2.0</v>
      </c>
      <c r="G2295" s="98">
        <v>29.23</v>
      </c>
    </row>
    <row r="2296">
      <c r="A2296" s="6">
        <v>460.0</v>
      </c>
      <c r="B2296" s="76" t="str">
        <f>IFERROR(VLOOKUP($A2296,EVENTO!$A$2:$C$4999,2,FALSE),"")</f>
        <v>CADASTRO</v>
      </c>
      <c r="C2296" s="76" t="str">
        <f>IFERROR(VLOOKUP($A2296,EVENTO!$A$2:$C$4999,3,FALSE),"")</f>
        <v>PREFEITURA MUNICIPAL DE CAUCAIA - INSTITUTO DE PREVIDÊNCIA DO MUNICÍPIO</v>
      </c>
      <c r="D2296" s="78" t="s">
        <v>1778</v>
      </c>
      <c r="E2296" s="78" t="s">
        <v>1817</v>
      </c>
      <c r="F2296" s="78">
        <v>2.0</v>
      </c>
      <c r="G2296" s="98">
        <v>63.8</v>
      </c>
    </row>
    <row r="2297">
      <c r="A2297" s="6">
        <v>460.0</v>
      </c>
      <c r="B2297" s="76" t="str">
        <f>IFERROR(VLOOKUP($A2297,EVENTO!$A$2:$C$4999,2,FALSE),"")</f>
        <v>CADASTRO</v>
      </c>
      <c r="C2297" s="76" t="str">
        <f>IFERROR(VLOOKUP($A2297,EVENTO!$A$2:$C$4999,3,FALSE),"")</f>
        <v>PREFEITURA MUNICIPAL DE CAUCAIA - INSTITUTO DE PREVIDÊNCIA DO MUNICÍPIO</v>
      </c>
      <c r="D2297" s="78" t="s">
        <v>1780</v>
      </c>
      <c r="E2297" s="78" t="s">
        <v>1504</v>
      </c>
      <c r="F2297" s="78">
        <v>2.0</v>
      </c>
      <c r="G2297" s="98">
        <v>41.95</v>
      </c>
    </row>
    <row r="2298">
      <c r="A2298" s="6">
        <v>465.0</v>
      </c>
      <c r="B2298" s="76" t="str">
        <f>IFERROR(VLOOKUP($A2298,EVENTO!$A$2:$C$4999,2,FALSE),"")</f>
        <v>CADASTRO</v>
      </c>
      <c r="C2298" s="76" t="str">
        <f>IFERROR(VLOOKUP($A2298,EVENTO!$A$2:$C$4999,3,FALSE),"")</f>
        <v>PREFEITURA MUNICIPAL DE CAUCAIA - INSTITUTO DO MEIO AMBIENTE DO MUNICÍPIO</v>
      </c>
      <c r="D2298" s="78" t="s">
        <v>1744</v>
      </c>
      <c r="E2298" s="78" t="s">
        <v>1745</v>
      </c>
      <c r="F2298" s="78">
        <v>9.0</v>
      </c>
      <c r="G2298" s="98">
        <v>534.71</v>
      </c>
    </row>
    <row r="2299">
      <c r="A2299" s="6">
        <v>465.0</v>
      </c>
      <c r="B2299" s="76" t="str">
        <f>IFERROR(VLOOKUP($A2299,EVENTO!$A$2:$C$4999,2,FALSE),"")</f>
        <v>CADASTRO</v>
      </c>
      <c r="C2299" s="76" t="str">
        <f>IFERROR(VLOOKUP($A2299,EVENTO!$A$2:$C$4999,3,FALSE),"")</f>
        <v>PREFEITURA MUNICIPAL DE CAUCAIA - INSTITUTO DO MEIO AMBIENTE DO MUNICÍPIO</v>
      </c>
      <c r="D2299" s="78" t="s">
        <v>1746</v>
      </c>
      <c r="E2299" s="78" t="s">
        <v>1747</v>
      </c>
      <c r="F2299" s="78">
        <v>35.0</v>
      </c>
      <c r="G2299" s="98">
        <v>344.75</v>
      </c>
    </row>
    <row r="2300">
      <c r="A2300" s="6">
        <v>465.0</v>
      </c>
      <c r="B2300" s="76" t="str">
        <f>IFERROR(VLOOKUP($A2300,EVENTO!$A$2:$C$4999,2,FALSE),"")</f>
        <v>CADASTRO</v>
      </c>
      <c r="C2300" s="76" t="str">
        <f>IFERROR(VLOOKUP($A2300,EVENTO!$A$2:$C$4999,3,FALSE),"")</f>
        <v>PREFEITURA MUNICIPAL DE CAUCAIA - INSTITUTO DO MEIO AMBIENTE DO MUNICÍPIO</v>
      </c>
      <c r="D2300" s="78" t="s">
        <v>1748</v>
      </c>
      <c r="E2300" s="78" t="s">
        <v>1749</v>
      </c>
      <c r="F2300" s="78">
        <v>2.0</v>
      </c>
      <c r="G2300" s="98">
        <v>270.39</v>
      </c>
    </row>
    <row r="2301">
      <c r="A2301" s="6">
        <v>465.0</v>
      </c>
      <c r="B2301" s="76" t="str">
        <f>IFERROR(VLOOKUP($A2301,EVENTO!$A$2:$C$4999,2,FALSE),"")</f>
        <v>CADASTRO</v>
      </c>
      <c r="C2301" s="76" t="str">
        <f>IFERROR(VLOOKUP($A2301,EVENTO!$A$2:$C$4999,3,FALSE),"")</f>
        <v>PREFEITURA MUNICIPAL DE CAUCAIA - INSTITUTO DO MEIO AMBIENTE DO MUNICÍPIO</v>
      </c>
      <c r="D2301" s="78" t="s">
        <v>1750</v>
      </c>
      <c r="E2301" s="78" t="s">
        <v>1795</v>
      </c>
      <c r="F2301" s="78">
        <v>3.0</v>
      </c>
      <c r="G2301" s="98">
        <v>387.36</v>
      </c>
    </row>
    <row r="2302">
      <c r="A2302" s="6">
        <v>465.0</v>
      </c>
      <c r="B2302" s="76" t="str">
        <f>IFERROR(VLOOKUP($A2302,EVENTO!$A$2:$C$4999,2,FALSE),"")</f>
        <v>CADASTRO</v>
      </c>
      <c r="C2302" s="76" t="str">
        <f>IFERROR(VLOOKUP($A2302,EVENTO!$A$2:$C$4999,3,FALSE),"")</f>
        <v>PREFEITURA MUNICIPAL DE CAUCAIA - INSTITUTO DO MEIO AMBIENTE DO MUNICÍPIO</v>
      </c>
      <c r="D2302" s="78" t="s">
        <v>1752</v>
      </c>
      <c r="E2302" s="78" t="s">
        <v>1753</v>
      </c>
      <c r="F2302" s="78">
        <v>3.0</v>
      </c>
      <c r="G2302" s="98">
        <v>221.78</v>
      </c>
    </row>
    <row r="2303">
      <c r="A2303" s="6">
        <v>465.0</v>
      </c>
      <c r="B2303" s="76" t="str">
        <f>IFERROR(VLOOKUP($A2303,EVENTO!$A$2:$C$4999,2,FALSE),"")</f>
        <v>CADASTRO</v>
      </c>
      <c r="C2303" s="76" t="str">
        <f>IFERROR(VLOOKUP($A2303,EVENTO!$A$2:$C$4999,3,FALSE),"")</f>
        <v>PREFEITURA MUNICIPAL DE CAUCAIA - INSTITUTO DO MEIO AMBIENTE DO MUNICÍPIO</v>
      </c>
      <c r="D2303" s="78" t="s">
        <v>1782</v>
      </c>
      <c r="E2303" s="78" t="s">
        <v>1797</v>
      </c>
      <c r="F2303" s="78">
        <v>2.0</v>
      </c>
      <c r="G2303" s="98">
        <v>173.93</v>
      </c>
    </row>
    <row r="2304">
      <c r="A2304" s="6">
        <v>465.0</v>
      </c>
      <c r="B2304" s="76" t="str">
        <f>IFERROR(VLOOKUP($A2304,EVENTO!$A$2:$C$4999,2,FALSE),"")</f>
        <v>CADASTRO</v>
      </c>
      <c r="C2304" s="76" t="str">
        <f>IFERROR(VLOOKUP($A2304,EVENTO!$A$2:$C$4999,3,FALSE),"")</f>
        <v>PREFEITURA MUNICIPAL DE CAUCAIA - INSTITUTO DO MEIO AMBIENTE DO MUNICÍPIO</v>
      </c>
      <c r="D2304" s="78" t="s">
        <v>1754</v>
      </c>
      <c r="E2304" s="78" t="s">
        <v>1802</v>
      </c>
      <c r="F2304" s="78">
        <v>2.0</v>
      </c>
      <c r="G2304" s="98">
        <v>286.34</v>
      </c>
    </row>
    <row r="2305">
      <c r="A2305" s="6">
        <v>465.0</v>
      </c>
      <c r="B2305" s="76" t="str">
        <f>IFERROR(VLOOKUP($A2305,EVENTO!$A$2:$C$4999,2,FALSE),"")</f>
        <v>CADASTRO</v>
      </c>
      <c r="C2305" s="76" t="str">
        <f>IFERROR(VLOOKUP($A2305,EVENTO!$A$2:$C$4999,3,FALSE),"")</f>
        <v>PREFEITURA MUNICIPAL DE CAUCAIA - INSTITUTO DO MEIO AMBIENTE DO MUNICÍPIO</v>
      </c>
      <c r="D2305" s="78" t="s">
        <v>1756</v>
      </c>
      <c r="E2305" s="78" t="s">
        <v>1813</v>
      </c>
      <c r="F2305" s="78">
        <v>2.0</v>
      </c>
      <c r="G2305" s="98">
        <v>234.7</v>
      </c>
    </row>
    <row r="2306">
      <c r="A2306" s="6">
        <v>465.0</v>
      </c>
      <c r="B2306" s="76" t="str">
        <f>IFERROR(VLOOKUP($A2306,EVENTO!$A$2:$C$4999,2,FALSE),"")</f>
        <v>CADASTRO</v>
      </c>
      <c r="C2306" s="76" t="str">
        <f>IFERROR(VLOOKUP($A2306,EVENTO!$A$2:$C$4999,3,FALSE),"")</f>
        <v>PREFEITURA MUNICIPAL DE CAUCAIA - INSTITUTO DO MEIO AMBIENTE DO MUNICÍPIO</v>
      </c>
      <c r="D2306" s="78" t="s">
        <v>1758</v>
      </c>
      <c r="E2306" s="78" t="s">
        <v>1759</v>
      </c>
      <c r="F2306" s="78">
        <v>6.0</v>
      </c>
      <c r="G2306" s="98">
        <v>148.11</v>
      </c>
    </row>
    <row r="2307">
      <c r="A2307" s="6">
        <v>465.0</v>
      </c>
      <c r="B2307" s="76" t="str">
        <f>IFERROR(VLOOKUP($A2307,EVENTO!$A$2:$C$4999,2,FALSE),"")</f>
        <v>CADASTRO</v>
      </c>
      <c r="C2307" s="76" t="str">
        <f>IFERROR(VLOOKUP($A2307,EVENTO!$A$2:$C$4999,3,FALSE),"")</f>
        <v>PREFEITURA MUNICIPAL DE CAUCAIA - INSTITUTO DO MEIO AMBIENTE DO MUNICÍPIO</v>
      </c>
      <c r="D2307" s="78" t="s">
        <v>1764</v>
      </c>
      <c r="E2307" s="78" t="s">
        <v>1819</v>
      </c>
      <c r="F2307" s="78">
        <v>13.0</v>
      </c>
      <c r="G2307" s="98">
        <v>119.99</v>
      </c>
    </row>
    <row r="2308">
      <c r="A2308" s="6">
        <v>465.0</v>
      </c>
      <c r="B2308" s="76" t="str">
        <f>IFERROR(VLOOKUP($A2308,EVENTO!$A$2:$C$4999,2,FALSE),"")</f>
        <v>CADASTRO</v>
      </c>
      <c r="C2308" s="76" t="str">
        <f>IFERROR(VLOOKUP($A2308,EVENTO!$A$2:$C$4999,3,FALSE),"")</f>
        <v>PREFEITURA MUNICIPAL DE CAUCAIA - INSTITUTO DO MEIO AMBIENTE DO MUNICÍPIO</v>
      </c>
      <c r="D2308" s="78" t="s">
        <v>1791</v>
      </c>
      <c r="E2308" s="78" t="s">
        <v>1815</v>
      </c>
      <c r="F2308" s="78">
        <v>1.0</v>
      </c>
      <c r="G2308" s="98">
        <v>50.3</v>
      </c>
    </row>
    <row r="2309">
      <c r="A2309" s="6">
        <v>465.0</v>
      </c>
      <c r="B2309" s="76" t="str">
        <f>IFERROR(VLOOKUP($A2309,EVENTO!$A$2:$C$4999,2,FALSE),"")</f>
        <v>CADASTRO</v>
      </c>
      <c r="C2309" s="76" t="str">
        <f>IFERROR(VLOOKUP($A2309,EVENTO!$A$2:$C$4999,3,FALSE),"")</f>
        <v>PREFEITURA MUNICIPAL DE CAUCAIA - INSTITUTO DO MEIO AMBIENTE DO MUNICÍPIO</v>
      </c>
      <c r="D2309" s="78" t="s">
        <v>1774</v>
      </c>
      <c r="E2309" s="78" t="s">
        <v>1775</v>
      </c>
      <c r="F2309" s="78">
        <v>1.0</v>
      </c>
      <c r="G2309" s="98">
        <v>91.18</v>
      </c>
    </row>
    <row r="2310">
      <c r="A2310" s="6">
        <v>465.0</v>
      </c>
      <c r="B2310" s="76" t="str">
        <f>IFERROR(VLOOKUP($A2310,EVENTO!$A$2:$C$4999,2,FALSE),"")</f>
        <v>CADASTRO</v>
      </c>
      <c r="C2310" s="76" t="str">
        <f>IFERROR(VLOOKUP($A2310,EVENTO!$A$2:$C$4999,3,FALSE),"")</f>
        <v>PREFEITURA MUNICIPAL DE CAUCAIA - INSTITUTO DO MEIO AMBIENTE DO MUNICÍPIO</v>
      </c>
      <c r="D2310" s="78" t="s">
        <v>1780</v>
      </c>
      <c r="E2310" s="78" t="s">
        <v>1504</v>
      </c>
      <c r="F2310" s="78">
        <v>2.0</v>
      </c>
      <c r="G2310" s="98">
        <v>41.95</v>
      </c>
    </row>
    <row r="2311">
      <c r="A2311" s="6">
        <v>466.0</v>
      </c>
      <c r="B2311" s="76" t="str">
        <f>IFERROR(VLOOKUP($A2311,EVENTO!$A$2:$C$4999,2,FALSE),"")</f>
        <v>ADITIVO DE QUANTIDADE</v>
      </c>
      <c r="C2311" s="76" t="str">
        <f>IFERROR(VLOOKUP($A2311,EVENTO!$A$2:$C$4999,3,FALSE),"")</f>
        <v>PREFEITURA MUNICIPAL DE CAUCAIA - INSTITUTO DO MEIO AMBIENTE DO MUNICÍPIO</v>
      </c>
      <c r="D2311" s="78" t="s">
        <v>1744</v>
      </c>
      <c r="E2311" s="78" t="s">
        <v>1745</v>
      </c>
      <c r="F2311" s="78">
        <v>11.0</v>
      </c>
      <c r="G2311" s="98">
        <v>534.71</v>
      </c>
    </row>
    <row r="2312">
      <c r="A2312" s="6">
        <v>466.0</v>
      </c>
      <c r="B2312" s="76" t="str">
        <f>IFERROR(VLOOKUP($A2312,EVENTO!$A$2:$C$4999,2,FALSE),"")</f>
        <v>ADITIVO DE QUANTIDADE</v>
      </c>
      <c r="C2312" s="76" t="str">
        <f>IFERROR(VLOOKUP($A2312,EVENTO!$A$2:$C$4999,3,FALSE),"")</f>
        <v>PREFEITURA MUNICIPAL DE CAUCAIA - INSTITUTO DO MEIO AMBIENTE DO MUNICÍPIO</v>
      </c>
      <c r="D2312" s="78" t="s">
        <v>1746</v>
      </c>
      <c r="E2312" s="78" t="s">
        <v>1747</v>
      </c>
      <c r="F2312" s="78">
        <v>43.0</v>
      </c>
      <c r="G2312" s="98">
        <v>344.75</v>
      </c>
    </row>
    <row r="2313">
      <c r="A2313" s="6">
        <v>466.0</v>
      </c>
      <c r="B2313" s="76" t="str">
        <f>IFERROR(VLOOKUP($A2313,EVENTO!$A$2:$C$4999,2,FALSE),"")</f>
        <v>ADITIVO DE QUANTIDADE</v>
      </c>
      <c r="C2313" s="76" t="str">
        <f>IFERROR(VLOOKUP($A2313,EVENTO!$A$2:$C$4999,3,FALSE),"")</f>
        <v>PREFEITURA MUNICIPAL DE CAUCAIA - INSTITUTO DO MEIO AMBIENTE DO MUNICÍPIO</v>
      </c>
      <c r="D2313" s="78" t="s">
        <v>1748</v>
      </c>
      <c r="E2313" s="78" t="s">
        <v>1749</v>
      </c>
      <c r="F2313" s="78">
        <v>2.0</v>
      </c>
      <c r="G2313" s="98">
        <v>270.39</v>
      </c>
    </row>
    <row r="2314">
      <c r="A2314" s="6">
        <v>466.0</v>
      </c>
      <c r="B2314" s="76" t="str">
        <f>IFERROR(VLOOKUP($A2314,EVENTO!$A$2:$C$4999,2,FALSE),"")</f>
        <v>ADITIVO DE QUANTIDADE</v>
      </c>
      <c r="C2314" s="76" t="str">
        <f>IFERROR(VLOOKUP($A2314,EVENTO!$A$2:$C$4999,3,FALSE),"")</f>
        <v>PREFEITURA MUNICIPAL DE CAUCAIA - INSTITUTO DO MEIO AMBIENTE DO MUNICÍPIO</v>
      </c>
      <c r="D2314" s="78" t="s">
        <v>1750</v>
      </c>
      <c r="E2314" s="78" t="s">
        <v>1795</v>
      </c>
      <c r="F2314" s="78">
        <v>3.0</v>
      </c>
      <c r="G2314" s="98">
        <v>387.36</v>
      </c>
    </row>
    <row r="2315">
      <c r="A2315" s="6">
        <v>466.0</v>
      </c>
      <c r="B2315" s="76" t="str">
        <f>IFERROR(VLOOKUP($A2315,EVENTO!$A$2:$C$4999,2,FALSE),"")</f>
        <v>ADITIVO DE QUANTIDADE</v>
      </c>
      <c r="C2315" s="76" t="str">
        <f>IFERROR(VLOOKUP($A2315,EVENTO!$A$2:$C$4999,3,FALSE),"")</f>
        <v>PREFEITURA MUNICIPAL DE CAUCAIA - INSTITUTO DO MEIO AMBIENTE DO MUNICÍPIO</v>
      </c>
      <c r="D2315" s="78" t="s">
        <v>1752</v>
      </c>
      <c r="E2315" s="78" t="s">
        <v>1753</v>
      </c>
      <c r="F2315" s="78">
        <v>3.0</v>
      </c>
      <c r="G2315" s="98">
        <v>221.78</v>
      </c>
    </row>
    <row r="2316">
      <c r="A2316" s="6">
        <v>466.0</v>
      </c>
      <c r="B2316" s="76" t="str">
        <f>IFERROR(VLOOKUP($A2316,EVENTO!$A$2:$C$4999,2,FALSE),"")</f>
        <v>ADITIVO DE QUANTIDADE</v>
      </c>
      <c r="C2316" s="76" t="str">
        <f>IFERROR(VLOOKUP($A2316,EVENTO!$A$2:$C$4999,3,FALSE),"")</f>
        <v>PREFEITURA MUNICIPAL DE CAUCAIA - INSTITUTO DO MEIO AMBIENTE DO MUNICÍPIO</v>
      </c>
      <c r="D2316" s="78" t="s">
        <v>1782</v>
      </c>
      <c r="E2316" s="78" t="s">
        <v>1797</v>
      </c>
      <c r="F2316" s="78">
        <v>2.0</v>
      </c>
      <c r="G2316" s="98">
        <v>173.93</v>
      </c>
    </row>
    <row r="2317">
      <c r="A2317" s="6">
        <v>466.0</v>
      </c>
      <c r="B2317" s="76" t="str">
        <f>IFERROR(VLOOKUP($A2317,EVENTO!$A$2:$C$4999,2,FALSE),"")</f>
        <v>ADITIVO DE QUANTIDADE</v>
      </c>
      <c r="C2317" s="76" t="str">
        <f>IFERROR(VLOOKUP($A2317,EVENTO!$A$2:$C$4999,3,FALSE),"")</f>
        <v>PREFEITURA MUNICIPAL DE CAUCAIA - INSTITUTO DO MEIO AMBIENTE DO MUNICÍPIO</v>
      </c>
      <c r="D2317" s="78" t="s">
        <v>1754</v>
      </c>
      <c r="E2317" s="78" t="s">
        <v>1802</v>
      </c>
      <c r="F2317" s="78">
        <v>2.0</v>
      </c>
      <c r="G2317" s="98">
        <v>286.34</v>
      </c>
    </row>
    <row r="2318">
      <c r="A2318" s="6">
        <v>466.0</v>
      </c>
      <c r="B2318" s="76" t="str">
        <f>IFERROR(VLOOKUP($A2318,EVENTO!$A$2:$C$4999,2,FALSE),"")</f>
        <v>ADITIVO DE QUANTIDADE</v>
      </c>
      <c r="C2318" s="76" t="str">
        <f>IFERROR(VLOOKUP($A2318,EVENTO!$A$2:$C$4999,3,FALSE),"")</f>
        <v>PREFEITURA MUNICIPAL DE CAUCAIA - INSTITUTO DO MEIO AMBIENTE DO MUNICÍPIO</v>
      </c>
      <c r="D2318" s="78" t="s">
        <v>1756</v>
      </c>
      <c r="E2318" s="78" t="s">
        <v>1813</v>
      </c>
      <c r="F2318" s="78">
        <v>2.0</v>
      </c>
      <c r="G2318" s="98">
        <v>234.7</v>
      </c>
    </row>
    <row r="2319">
      <c r="A2319" s="6">
        <v>466.0</v>
      </c>
      <c r="B2319" s="76" t="str">
        <f>IFERROR(VLOOKUP($A2319,EVENTO!$A$2:$C$4999,2,FALSE),"")</f>
        <v>ADITIVO DE QUANTIDADE</v>
      </c>
      <c r="C2319" s="76" t="str">
        <f>IFERROR(VLOOKUP($A2319,EVENTO!$A$2:$C$4999,3,FALSE),"")</f>
        <v>PREFEITURA MUNICIPAL DE CAUCAIA - INSTITUTO DO MEIO AMBIENTE DO MUNICÍPIO</v>
      </c>
      <c r="D2319" s="78" t="s">
        <v>1758</v>
      </c>
      <c r="E2319" s="78" t="s">
        <v>1759</v>
      </c>
      <c r="F2319" s="78">
        <v>7.0</v>
      </c>
      <c r="G2319" s="98">
        <v>148.11</v>
      </c>
    </row>
    <row r="2320">
      <c r="A2320" s="6">
        <v>466.0</v>
      </c>
      <c r="B2320" s="76" t="str">
        <f>IFERROR(VLOOKUP($A2320,EVENTO!$A$2:$C$4999,2,FALSE),"")</f>
        <v>ADITIVO DE QUANTIDADE</v>
      </c>
      <c r="C2320" s="76" t="str">
        <f>IFERROR(VLOOKUP($A2320,EVENTO!$A$2:$C$4999,3,FALSE),"")</f>
        <v>PREFEITURA MUNICIPAL DE CAUCAIA - INSTITUTO DO MEIO AMBIENTE DO MUNICÍPIO</v>
      </c>
      <c r="D2320" s="78" t="s">
        <v>1764</v>
      </c>
      <c r="E2320" s="78" t="s">
        <v>1819</v>
      </c>
      <c r="F2320" s="78">
        <v>13.0</v>
      </c>
      <c r="G2320" s="98">
        <v>119.99</v>
      </c>
      <c r="H2320" s="103"/>
    </row>
    <row r="2321">
      <c r="A2321" s="6">
        <v>466.0</v>
      </c>
      <c r="B2321" s="76" t="str">
        <f>IFERROR(VLOOKUP($A2321,EVENTO!$A$2:$C$4999,2,FALSE),"")</f>
        <v>ADITIVO DE QUANTIDADE</v>
      </c>
      <c r="C2321" s="76" t="str">
        <f>IFERROR(VLOOKUP($A2321,EVENTO!$A$2:$C$4999,3,FALSE),"")</f>
        <v>PREFEITURA MUNICIPAL DE CAUCAIA - INSTITUTO DO MEIO AMBIENTE DO MUNICÍPIO</v>
      </c>
      <c r="D2321" s="78" t="s">
        <v>1791</v>
      </c>
      <c r="E2321" s="78" t="s">
        <v>1815</v>
      </c>
      <c r="F2321" s="78">
        <v>1.0</v>
      </c>
      <c r="G2321" s="98">
        <v>50.3</v>
      </c>
      <c r="H2321" s="103"/>
    </row>
    <row r="2322">
      <c r="A2322" s="6">
        <v>466.0</v>
      </c>
      <c r="B2322" s="76" t="str">
        <f>IFERROR(VLOOKUP($A2322,EVENTO!$A$2:$C$4999,2,FALSE),"")</f>
        <v>ADITIVO DE QUANTIDADE</v>
      </c>
      <c r="C2322" s="76" t="str">
        <f>IFERROR(VLOOKUP($A2322,EVENTO!$A$2:$C$4999,3,FALSE),"")</f>
        <v>PREFEITURA MUNICIPAL DE CAUCAIA - INSTITUTO DO MEIO AMBIENTE DO MUNICÍPIO</v>
      </c>
      <c r="D2322" s="78" t="s">
        <v>1774</v>
      </c>
      <c r="E2322" s="78" t="s">
        <v>1775</v>
      </c>
      <c r="F2322" s="78">
        <v>1.0</v>
      </c>
      <c r="G2322" s="98">
        <v>91.18</v>
      </c>
      <c r="H2322" s="103"/>
    </row>
    <row r="2323">
      <c r="A2323" s="6">
        <v>466.0</v>
      </c>
      <c r="B2323" s="76" t="str">
        <f>IFERROR(VLOOKUP($A2323,EVENTO!$A$2:$C$4999,2,FALSE),"")</f>
        <v>ADITIVO DE QUANTIDADE</v>
      </c>
      <c r="C2323" s="76" t="str">
        <f>IFERROR(VLOOKUP($A2323,EVENTO!$A$2:$C$4999,3,FALSE),"")</f>
        <v>PREFEITURA MUNICIPAL DE CAUCAIA - INSTITUTO DO MEIO AMBIENTE DO MUNICÍPIO</v>
      </c>
      <c r="D2323" s="78" t="s">
        <v>1780</v>
      </c>
      <c r="E2323" s="78" t="s">
        <v>1504</v>
      </c>
      <c r="F2323" s="78">
        <v>2.0</v>
      </c>
      <c r="G2323" s="98">
        <v>41.95</v>
      </c>
      <c r="H2323" s="103"/>
    </row>
    <row r="2324">
      <c r="A2324" s="6">
        <v>471.0</v>
      </c>
      <c r="B2324" s="76" t="str">
        <f>IFERROR(VLOOKUP($A2324,EVENTO!$A$2:$C$4999,2,FALSE),"")</f>
        <v>CADASTRO</v>
      </c>
      <c r="C2324" s="76" t="str">
        <f>IFERROR(VLOOKUP($A2324,EVENTO!$A$2:$C$4999,3,FALSE),"")</f>
        <v>PREFEITURA MUNICIPAL DE CAUCAIA - GABINETE DO VICE PREFEITO</v>
      </c>
      <c r="D2324" s="78" t="s">
        <v>1744</v>
      </c>
      <c r="E2324" s="78" t="s">
        <v>1745</v>
      </c>
      <c r="F2324" s="78">
        <v>2.0</v>
      </c>
      <c r="G2324" s="98">
        <v>534.71</v>
      </c>
      <c r="H2324" s="103"/>
    </row>
    <row r="2325">
      <c r="A2325" s="6">
        <v>471.0</v>
      </c>
      <c r="B2325" s="76" t="str">
        <f>IFERROR(VLOOKUP($A2325,EVENTO!$A$2:$C$4999,2,FALSE),"")</f>
        <v>CADASTRO</v>
      </c>
      <c r="C2325" s="76" t="str">
        <f>IFERROR(VLOOKUP($A2325,EVENTO!$A$2:$C$4999,3,FALSE),"")</f>
        <v>PREFEITURA MUNICIPAL DE CAUCAIA - GABINETE DO VICE PREFEITO</v>
      </c>
      <c r="D2325" s="78" t="s">
        <v>1746</v>
      </c>
      <c r="E2325" s="78" t="s">
        <v>1747</v>
      </c>
      <c r="F2325" s="78">
        <v>2.0</v>
      </c>
      <c r="G2325" s="98">
        <v>344.75</v>
      </c>
      <c r="H2325" s="103"/>
    </row>
    <row r="2326">
      <c r="A2326" s="6">
        <v>471.0</v>
      </c>
      <c r="B2326" s="76" t="str">
        <f>IFERROR(VLOOKUP($A2326,EVENTO!$A$2:$C$4999,2,FALSE),"")</f>
        <v>CADASTRO</v>
      </c>
      <c r="C2326" s="76" t="str">
        <f>IFERROR(VLOOKUP($A2326,EVENTO!$A$2:$C$4999,3,FALSE),"")</f>
        <v>PREFEITURA MUNICIPAL DE CAUCAIA - GABINETE DO VICE PREFEITO</v>
      </c>
      <c r="D2326" s="78" t="s">
        <v>1750</v>
      </c>
      <c r="E2326" s="78" t="s">
        <v>1795</v>
      </c>
      <c r="F2326" s="78">
        <v>4.0</v>
      </c>
      <c r="G2326" s="98">
        <v>387.36</v>
      </c>
      <c r="H2326" s="103"/>
    </row>
    <row r="2327">
      <c r="A2327" s="6">
        <v>471.0</v>
      </c>
      <c r="B2327" s="76" t="str">
        <f>IFERROR(VLOOKUP($A2327,EVENTO!$A$2:$C$4999,2,FALSE),"")</f>
        <v>CADASTRO</v>
      </c>
      <c r="C2327" s="76" t="str">
        <f>IFERROR(VLOOKUP($A2327,EVENTO!$A$2:$C$4999,3,FALSE),"")</f>
        <v>PREFEITURA MUNICIPAL DE CAUCAIA - GABINETE DO VICE PREFEITO</v>
      </c>
      <c r="D2327" s="78" t="s">
        <v>1752</v>
      </c>
      <c r="E2327" s="78" t="s">
        <v>1753</v>
      </c>
      <c r="F2327" s="78">
        <v>2.0</v>
      </c>
      <c r="G2327" s="98">
        <v>221.78</v>
      </c>
      <c r="H2327" s="103"/>
    </row>
    <row r="2328">
      <c r="A2328" s="6">
        <v>471.0</v>
      </c>
      <c r="B2328" s="76" t="str">
        <f>IFERROR(VLOOKUP($A2328,EVENTO!$A$2:$C$4999,2,FALSE),"")</f>
        <v>CADASTRO</v>
      </c>
      <c r="C2328" s="76" t="str">
        <f>IFERROR(VLOOKUP($A2328,EVENTO!$A$2:$C$4999,3,FALSE),"")</f>
        <v>PREFEITURA MUNICIPAL DE CAUCAIA - GABINETE DO VICE PREFEITO</v>
      </c>
      <c r="D2328" s="78" t="s">
        <v>1782</v>
      </c>
      <c r="E2328" s="78" t="s">
        <v>1797</v>
      </c>
      <c r="F2328" s="78">
        <v>2.0</v>
      </c>
      <c r="G2328" s="98">
        <v>173.93</v>
      </c>
      <c r="H2328" s="103"/>
    </row>
    <row r="2329">
      <c r="A2329" s="6">
        <v>471.0</v>
      </c>
      <c r="B2329" s="76" t="str">
        <f>IFERROR(VLOOKUP($A2329,EVENTO!$A$2:$C$4999,2,FALSE),"")</f>
        <v>CADASTRO</v>
      </c>
      <c r="C2329" s="76" t="str">
        <f>IFERROR(VLOOKUP($A2329,EVENTO!$A$2:$C$4999,3,FALSE),"")</f>
        <v>PREFEITURA MUNICIPAL DE CAUCAIA - GABINETE DO VICE PREFEITO</v>
      </c>
      <c r="D2329" s="78" t="s">
        <v>1754</v>
      </c>
      <c r="E2329" s="78" t="s">
        <v>1802</v>
      </c>
      <c r="F2329" s="78">
        <v>2.0</v>
      </c>
      <c r="G2329" s="98">
        <v>286.34</v>
      </c>
      <c r="H2329" s="103"/>
    </row>
    <row r="2330">
      <c r="A2330" s="6">
        <v>471.0</v>
      </c>
      <c r="B2330" s="76" t="str">
        <f>IFERROR(VLOOKUP($A2330,EVENTO!$A$2:$C$4999,2,FALSE),"")</f>
        <v>CADASTRO</v>
      </c>
      <c r="C2330" s="76" t="str">
        <f>IFERROR(VLOOKUP($A2330,EVENTO!$A$2:$C$4999,3,FALSE),"")</f>
        <v>PREFEITURA MUNICIPAL DE CAUCAIA - GABINETE DO VICE PREFEITO</v>
      </c>
      <c r="D2330" s="78" t="s">
        <v>1758</v>
      </c>
      <c r="E2330" s="78" t="s">
        <v>1759</v>
      </c>
      <c r="F2330" s="78">
        <v>2.0</v>
      </c>
      <c r="G2330" s="98">
        <v>148.11</v>
      </c>
      <c r="H2330" s="103"/>
    </row>
    <row r="2331">
      <c r="A2331" s="6">
        <v>471.0</v>
      </c>
      <c r="B2331" s="76" t="str">
        <f>IFERROR(VLOOKUP($A2331,EVENTO!$A$2:$C$4999,2,FALSE),"")</f>
        <v>CADASTRO</v>
      </c>
      <c r="C2331" s="76" t="str">
        <f>IFERROR(VLOOKUP($A2331,EVENTO!$A$2:$C$4999,3,FALSE),"")</f>
        <v>PREFEITURA MUNICIPAL DE CAUCAIA - GABINETE DO VICE PREFEITO</v>
      </c>
      <c r="D2331" s="78" t="s">
        <v>1820</v>
      </c>
      <c r="E2331" s="78" t="s">
        <v>1815</v>
      </c>
      <c r="F2331" s="78">
        <v>1.0</v>
      </c>
      <c r="G2331" s="98">
        <v>50.3</v>
      </c>
      <c r="H2331" s="103"/>
    </row>
    <row r="2332">
      <c r="A2332" s="6">
        <v>471.0</v>
      </c>
      <c r="B2332" s="76" t="str">
        <f>IFERROR(VLOOKUP($A2332,EVENTO!$A$2:$C$4999,2,FALSE),"")</f>
        <v>CADASTRO</v>
      </c>
      <c r="C2332" s="76" t="str">
        <f>IFERROR(VLOOKUP($A2332,EVENTO!$A$2:$C$4999,3,FALSE),"")</f>
        <v>PREFEITURA MUNICIPAL DE CAUCAIA - GABINETE DO VICE PREFEITO</v>
      </c>
      <c r="D2332" s="78" t="s">
        <v>1772</v>
      </c>
      <c r="E2332" s="78" t="s">
        <v>1812</v>
      </c>
      <c r="F2332" s="78">
        <v>1.0</v>
      </c>
      <c r="G2332" s="98">
        <v>36.65</v>
      </c>
      <c r="H2332" s="103"/>
    </row>
    <row r="2333">
      <c r="A2333" s="6">
        <v>471.0</v>
      </c>
      <c r="B2333" s="76" t="str">
        <f>IFERROR(VLOOKUP($A2333,EVENTO!$A$2:$C$4999,2,FALSE),"")</f>
        <v>CADASTRO</v>
      </c>
      <c r="C2333" s="76" t="str">
        <f>IFERROR(VLOOKUP($A2333,EVENTO!$A$2:$C$4999,3,FALSE),"")</f>
        <v>PREFEITURA MUNICIPAL DE CAUCAIA - GABINETE DO VICE PREFEITO</v>
      </c>
      <c r="D2333" s="78" t="s">
        <v>1774</v>
      </c>
      <c r="E2333" s="78" t="s">
        <v>1816</v>
      </c>
      <c r="F2333" s="78">
        <v>1.0</v>
      </c>
      <c r="G2333" s="98">
        <v>91.18</v>
      </c>
      <c r="H2333" s="103"/>
    </row>
    <row r="2334">
      <c r="A2334" s="6">
        <v>471.0</v>
      </c>
      <c r="B2334" s="76" t="str">
        <f>IFERROR(VLOOKUP($A2334,EVENTO!$A$2:$C$4999,2,FALSE),"")</f>
        <v>CADASTRO</v>
      </c>
      <c r="C2334" s="76" t="str">
        <f>IFERROR(VLOOKUP($A2334,EVENTO!$A$2:$C$4999,3,FALSE),"")</f>
        <v>PREFEITURA MUNICIPAL DE CAUCAIA - GABINETE DO VICE PREFEITO</v>
      </c>
      <c r="D2334" s="78" t="s">
        <v>1776</v>
      </c>
      <c r="E2334" s="78" t="s">
        <v>1777</v>
      </c>
      <c r="F2334" s="78">
        <v>1.0</v>
      </c>
      <c r="G2334" s="98">
        <v>29.23</v>
      </c>
      <c r="H2334" s="103"/>
    </row>
    <row r="2335">
      <c r="A2335" s="6">
        <v>471.0</v>
      </c>
      <c r="B2335" s="76" t="str">
        <f>IFERROR(VLOOKUP($A2335,EVENTO!$A$2:$C$4999,2,FALSE),"")</f>
        <v>CADASTRO</v>
      </c>
      <c r="C2335" s="76" t="str">
        <f>IFERROR(VLOOKUP($A2335,EVENTO!$A$2:$C$4999,3,FALSE),"")</f>
        <v>PREFEITURA MUNICIPAL DE CAUCAIA - GABINETE DO VICE PREFEITO</v>
      </c>
      <c r="D2335" s="78" t="s">
        <v>1780</v>
      </c>
      <c r="E2335" s="78" t="s">
        <v>1504</v>
      </c>
      <c r="F2335" s="78">
        <v>2.0</v>
      </c>
      <c r="G2335" s="98">
        <v>41.95</v>
      </c>
      <c r="H2335" s="103"/>
    </row>
    <row r="2336">
      <c r="A2336" s="6">
        <v>476.0</v>
      </c>
      <c r="B2336" s="76" t="str">
        <f>IFERROR(VLOOKUP($A2336,EVENTO!$A$2:$C$4999,2,FALSE),"")</f>
        <v>CADASTRO</v>
      </c>
      <c r="C2336" s="76" t="str">
        <f>IFERROR(VLOOKUP($A2336,EVENTO!$A$2:$C$4999,3,FALSE),"")</f>
        <v>PREFEITURA MUNICIPAL DE CAUCAIA - GABINETE DO PREFEITO</v>
      </c>
      <c r="D2336" s="78" t="s">
        <v>1744</v>
      </c>
      <c r="E2336" s="78" t="s">
        <v>1745</v>
      </c>
      <c r="F2336" s="59">
        <v>12.0</v>
      </c>
      <c r="G2336" s="98">
        <v>534.71</v>
      </c>
      <c r="H2336" s="103"/>
    </row>
    <row r="2337">
      <c r="A2337" s="6">
        <v>476.0</v>
      </c>
      <c r="B2337" s="76" t="str">
        <f>IFERROR(VLOOKUP($A2337,EVENTO!$A$2:$C$4999,2,FALSE),"")</f>
        <v>CADASTRO</v>
      </c>
      <c r="C2337" s="76" t="str">
        <f>IFERROR(VLOOKUP($A2337,EVENTO!$A$2:$C$4999,3,FALSE),"")</f>
        <v>PREFEITURA MUNICIPAL DE CAUCAIA - GABINETE DO PREFEITO</v>
      </c>
      <c r="D2337" s="78" t="s">
        <v>1746</v>
      </c>
      <c r="E2337" s="78" t="s">
        <v>1747</v>
      </c>
      <c r="F2337" s="59">
        <v>6.0</v>
      </c>
      <c r="G2337" s="98">
        <v>344.75</v>
      </c>
      <c r="H2337" s="103"/>
    </row>
    <row r="2338">
      <c r="A2338" s="6">
        <v>476.0</v>
      </c>
      <c r="B2338" s="76" t="str">
        <f>IFERROR(VLOOKUP($A2338,EVENTO!$A$2:$C$4999,2,FALSE),"")</f>
        <v>CADASTRO</v>
      </c>
      <c r="C2338" s="76" t="str">
        <f>IFERROR(VLOOKUP($A2338,EVENTO!$A$2:$C$4999,3,FALSE),"")</f>
        <v>PREFEITURA MUNICIPAL DE CAUCAIA - GABINETE DO PREFEITO</v>
      </c>
      <c r="D2338" s="78" t="s">
        <v>1748</v>
      </c>
      <c r="E2338" s="78" t="s">
        <v>1749</v>
      </c>
      <c r="F2338" s="59">
        <v>2.0</v>
      </c>
      <c r="G2338" s="98">
        <v>270.39</v>
      </c>
      <c r="H2338" s="103"/>
    </row>
    <row r="2339">
      <c r="A2339" s="6">
        <v>476.0</v>
      </c>
      <c r="B2339" s="76" t="str">
        <f>IFERROR(VLOOKUP($A2339,EVENTO!$A$2:$C$4999,2,FALSE),"")</f>
        <v>CADASTRO</v>
      </c>
      <c r="C2339" s="76" t="str">
        <f>IFERROR(VLOOKUP($A2339,EVENTO!$A$2:$C$4999,3,FALSE),"")</f>
        <v>PREFEITURA MUNICIPAL DE CAUCAIA - GABINETE DO PREFEITO</v>
      </c>
      <c r="D2339" s="78" t="s">
        <v>1752</v>
      </c>
      <c r="E2339" s="78" t="s">
        <v>1753</v>
      </c>
      <c r="F2339" s="59">
        <v>5.0</v>
      </c>
      <c r="G2339" s="98">
        <v>221.78</v>
      </c>
      <c r="H2339" s="103"/>
    </row>
    <row r="2340">
      <c r="A2340" s="6">
        <v>476.0</v>
      </c>
      <c r="B2340" s="76" t="str">
        <f>IFERROR(VLOOKUP($A2340,EVENTO!$A$2:$C$4999,2,FALSE),"")</f>
        <v>CADASTRO</v>
      </c>
      <c r="C2340" s="76" t="str">
        <f>IFERROR(VLOOKUP($A2340,EVENTO!$A$2:$C$4999,3,FALSE),"")</f>
        <v>PREFEITURA MUNICIPAL DE CAUCAIA - GABINETE DO PREFEITO</v>
      </c>
      <c r="D2340" s="78" t="s">
        <v>1754</v>
      </c>
      <c r="E2340" s="78" t="s">
        <v>1802</v>
      </c>
      <c r="F2340" s="59">
        <v>8.0</v>
      </c>
      <c r="G2340" s="98">
        <v>286.34</v>
      </c>
      <c r="H2340" s="103"/>
    </row>
    <row r="2341">
      <c r="A2341" s="6">
        <v>476.0</v>
      </c>
      <c r="B2341" s="76" t="str">
        <f>IFERROR(VLOOKUP($A2341,EVENTO!$A$2:$C$4999,2,FALSE),"")</f>
        <v>CADASTRO</v>
      </c>
      <c r="C2341" s="76" t="str">
        <f>IFERROR(VLOOKUP($A2341,EVENTO!$A$2:$C$4999,3,FALSE),"")</f>
        <v>PREFEITURA MUNICIPAL DE CAUCAIA - GABINETE DO PREFEITO</v>
      </c>
      <c r="D2341" s="78" t="s">
        <v>1758</v>
      </c>
      <c r="E2341" s="78" t="s">
        <v>1759</v>
      </c>
      <c r="F2341" s="59">
        <v>4.0</v>
      </c>
      <c r="G2341" s="98">
        <v>148.11</v>
      </c>
      <c r="H2341" s="103"/>
    </row>
    <row r="2342">
      <c r="A2342" s="6">
        <v>476.0</v>
      </c>
      <c r="B2342" s="76" t="str">
        <f>IFERROR(VLOOKUP($A2342,EVENTO!$A$2:$C$4999,2,FALSE),"")</f>
        <v>CADASTRO</v>
      </c>
      <c r="C2342" s="76" t="str">
        <f>IFERROR(VLOOKUP($A2342,EVENTO!$A$2:$C$4999,3,FALSE),"")</f>
        <v>PREFEITURA MUNICIPAL DE CAUCAIA - GABINETE DO PREFEITO</v>
      </c>
      <c r="D2342" s="78" t="s">
        <v>1768</v>
      </c>
      <c r="E2342" s="78" t="s">
        <v>1769</v>
      </c>
      <c r="F2342" s="59">
        <v>1.0</v>
      </c>
      <c r="G2342" s="98">
        <v>283.89</v>
      </c>
      <c r="H2342" s="103"/>
    </row>
    <row r="2343">
      <c r="A2343" s="6">
        <v>476.0</v>
      </c>
      <c r="B2343" s="76" t="str">
        <f>IFERROR(VLOOKUP($A2343,EVENTO!$A$2:$C$4999,2,FALSE),"")</f>
        <v>CADASTRO</v>
      </c>
      <c r="C2343" s="76" t="str">
        <f>IFERROR(VLOOKUP($A2343,EVENTO!$A$2:$C$4999,3,FALSE),"")</f>
        <v>PREFEITURA MUNICIPAL DE CAUCAIA - GABINETE DO PREFEITO</v>
      </c>
      <c r="D2343" s="78" t="s">
        <v>1791</v>
      </c>
      <c r="E2343" s="78" t="s">
        <v>1815</v>
      </c>
      <c r="F2343" s="59">
        <v>1.0</v>
      </c>
      <c r="G2343" s="98">
        <v>50.3</v>
      </c>
    </row>
    <row r="2344">
      <c r="A2344" s="6">
        <v>476.0</v>
      </c>
      <c r="B2344" s="76" t="str">
        <f>IFERROR(VLOOKUP($A2344,EVENTO!$A$2:$C$4999,2,FALSE),"")</f>
        <v>CADASTRO</v>
      </c>
      <c r="C2344" s="76" t="str">
        <f>IFERROR(VLOOKUP($A2344,EVENTO!$A$2:$C$4999,3,FALSE),"")</f>
        <v>PREFEITURA MUNICIPAL DE CAUCAIA - GABINETE DO PREFEITO</v>
      </c>
      <c r="D2344" s="78" t="s">
        <v>1776</v>
      </c>
      <c r="E2344" s="78" t="s">
        <v>1777</v>
      </c>
      <c r="F2344" s="59">
        <v>1.0</v>
      </c>
      <c r="G2344" s="98">
        <v>29.23</v>
      </c>
    </row>
    <row r="2345">
      <c r="A2345" s="6">
        <v>476.0</v>
      </c>
      <c r="B2345" s="76" t="str">
        <f>IFERROR(VLOOKUP($A2345,EVENTO!$A$2:$C$4999,2,FALSE),"")</f>
        <v>CADASTRO</v>
      </c>
      <c r="C2345" s="76" t="str">
        <f>IFERROR(VLOOKUP($A2345,EVENTO!$A$2:$C$4999,3,FALSE),"")</f>
        <v>PREFEITURA MUNICIPAL DE CAUCAIA - GABINETE DO PREFEITO</v>
      </c>
      <c r="D2345" s="78" t="s">
        <v>1778</v>
      </c>
      <c r="E2345" s="78" t="s">
        <v>1817</v>
      </c>
      <c r="F2345" s="59">
        <v>1.0</v>
      </c>
      <c r="G2345" s="98">
        <v>63.8</v>
      </c>
    </row>
    <row r="2346">
      <c r="A2346" s="6">
        <v>476.0</v>
      </c>
      <c r="B2346" s="76" t="str">
        <f>IFERROR(VLOOKUP($A2346,EVENTO!$A$2:$C$4999,2,FALSE),"")</f>
        <v>CADASTRO</v>
      </c>
      <c r="C2346" s="76" t="str">
        <f>IFERROR(VLOOKUP($A2346,EVENTO!$A$2:$C$4999,3,FALSE),"")</f>
        <v>PREFEITURA MUNICIPAL DE CAUCAIA - GABINETE DO PREFEITO</v>
      </c>
      <c r="D2346" s="78" t="s">
        <v>1780</v>
      </c>
      <c r="E2346" s="78" t="s">
        <v>1504</v>
      </c>
      <c r="F2346" s="59">
        <v>4.0</v>
      </c>
      <c r="G2346" s="98">
        <v>41.95</v>
      </c>
    </row>
    <row r="2347">
      <c r="A2347" s="6">
        <v>481.0</v>
      </c>
      <c r="B2347" s="76" t="str">
        <f>IFERROR(VLOOKUP($A2347,EVENTO!$A$2:$C$4999,2,FALSE),"")</f>
        <v>CADASTRO</v>
      </c>
      <c r="C2347" s="76" t="str">
        <f>IFERROR(VLOOKUP($A2347,EVENTO!$A$2:$C$4999,3,FALSE),"")</f>
        <v>PREFEITURA MUNICIPAL DE CAUCAIA - SECRETARIA MUNICIPAL DE FINANÇAS, PLANEJAMENTO E ORÇAMENTO</v>
      </c>
      <c r="D2347" s="78" t="s">
        <v>1744</v>
      </c>
      <c r="E2347" s="78" t="s">
        <v>1745</v>
      </c>
      <c r="F2347" s="78">
        <v>7.0</v>
      </c>
      <c r="G2347" s="98">
        <v>534.71</v>
      </c>
    </row>
    <row r="2348">
      <c r="A2348" s="6">
        <v>481.0</v>
      </c>
      <c r="B2348" s="76" t="str">
        <f>IFERROR(VLOOKUP($A2348,EVENTO!$A$2:$C$4999,2,FALSE),"")</f>
        <v>CADASTRO</v>
      </c>
      <c r="C2348" s="76" t="str">
        <f>IFERROR(VLOOKUP($A2348,EVENTO!$A$2:$C$4999,3,FALSE),"")</f>
        <v>PREFEITURA MUNICIPAL DE CAUCAIA - SECRETARIA MUNICIPAL DE FINANÇAS, PLANEJAMENTO E ORÇAMENTO</v>
      </c>
      <c r="D2348" s="78" t="s">
        <v>1746</v>
      </c>
      <c r="E2348" s="78" t="s">
        <v>1747</v>
      </c>
      <c r="F2348" s="78">
        <v>21.0</v>
      </c>
      <c r="G2348" s="98">
        <v>344.75</v>
      </c>
    </row>
    <row r="2349">
      <c r="A2349" s="6">
        <v>481.0</v>
      </c>
      <c r="B2349" s="76" t="str">
        <f>IFERROR(VLOOKUP($A2349,EVENTO!$A$2:$C$4999,2,FALSE),"")</f>
        <v>CADASTRO</v>
      </c>
      <c r="C2349" s="76" t="str">
        <f>IFERROR(VLOOKUP($A2349,EVENTO!$A$2:$C$4999,3,FALSE),"")</f>
        <v>PREFEITURA MUNICIPAL DE CAUCAIA - SECRETARIA MUNICIPAL DE FINANÇAS, PLANEJAMENTO E ORÇAMENTO</v>
      </c>
      <c r="D2349" s="78" t="s">
        <v>1748</v>
      </c>
      <c r="E2349" s="78" t="s">
        <v>1749</v>
      </c>
      <c r="F2349" s="78">
        <v>22.0</v>
      </c>
      <c r="G2349" s="98">
        <v>270.39</v>
      </c>
    </row>
    <row r="2350">
      <c r="A2350" s="6">
        <v>481.0</v>
      </c>
      <c r="B2350" s="76" t="str">
        <f>IFERROR(VLOOKUP($A2350,EVENTO!$A$2:$C$4999,2,FALSE),"")</f>
        <v>CADASTRO</v>
      </c>
      <c r="C2350" s="76" t="str">
        <f>IFERROR(VLOOKUP($A2350,EVENTO!$A$2:$C$4999,3,FALSE),"")</f>
        <v>PREFEITURA MUNICIPAL DE CAUCAIA - SECRETARIA MUNICIPAL DE FINANÇAS, PLANEJAMENTO E ORÇAMENTO</v>
      </c>
      <c r="D2350" s="78" t="s">
        <v>1750</v>
      </c>
      <c r="E2350" s="78" t="s">
        <v>1795</v>
      </c>
      <c r="F2350" s="78">
        <v>29.0</v>
      </c>
      <c r="G2350" s="98">
        <v>387.36</v>
      </c>
    </row>
    <row r="2351">
      <c r="A2351" s="6">
        <v>481.0</v>
      </c>
      <c r="B2351" s="76" t="str">
        <f>IFERROR(VLOOKUP($A2351,EVENTO!$A$2:$C$4999,2,FALSE),"")</f>
        <v>CADASTRO</v>
      </c>
      <c r="C2351" s="76" t="str">
        <f>IFERROR(VLOOKUP($A2351,EVENTO!$A$2:$C$4999,3,FALSE),"")</f>
        <v>PREFEITURA MUNICIPAL DE CAUCAIA - SECRETARIA MUNICIPAL DE FINANÇAS, PLANEJAMENTO E ORÇAMENTO</v>
      </c>
      <c r="D2351" s="78" t="s">
        <v>1752</v>
      </c>
      <c r="E2351" s="78" t="s">
        <v>1753</v>
      </c>
      <c r="F2351" s="78">
        <v>104.0</v>
      </c>
      <c r="G2351" s="98">
        <v>221.78</v>
      </c>
    </row>
    <row r="2352">
      <c r="A2352" s="6">
        <v>481.0</v>
      </c>
      <c r="B2352" s="76" t="str">
        <f>IFERROR(VLOOKUP($A2352,EVENTO!$A$2:$C$4999,2,FALSE),"")</f>
        <v>CADASTRO</v>
      </c>
      <c r="C2352" s="76" t="str">
        <f>IFERROR(VLOOKUP($A2352,EVENTO!$A$2:$C$4999,3,FALSE),"")</f>
        <v>PREFEITURA MUNICIPAL DE CAUCAIA - SECRETARIA MUNICIPAL DE FINANÇAS, PLANEJAMENTO E ORÇAMENTO</v>
      </c>
      <c r="D2352" s="78" t="s">
        <v>1782</v>
      </c>
      <c r="E2352" s="78" t="s">
        <v>1797</v>
      </c>
      <c r="F2352" s="78">
        <v>32.0</v>
      </c>
      <c r="G2352" s="98">
        <v>173.93</v>
      </c>
    </row>
    <row r="2353">
      <c r="A2353" s="6">
        <v>481.0</v>
      </c>
      <c r="B2353" s="76" t="str">
        <f>IFERROR(VLOOKUP($A2353,EVENTO!$A$2:$C$4999,2,FALSE),"")</f>
        <v>CADASTRO</v>
      </c>
      <c r="C2353" s="76" t="str">
        <f>IFERROR(VLOOKUP($A2353,EVENTO!$A$2:$C$4999,3,FALSE),"")</f>
        <v>PREFEITURA MUNICIPAL DE CAUCAIA - SECRETARIA MUNICIPAL DE FINANÇAS, PLANEJAMENTO E ORÇAMENTO</v>
      </c>
      <c r="D2353" s="78" t="s">
        <v>1821</v>
      </c>
      <c r="E2353" s="78" t="s">
        <v>1822</v>
      </c>
      <c r="F2353" s="78">
        <v>2.0</v>
      </c>
      <c r="G2353" s="98">
        <v>470.91</v>
      </c>
    </row>
    <row r="2354">
      <c r="A2354" s="6">
        <v>481.0</v>
      </c>
      <c r="B2354" s="76" t="str">
        <f>IFERROR(VLOOKUP($A2354,EVENTO!$A$2:$C$4999,2,FALSE),"")</f>
        <v>CADASTRO</v>
      </c>
      <c r="C2354" s="76" t="str">
        <f>IFERROR(VLOOKUP($A2354,EVENTO!$A$2:$C$4999,3,FALSE),"")</f>
        <v>PREFEITURA MUNICIPAL DE CAUCAIA - SECRETARIA MUNICIPAL DE FINANÇAS, PLANEJAMENTO E ORÇAMENTO</v>
      </c>
      <c r="D2354" s="78" t="s">
        <v>1754</v>
      </c>
      <c r="E2354" s="78" t="s">
        <v>1823</v>
      </c>
      <c r="F2354" s="78">
        <v>17.0</v>
      </c>
      <c r="G2354" s="98">
        <v>286.34</v>
      </c>
    </row>
    <row r="2355">
      <c r="A2355" s="6">
        <v>481.0</v>
      </c>
      <c r="B2355" s="76" t="str">
        <f>IFERROR(VLOOKUP($A2355,EVENTO!$A$2:$C$4999,2,FALSE),"")</f>
        <v>CADASTRO</v>
      </c>
      <c r="C2355" s="76" t="str">
        <f>IFERROR(VLOOKUP($A2355,EVENTO!$A$2:$C$4999,3,FALSE),"")</f>
        <v>PREFEITURA MUNICIPAL DE CAUCAIA - SECRETARIA MUNICIPAL DE FINANÇAS, PLANEJAMENTO E ORÇAMENTO</v>
      </c>
      <c r="D2355" s="78" t="s">
        <v>1756</v>
      </c>
      <c r="E2355" s="78" t="s">
        <v>1824</v>
      </c>
      <c r="F2355" s="78">
        <v>12.0</v>
      </c>
      <c r="G2355" s="98">
        <v>234.7</v>
      </c>
    </row>
    <row r="2356">
      <c r="A2356" s="6">
        <v>481.0</v>
      </c>
      <c r="B2356" s="76" t="str">
        <f>IFERROR(VLOOKUP($A2356,EVENTO!$A$2:$C$4999,2,FALSE),"")</f>
        <v>CADASTRO</v>
      </c>
      <c r="C2356" s="76" t="str">
        <f>IFERROR(VLOOKUP($A2356,EVENTO!$A$2:$C$4999,3,FALSE),"")</f>
        <v>PREFEITURA MUNICIPAL DE CAUCAIA - SECRETARIA MUNICIPAL DE FINANÇAS, PLANEJAMENTO E ORÇAMENTO</v>
      </c>
      <c r="D2356" s="78" t="s">
        <v>1758</v>
      </c>
      <c r="E2356" s="78" t="s">
        <v>1759</v>
      </c>
      <c r="F2356" s="78">
        <v>10.0</v>
      </c>
      <c r="G2356" s="98">
        <v>148.11</v>
      </c>
    </row>
    <row r="2357">
      <c r="A2357" s="6">
        <v>481.0</v>
      </c>
      <c r="B2357" s="76" t="str">
        <f>IFERROR(VLOOKUP($A2357,EVENTO!$A$2:$C$4999,2,FALSE),"")</f>
        <v>CADASTRO</v>
      </c>
      <c r="C2357" s="76" t="str">
        <f>IFERROR(VLOOKUP($A2357,EVENTO!$A$2:$C$4999,3,FALSE),"")</f>
        <v>PREFEITURA MUNICIPAL DE CAUCAIA - SECRETARIA MUNICIPAL DE FINANÇAS, PLANEJAMENTO E ORÇAMENTO</v>
      </c>
      <c r="D2357" s="78" t="s">
        <v>1762</v>
      </c>
      <c r="E2357" s="78" t="s">
        <v>1763</v>
      </c>
      <c r="F2357" s="78">
        <v>1.0</v>
      </c>
      <c r="G2357" s="98">
        <v>1363.36</v>
      </c>
    </row>
    <row r="2358">
      <c r="A2358" s="6">
        <v>481.0</v>
      </c>
      <c r="B2358" s="76" t="str">
        <f>IFERROR(VLOOKUP($A2358,EVENTO!$A$2:$C$4999,2,FALSE),"")</f>
        <v>CADASTRO</v>
      </c>
      <c r="C2358" s="76" t="str">
        <f>IFERROR(VLOOKUP($A2358,EVENTO!$A$2:$C$4999,3,FALSE),"")</f>
        <v>PREFEITURA MUNICIPAL DE CAUCAIA - SECRETARIA MUNICIPAL DE FINANÇAS, PLANEJAMENTO E ORÇAMENTO</v>
      </c>
      <c r="D2358" s="78" t="s">
        <v>1805</v>
      </c>
      <c r="E2358" s="78" t="s">
        <v>1825</v>
      </c>
      <c r="F2358" s="78">
        <v>1.0</v>
      </c>
      <c r="G2358" s="98">
        <v>358.33</v>
      </c>
    </row>
    <row r="2359">
      <c r="A2359" s="6">
        <v>481.0</v>
      </c>
      <c r="B2359" s="76" t="str">
        <f>IFERROR(VLOOKUP($A2359,EVENTO!$A$2:$C$4999,2,FALSE),"")</f>
        <v>CADASTRO</v>
      </c>
      <c r="C2359" s="76" t="str">
        <f>IFERROR(VLOOKUP($A2359,EVENTO!$A$2:$C$4999,3,FALSE),"")</f>
        <v>PREFEITURA MUNICIPAL DE CAUCAIA - SECRETARIA MUNICIPAL DE FINANÇAS, PLANEJAMENTO E ORÇAMENTO</v>
      </c>
      <c r="D2359" s="78" t="s">
        <v>1807</v>
      </c>
      <c r="E2359" s="78" t="s">
        <v>1826</v>
      </c>
      <c r="F2359" s="78">
        <v>2.0</v>
      </c>
      <c r="G2359" s="98">
        <v>201.73</v>
      </c>
    </row>
    <row r="2360">
      <c r="A2360" s="6">
        <v>481.0</v>
      </c>
      <c r="B2360" s="76" t="str">
        <f>IFERROR(VLOOKUP($A2360,EVENTO!$A$2:$C$4999,2,FALSE),"")</f>
        <v>CADASTRO</v>
      </c>
      <c r="C2360" s="76" t="str">
        <f>IFERROR(VLOOKUP($A2360,EVENTO!$A$2:$C$4999,3,FALSE),"")</f>
        <v>PREFEITURA MUNICIPAL DE CAUCAIA - SECRETARIA MUNICIPAL DE FINANÇAS, PLANEJAMENTO E ORÇAMENTO</v>
      </c>
      <c r="D2360" s="78" t="s">
        <v>1827</v>
      </c>
      <c r="E2360" s="78" t="s">
        <v>1828</v>
      </c>
      <c r="F2360" s="78">
        <v>2.0</v>
      </c>
      <c r="G2360" s="98">
        <v>1325.36</v>
      </c>
    </row>
    <row r="2361">
      <c r="A2361" s="6">
        <v>481.0</v>
      </c>
      <c r="B2361" s="76" t="str">
        <f>IFERROR(VLOOKUP($A2361,EVENTO!$A$2:$C$4999,2,FALSE),"")</f>
        <v>CADASTRO</v>
      </c>
      <c r="C2361" s="76" t="str">
        <f>IFERROR(VLOOKUP($A2361,EVENTO!$A$2:$C$4999,3,FALSE),"")</f>
        <v>PREFEITURA MUNICIPAL DE CAUCAIA - SECRETARIA MUNICIPAL DE FINANÇAS, PLANEJAMENTO E ORÇAMENTO</v>
      </c>
      <c r="D2361" s="78" t="s">
        <v>1766</v>
      </c>
      <c r="E2361" s="78" t="s">
        <v>1767</v>
      </c>
      <c r="F2361" s="78">
        <v>1.0</v>
      </c>
      <c r="G2361" s="98">
        <v>181.17</v>
      </c>
    </row>
    <row r="2362">
      <c r="A2362" s="6">
        <v>481.0</v>
      </c>
      <c r="B2362" s="76" t="str">
        <f>IFERROR(VLOOKUP($A2362,EVENTO!$A$2:$C$4999,2,FALSE),"")</f>
        <v>CADASTRO</v>
      </c>
      <c r="C2362" s="76" t="str">
        <f>IFERROR(VLOOKUP($A2362,EVENTO!$A$2:$C$4999,3,FALSE),"")</f>
        <v>PREFEITURA MUNICIPAL DE CAUCAIA - SECRETARIA MUNICIPAL DE FINANÇAS, PLANEJAMENTO E ORÇAMENTO</v>
      </c>
      <c r="D2362" s="78" t="s">
        <v>1768</v>
      </c>
      <c r="E2362" s="78" t="s">
        <v>1769</v>
      </c>
      <c r="F2362" s="78">
        <v>6.0</v>
      </c>
      <c r="G2362" s="98">
        <v>283.89</v>
      </c>
    </row>
    <row r="2363">
      <c r="A2363" s="6">
        <v>481.0</v>
      </c>
      <c r="B2363" s="76" t="str">
        <f>IFERROR(VLOOKUP($A2363,EVENTO!$A$2:$C$4999,2,FALSE),"")</f>
        <v>CADASTRO</v>
      </c>
      <c r="C2363" s="76" t="str">
        <f>IFERROR(VLOOKUP($A2363,EVENTO!$A$2:$C$4999,3,FALSE),"")</f>
        <v>PREFEITURA MUNICIPAL DE CAUCAIA - SECRETARIA MUNICIPAL DE FINANÇAS, PLANEJAMENTO E ORÇAMENTO</v>
      </c>
      <c r="D2363" s="78" t="s">
        <v>1789</v>
      </c>
      <c r="E2363" s="78" t="s">
        <v>1814</v>
      </c>
      <c r="F2363" s="78">
        <v>1.0</v>
      </c>
      <c r="G2363" s="98">
        <v>193.47</v>
      </c>
    </row>
    <row r="2364">
      <c r="A2364" s="6">
        <v>481.0</v>
      </c>
      <c r="B2364" s="76" t="str">
        <f>IFERROR(VLOOKUP($A2364,EVENTO!$A$2:$C$4999,2,FALSE),"")</f>
        <v>CADASTRO</v>
      </c>
      <c r="C2364" s="76" t="str">
        <f>IFERROR(VLOOKUP($A2364,EVENTO!$A$2:$C$4999,3,FALSE),"")</f>
        <v>PREFEITURA MUNICIPAL DE CAUCAIA - SECRETARIA MUNICIPAL DE FINANÇAS, PLANEJAMENTO E ORÇAMENTO</v>
      </c>
      <c r="D2364" s="78" t="s">
        <v>1791</v>
      </c>
      <c r="E2364" s="78" t="s">
        <v>1815</v>
      </c>
      <c r="F2364" s="78">
        <v>4.0</v>
      </c>
      <c r="G2364" s="98">
        <v>201.2</v>
      </c>
    </row>
    <row r="2365">
      <c r="A2365" s="6">
        <v>481.0</v>
      </c>
      <c r="B2365" s="76" t="str">
        <f>IFERROR(VLOOKUP($A2365,EVENTO!$A$2:$C$4999,2,FALSE),"")</f>
        <v>CADASTRO</v>
      </c>
      <c r="C2365" s="76" t="str">
        <f>IFERROR(VLOOKUP($A2365,EVENTO!$A$2:$C$4999,3,FALSE),"")</f>
        <v>PREFEITURA MUNICIPAL DE CAUCAIA - SECRETARIA MUNICIPAL DE FINANÇAS, PLANEJAMENTO E ORÇAMENTO</v>
      </c>
      <c r="D2365" s="78" t="s">
        <v>1770</v>
      </c>
      <c r="E2365" s="78" t="s">
        <v>1811</v>
      </c>
      <c r="F2365" s="78">
        <v>4.0</v>
      </c>
      <c r="G2365" s="98">
        <v>53.68</v>
      </c>
    </row>
    <row r="2366">
      <c r="A2366" s="6">
        <v>481.0</v>
      </c>
      <c r="B2366" s="76" t="str">
        <f>IFERROR(VLOOKUP($A2366,EVENTO!$A$2:$C$4999,2,FALSE),"")</f>
        <v>CADASTRO</v>
      </c>
      <c r="C2366" s="76" t="str">
        <f>IFERROR(VLOOKUP($A2366,EVENTO!$A$2:$C$4999,3,FALSE),"")</f>
        <v>PREFEITURA MUNICIPAL DE CAUCAIA - SECRETARIA MUNICIPAL DE FINANÇAS, PLANEJAMENTO E ORÇAMENTO</v>
      </c>
      <c r="D2366" s="78" t="s">
        <v>1772</v>
      </c>
      <c r="E2366" s="78" t="s">
        <v>1812</v>
      </c>
      <c r="F2366" s="78">
        <v>4.0</v>
      </c>
      <c r="G2366" s="98">
        <v>146.6</v>
      </c>
    </row>
    <row r="2367">
      <c r="A2367" s="6">
        <v>481.0</v>
      </c>
      <c r="B2367" s="76" t="str">
        <f>IFERROR(VLOOKUP($A2367,EVENTO!$A$2:$C$4999,2,FALSE),"")</f>
        <v>CADASTRO</v>
      </c>
      <c r="C2367" s="76" t="str">
        <f>IFERROR(VLOOKUP($A2367,EVENTO!$A$2:$C$4999,3,FALSE),"")</f>
        <v>PREFEITURA MUNICIPAL DE CAUCAIA - SECRETARIA MUNICIPAL DE FINANÇAS, PLANEJAMENTO E ORÇAMENTO</v>
      </c>
      <c r="D2367" s="78" t="s">
        <v>1774</v>
      </c>
      <c r="E2367" s="78" t="s">
        <v>1829</v>
      </c>
      <c r="F2367" s="78">
        <v>7.0</v>
      </c>
      <c r="G2367" s="98">
        <v>91.18</v>
      </c>
    </row>
    <row r="2368">
      <c r="A2368" s="6">
        <v>481.0</v>
      </c>
      <c r="B2368" s="76" t="str">
        <f>IFERROR(VLOOKUP($A2368,EVENTO!$A$2:$C$4999,2,FALSE),"")</f>
        <v>CADASTRO</v>
      </c>
      <c r="C2368" s="76" t="str">
        <f>IFERROR(VLOOKUP($A2368,EVENTO!$A$2:$C$4999,3,FALSE),"")</f>
        <v>PREFEITURA MUNICIPAL DE CAUCAIA - SECRETARIA MUNICIPAL DE FINANÇAS, PLANEJAMENTO E ORÇAMENTO</v>
      </c>
      <c r="D2368" s="78" t="s">
        <v>1830</v>
      </c>
      <c r="E2368" s="78" t="s">
        <v>1831</v>
      </c>
      <c r="F2368" s="78">
        <v>2.0</v>
      </c>
      <c r="G2368" s="98">
        <v>334.06</v>
      </c>
    </row>
    <row r="2369">
      <c r="A2369" s="6">
        <v>481.0</v>
      </c>
      <c r="B2369" s="76" t="str">
        <f>IFERROR(VLOOKUP($A2369,EVENTO!$A$2:$C$4999,2,FALSE),"")</f>
        <v>CADASTRO</v>
      </c>
      <c r="C2369" s="76" t="str">
        <f>IFERROR(VLOOKUP($A2369,EVENTO!$A$2:$C$4999,3,FALSE),"")</f>
        <v>PREFEITURA MUNICIPAL DE CAUCAIA - SECRETARIA MUNICIPAL DE FINANÇAS, PLANEJAMENTO E ORÇAMENTO</v>
      </c>
      <c r="D2369" s="78" t="s">
        <v>1793</v>
      </c>
      <c r="E2369" s="78" t="s">
        <v>1794</v>
      </c>
      <c r="F2369" s="78">
        <v>1.0</v>
      </c>
      <c r="G2369" s="98">
        <v>182.78</v>
      </c>
    </row>
    <row r="2370">
      <c r="A2370" s="6">
        <v>481.0</v>
      </c>
      <c r="B2370" s="76" t="str">
        <f>IFERROR(VLOOKUP($A2370,EVENTO!$A$2:$C$4999,2,FALSE),"")</f>
        <v>CADASTRO</v>
      </c>
      <c r="C2370" s="76" t="str">
        <f>IFERROR(VLOOKUP($A2370,EVENTO!$A$2:$C$4999,3,FALSE),"")</f>
        <v>PREFEITURA MUNICIPAL DE CAUCAIA - SECRETARIA MUNICIPAL DE FINANÇAS, PLANEJAMENTO E ORÇAMENTO</v>
      </c>
      <c r="D2370" s="78" t="s">
        <v>1776</v>
      </c>
      <c r="E2370" s="78" t="s">
        <v>1777</v>
      </c>
      <c r="F2370" s="78">
        <v>5.0</v>
      </c>
      <c r="G2370" s="98">
        <v>146.15</v>
      </c>
    </row>
    <row r="2371">
      <c r="A2371" s="6">
        <v>481.0</v>
      </c>
      <c r="B2371" s="76" t="str">
        <f>IFERROR(VLOOKUP($A2371,EVENTO!$A$2:$C$4999,2,FALSE),"")</f>
        <v>CADASTRO</v>
      </c>
      <c r="C2371" s="76" t="str">
        <f>IFERROR(VLOOKUP($A2371,EVENTO!$A$2:$C$4999,3,FALSE),"")</f>
        <v>PREFEITURA MUNICIPAL DE CAUCAIA - SECRETARIA MUNICIPAL DE FINANÇAS, PLANEJAMENTO E ORÇAMENTO</v>
      </c>
      <c r="D2371" s="78" t="s">
        <v>1832</v>
      </c>
      <c r="E2371" s="78" t="s">
        <v>1833</v>
      </c>
      <c r="F2371" s="78">
        <v>4.0</v>
      </c>
      <c r="G2371" s="98">
        <v>797.84</v>
      </c>
    </row>
    <row r="2372">
      <c r="A2372" s="6">
        <v>481.0</v>
      </c>
      <c r="B2372" s="76" t="str">
        <f>IFERROR(VLOOKUP($A2372,EVENTO!$A$2:$C$4999,2,FALSE),"")</f>
        <v>CADASTRO</v>
      </c>
      <c r="C2372" s="76" t="str">
        <f>IFERROR(VLOOKUP($A2372,EVENTO!$A$2:$C$4999,3,FALSE),"")</f>
        <v>PREFEITURA MUNICIPAL DE CAUCAIA - SECRETARIA MUNICIPAL DE FINANÇAS, PLANEJAMENTO E ORÇAMENTO</v>
      </c>
      <c r="D2372" s="78" t="s">
        <v>1778</v>
      </c>
      <c r="E2372" s="78" t="s">
        <v>1817</v>
      </c>
      <c r="F2372" s="78">
        <v>9.0</v>
      </c>
      <c r="G2372" s="98">
        <v>63.8</v>
      </c>
    </row>
    <row r="2373">
      <c r="A2373" s="6">
        <v>481.0</v>
      </c>
      <c r="B2373" s="76" t="str">
        <f>IFERROR(VLOOKUP($A2373,EVENTO!$A$2:$C$4999,2,FALSE),"")</f>
        <v>CADASTRO</v>
      </c>
      <c r="C2373" s="76" t="str">
        <f>IFERROR(VLOOKUP($A2373,EVENTO!$A$2:$C$4999,3,FALSE),"")</f>
        <v>PREFEITURA MUNICIPAL DE CAUCAIA - SECRETARIA MUNICIPAL DE FINANÇAS, PLANEJAMENTO E ORÇAMENTO</v>
      </c>
      <c r="D2373" s="78" t="s">
        <v>1780</v>
      </c>
      <c r="E2373" s="78" t="s">
        <v>1504</v>
      </c>
      <c r="F2373" s="78">
        <v>6.0</v>
      </c>
      <c r="G2373" s="98">
        <v>251.7</v>
      </c>
    </row>
    <row r="2374">
      <c r="A2374" s="6">
        <v>486.0</v>
      </c>
      <c r="B2374" s="76" t="str">
        <f>IFERROR(VLOOKUP($A2374,EVENTO!$A$2:$C$4999,2,FALSE),"")</f>
        <v>CADASTRO</v>
      </c>
      <c r="C2374" s="76" t="str">
        <f>IFERROR(VLOOKUP($A2374,EVENTO!$A$2:$C$4999,3,FALSE),"")</f>
        <v>PREFEITURA MUNICIPAL DE CAUCAIA - SECRETARIA MUNICIPAL DE ESPORTE E JUVENTUDE</v>
      </c>
      <c r="D2374" s="78" t="s">
        <v>1834</v>
      </c>
      <c r="E2374" s="78" t="s">
        <v>1835</v>
      </c>
      <c r="F2374" s="78">
        <v>1.0</v>
      </c>
      <c r="G2374" s="98">
        <v>979.28</v>
      </c>
    </row>
    <row r="2375">
      <c r="A2375" s="6">
        <v>491.0</v>
      </c>
      <c r="B2375" s="76" t="str">
        <f>IFERROR(VLOOKUP($A2375,EVENTO!$A$2:$C$4999,2,FALSE),"")</f>
        <v>CADASTRO</v>
      </c>
      <c r="C2375" s="76" t="str">
        <f>IFERROR(VLOOKUP($A2375,EVENTO!$A$2:$C$4999,3,FALSE),"")</f>
        <v>PREFEITURA MUNICIPAL DE CAUCAIA - SECRETARIA MUNICIPAL DE ESPORTE E JUVENTUDE</v>
      </c>
      <c r="D2375" s="78" t="s">
        <v>1744</v>
      </c>
      <c r="E2375" s="78" t="s">
        <v>1745</v>
      </c>
      <c r="F2375" s="59">
        <v>1.0</v>
      </c>
      <c r="G2375" s="98">
        <v>534.71</v>
      </c>
    </row>
    <row r="2376">
      <c r="A2376" s="6">
        <v>491.0</v>
      </c>
      <c r="B2376" s="76" t="str">
        <f>IFERROR(VLOOKUP($A2376,EVENTO!$A$2:$C$4999,2,FALSE),"")</f>
        <v>CADASTRO</v>
      </c>
      <c r="C2376" s="76" t="str">
        <f>IFERROR(VLOOKUP($A2376,EVENTO!$A$2:$C$4999,3,FALSE),"")</f>
        <v>PREFEITURA MUNICIPAL DE CAUCAIA - SECRETARIA MUNICIPAL DE ESPORTE E JUVENTUDE</v>
      </c>
      <c r="D2376" s="78" t="s">
        <v>1746</v>
      </c>
      <c r="E2376" s="78" t="s">
        <v>1747</v>
      </c>
      <c r="F2376" s="59">
        <v>4.0</v>
      </c>
      <c r="G2376" s="98">
        <v>344.75</v>
      </c>
    </row>
    <row r="2377">
      <c r="A2377" s="6">
        <v>491.0</v>
      </c>
      <c r="B2377" s="76" t="str">
        <f>IFERROR(VLOOKUP($A2377,EVENTO!$A$2:$C$4999,2,FALSE),"")</f>
        <v>CADASTRO</v>
      </c>
      <c r="C2377" s="76" t="str">
        <f>IFERROR(VLOOKUP($A2377,EVENTO!$A$2:$C$4999,3,FALSE),"")</f>
        <v>PREFEITURA MUNICIPAL DE CAUCAIA - SECRETARIA MUNICIPAL DE ESPORTE E JUVENTUDE</v>
      </c>
      <c r="D2377" s="78" t="s">
        <v>1748</v>
      </c>
      <c r="E2377" s="78" t="s">
        <v>1749</v>
      </c>
      <c r="F2377" s="59">
        <v>2.0</v>
      </c>
      <c r="G2377" s="98">
        <v>270.39</v>
      </c>
    </row>
    <row r="2378">
      <c r="A2378" s="6">
        <v>491.0</v>
      </c>
      <c r="B2378" s="76" t="str">
        <f>IFERROR(VLOOKUP($A2378,EVENTO!$A$2:$C$4999,2,FALSE),"")</f>
        <v>CADASTRO</v>
      </c>
      <c r="C2378" s="76" t="str">
        <f>IFERROR(VLOOKUP($A2378,EVENTO!$A$2:$C$4999,3,FALSE),"")</f>
        <v>PREFEITURA MUNICIPAL DE CAUCAIA - SECRETARIA MUNICIPAL DE ESPORTE E JUVENTUDE</v>
      </c>
      <c r="D2378" s="78" t="s">
        <v>1750</v>
      </c>
      <c r="E2378" s="78" t="s">
        <v>1795</v>
      </c>
      <c r="F2378" s="78">
        <v>3.0</v>
      </c>
      <c r="G2378" s="98">
        <v>387.36</v>
      </c>
    </row>
    <row r="2379">
      <c r="A2379" s="6">
        <v>491.0</v>
      </c>
      <c r="B2379" s="76" t="str">
        <f>IFERROR(VLOOKUP($A2379,EVENTO!$A$2:$C$4999,2,FALSE),"")</f>
        <v>CADASTRO</v>
      </c>
      <c r="C2379" s="76" t="str">
        <f>IFERROR(VLOOKUP($A2379,EVENTO!$A$2:$C$4999,3,FALSE),"")</f>
        <v>PREFEITURA MUNICIPAL DE CAUCAIA - SECRETARIA MUNICIPAL DE ESPORTE E JUVENTUDE</v>
      </c>
      <c r="D2379" s="78" t="s">
        <v>1752</v>
      </c>
      <c r="E2379" s="78" t="s">
        <v>1753</v>
      </c>
      <c r="F2379" s="78">
        <v>6.0</v>
      </c>
      <c r="G2379" s="98">
        <v>221.78</v>
      </c>
    </row>
    <row r="2380">
      <c r="A2380" s="6">
        <v>491.0</v>
      </c>
      <c r="B2380" s="76" t="str">
        <f>IFERROR(VLOOKUP($A2380,EVENTO!$A$2:$C$4999,2,FALSE),"")</f>
        <v>CADASTRO</v>
      </c>
      <c r="C2380" s="76" t="str">
        <f>IFERROR(VLOOKUP($A2380,EVENTO!$A$2:$C$4999,3,FALSE),"")</f>
        <v>PREFEITURA MUNICIPAL DE CAUCAIA - SECRETARIA MUNICIPAL DE ESPORTE E JUVENTUDE</v>
      </c>
      <c r="D2380" s="78" t="s">
        <v>1782</v>
      </c>
      <c r="E2380" s="78" t="s">
        <v>1797</v>
      </c>
      <c r="F2380" s="78">
        <v>6.0</v>
      </c>
      <c r="G2380" s="98">
        <v>173.93</v>
      </c>
    </row>
    <row r="2381">
      <c r="A2381" s="6">
        <v>491.0</v>
      </c>
      <c r="B2381" s="76" t="str">
        <f>IFERROR(VLOOKUP($A2381,EVENTO!$A$2:$C$4999,2,FALSE),"")</f>
        <v>CADASTRO</v>
      </c>
      <c r="C2381" s="76" t="str">
        <f>IFERROR(VLOOKUP($A2381,EVENTO!$A$2:$C$4999,3,FALSE),"")</f>
        <v>PREFEITURA MUNICIPAL DE CAUCAIA - SECRETARIA MUNICIPAL DE ESPORTE E JUVENTUDE</v>
      </c>
      <c r="D2381" s="78" t="s">
        <v>1754</v>
      </c>
      <c r="E2381" s="78" t="s">
        <v>1802</v>
      </c>
      <c r="F2381" s="78">
        <v>3.0</v>
      </c>
      <c r="G2381" s="98">
        <v>286.34</v>
      </c>
    </row>
    <row r="2382">
      <c r="A2382" s="6">
        <v>491.0</v>
      </c>
      <c r="B2382" s="76" t="str">
        <f>IFERROR(VLOOKUP($A2382,EVENTO!$A$2:$C$4999,2,FALSE),"")</f>
        <v>CADASTRO</v>
      </c>
      <c r="C2382" s="76" t="str">
        <f>IFERROR(VLOOKUP($A2382,EVENTO!$A$2:$C$4999,3,FALSE),"")</f>
        <v>PREFEITURA MUNICIPAL DE CAUCAIA - SECRETARIA MUNICIPAL DE ESPORTE E JUVENTUDE</v>
      </c>
      <c r="D2382" s="78" t="s">
        <v>1758</v>
      </c>
      <c r="E2382" s="78" t="s">
        <v>1759</v>
      </c>
      <c r="F2382" s="78">
        <v>4.0</v>
      </c>
      <c r="G2382" s="98">
        <v>148.11</v>
      </c>
    </row>
    <row r="2383">
      <c r="A2383" s="6">
        <v>496.0</v>
      </c>
      <c r="B2383" s="76" t="str">
        <f>IFERROR(VLOOKUP($A2383,EVENTO!$A$2:$C$4999,2,FALSE),"")</f>
        <v>CADASTRO</v>
      </c>
      <c r="C2383" s="76" t="str">
        <f>IFERROR(VLOOKUP($A2383,EVENTO!$A$2:$C$4999,3,FALSE),"")</f>
        <v>PREFEITURA MUNICIPAL DE CAUCAIA - SECRETARIA MUNICIPAL DE EDUCAÇÃO, CIÊNCIA E TECNOLOGIA</v>
      </c>
      <c r="D2383" s="78" t="s">
        <v>1836</v>
      </c>
      <c r="E2383" s="78" t="s">
        <v>1747</v>
      </c>
      <c r="F2383" s="104">
        <v>3450.0</v>
      </c>
      <c r="G2383" s="98">
        <v>276.4</v>
      </c>
    </row>
    <row r="2384">
      <c r="A2384" s="6">
        <v>496.0</v>
      </c>
      <c r="B2384" s="76" t="str">
        <f>IFERROR(VLOOKUP($A2384,EVENTO!$A$2:$C$4999,2,FALSE),"")</f>
        <v>CADASTRO</v>
      </c>
      <c r="C2384" s="76" t="str">
        <f>IFERROR(VLOOKUP($A2384,EVENTO!$A$2:$C$4999,3,FALSE),"")</f>
        <v>PREFEITURA MUNICIPAL DE CAUCAIA - SECRETARIA MUNICIPAL DE EDUCAÇÃO, CIÊNCIA E TECNOLOGIA</v>
      </c>
      <c r="D2384" s="78" t="s">
        <v>1837</v>
      </c>
      <c r="E2384" s="78" t="s">
        <v>1838</v>
      </c>
      <c r="F2384" s="104">
        <v>3450.0</v>
      </c>
      <c r="G2384" s="98">
        <v>23.32</v>
      </c>
    </row>
    <row r="2385">
      <c r="A2385" s="6">
        <v>496.0</v>
      </c>
      <c r="B2385" s="76" t="str">
        <f>IFERROR(VLOOKUP($A2385,EVENTO!$A$2:$C$4999,2,FALSE),"")</f>
        <v>CADASTRO</v>
      </c>
      <c r="C2385" s="76" t="str">
        <f>IFERROR(VLOOKUP($A2385,EVENTO!$A$2:$C$4999,3,FALSE),"")</f>
        <v>PREFEITURA MUNICIPAL DE CAUCAIA - SECRETARIA MUNICIPAL DE EDUCAÇÃO, CIÊNCIA E TECNOLOGIA</v>
      </c>
      <c r="D2385" s="78" t="s">
        <v>1839</v>
      </c>
      <c r="E2385" s="78" t="s">
        <v>1840</v>
      </c>
      <c r="F2385" s="104">
        <v>3450.0</v>
      </c>
      <c r="G2385" s="98">
        <v>76.6</v>
      </c>
    </row>
    <row r="2386">
      <c r="A2386" s="6">
        <v>436.0</v>
      </c>
      <c r="B2386" s="76" t="str">
        <f>IFERROR(VLOOKUP($A2386,EVENTO!$A$2:$C$4999,2,FALSE),"")</f>
        <v>ADITIVO DE QUANTIDADE E PRAZO</v>
      </c>
      <c r="C2386" s="76" t="str">
        <f>IFERROR(VLOOKUP($A2386,EVENTO!$A$2:$C$4999,3,FALSE),"")</f>
        <v>ISG - HELV - 96210-20</v>
      </c>
      <c r="D2386" s="78" t="s">
        <v>1549</v>
      </c>
      <c r="E2386" s="6" t="s">
        <v>1550</v>
      </c>
      <c r="F2386" s="78">
        <v>80.0</v>
      </c>
      <c r="G2386" s="98">
        <v>139.0</v>
      </c>
    </row>
    <row r="2387">
      <c r="A2387" s="6">
        <v>500.0</v>
      </c>
      <c r="B2387" s="76" t="str">
        <f>IFERROR(VLOOKUP($A2387,EVENTO!$A$2:$C$4999,2,FALSE),"")</f>
        <v>CADASTRO</v>
      </c>
      <c r="C2387" s="76" t="str">
        <f>IFERROR(VLOOKUP($A2387,EVENTO!$A$2:$C$4999,3,FALSE),"")</f>
        <v>PREFEITURA MUNICIPAL DE CAUCAIA - SECRETARIA MUNICIPAL DE EDUCAÇÃO, CIÊNCIA E TECNOLOGIA</v>
      </c>
      <c r="D2387" s="78" t="s">
        <v>1744</v>
      </c>
      <c r="E2387" s="78" t="s">
        <v>1745</v>
      </c>
      <c r="F2387" s="78">
        <v>12.0</v>
      </c>
      <c r="G2387" s="98">
        <v>534.71</v>
      </c>
    </row>
    <row r="2388">
      <c r="A2388" s="6">
        <v>500.0</v>
      </c>
      <c r="B2388" s="76" t="str">
        <f>IFERROR(VLOOKUP($A2388,EVENTO!$A$2:$C$4999,2,FALSE),"")</f>
        <v>CADASTRO</v>
      </c>
      <c r="C2388" s="76" t="str">
        <f>IFERROR(VLOOKUP($A2388,EVENTO!$A$2:$C$4999,3,FALSE),"")</f>
        <v>PREFEITURA MUNICIPAL DE CAUCAIA - SECRETARIA MUNICIPAL DE EDUCAÇÃO, CIÊNCIA E TECNOLOGIA</v>
      </c>
      <c r="D2388" s="78" t="s">
        <v>1746</v>
      </c>
      <c r="E2388" s="78" t="s">
        <v>1747</v>
      </c>
      <c r="F2388" s="78">
        <v>54.0</v>
      </c>
      <c r="G2388" s="98">
        <v>344.75</v>
      </c>
    </row>
    <row r="2389">
      <c r="A2389" s="6">
        <v>500.0</v>
      </c>
      <c r="B2389" s="76" t="str">
        <f>IFERROR(VLOOKUP($A2389,EVENTO!$A$2:$C$4999,2,FALSE),"")</f>
        <v>CADASTRO</v>
      </c>
      <c r="C2389" s="76" t="str">
        <f>IFERROR(VLOOKUP($A2389,EVENTO!$A$2:$C$4999,3,FALSE),"")</f>
        <v>PREFEITURA MUNICIPAL DE CAUCAIA - SECRETARIA MUNICIPAL DE EDUCAÇÃO, CIÊNCIA E TECNOLOGIA</v>
      </c>
      <c r="D2389" s="78" t="s">
        <v>1748</v>
      </c>
      <c r="E2389" s="78" t="s">
        <v>1749</v>
      </c>
      <c r="F2389" s="78">
        <v>52.0</v>
      </c>
      <c r="G2389" s="98">
        <v>270.39</v>
      </c>
    </row>
    <row r="2390">
      <c r="A2390" s="6">
        <v>500.0</v>
      </c>
      <c r="B2390" s="76" t="str">
        <f>IFERROR(VLOOKUP($A2390,EVENTO!$A$2:$C$4999,2,FALSE),"")</f>
        <v>CADASTRO</v>
      </c>
      <c r="C2390" s="76" t="str">
        <f>IFERROR(VLOOKUP($A2390,EVENTO!$A$2:$C$4999,3,FALSE),"")</f>
        <v>PREFEITURA MUNICIPAL DE CAUCAIA - SECRETARIA MUNICIPAL DE EDUCAÇÃO, CIÊNCIA E TECNOLOGIA</v>
      </c>
      <c r="D2390" s="78" t="s">
        <v>1841</v>
      </c>
      <c r="E2390" s="78" t="s">
        <v>1842</v>
      </c>
      <c r="F2390" s="78">
        <v>50.0</v>
      </c>
      <c r="G2390" s="98">
        <v>182.29</v>
      </c>
    </row>
    <row r="2391">
      <c r="A2391" s="6">
        <v>500.0</v>
      </c>
      <c r="B2391" s="76" t="str">
        <f>IFERROR(VLOOKUP($A2391,EVENTO!$A$2:$C$4999,2,FALSE),"")</f>
        <v>CADASTRO</v>
      </c>
      <c r="C2391" s="76" t="str">
        <f>IFERROR(VLOOKUP($A2391,EVENTO!$A$2:$C$4999,3,FALSE),"")</f>
        <v>PREFEITURA MUNICIPAL DE CAUCAIA - SECRETARIA MUNICIPAL DE EDUCAÇÃO, CIÊNCIA E TECNOLOGIA</v>
      </c>
      <c r="D2391" s="78" t="s">
        <v>1750</v>
      </c>
      <c r="E2391" s="78" t="s">
        <v>1745</v>
      </c>
      <c r="F2391" s="78">
        <v>14.0</v>
      </c>
      <c r="G2391" s="98">
        <v>387.36</v>
      </c>
    </row>
    <row r="2392">
      <c r="A2392" s="6">
        <v>500.0</v>
      </c>
      <c r="B2392" s="76" t="str">
        <f>IFERROR(VLOOKUP($A2392,EVENTO!$A$2:$C$4999,2,FALSE),"")</f>
        <v>CADASTRO</v>
      </c>
      <c r="C2392" s="76" t="str">
        <f>IFERROR(VLOOKUP($A2392,EVENTO!$A$2:$C$4999,3,FALSE),"")</f>
        <v>PREFEITURA MUNICIPAL DE CAUCAIA - SECRETARIA MUNICIPAL DE EDUCAÇÃO, CIÊNCIA E TECNOLOGIA</v>
      </c>
      <c r="D2392" s="78" t="s">
        <v>1752</v>
      </c>
      <c r="E2392" s="78" t="s">
        <v>1747</v>
      </c>
      <c r="F2392" s="78">
        <v>440.0</v>
      </c>
      <c r="G2392" s="98">
        <v>221.78</v>
      </c>
    </row>
    <row r="2393">
      <c r="A2393" s="6">
        <v>500.0</v>
      </c>
      <c r="B2393" s="76" t="str">
        <f>IFERROR(VLOOKUP($A2393,EVENTO!$A$2:$C$4999,2,FALSE),"")</f>
        <v>CADASTRO</v>
      </c>
      <c r="C2393" s="76" t="str">
        <f>IFERROR(VLOOKUP($A2393,EVENTO!$A$2:$C$4999,3,FALSE),"")</f>
        <v>PREFEITURA MUNICIPAL DE CAUCAIA - SECRETARIA MUNICIPAL DE EDUCAÇÃO, CIÊNCIA E TECNOLOGIA</v>
      </c>
      <c r="D2393" s="78" t="s">
        <v>1782</v>
      </c>
      <c r="E2393" s="78" t="s">
        <v>1749</v>
      </c>
      <c r="F2393" s="78">
        <v>58.0</v>
      </c>
      <c r="G2393" s="98">
        <v>173.93</v>
      </c>
    </row>
    <row r="2394">
      <c r="A2394" s="6">
        <v>500.0</v>
      </c>
      <c r="B2394" s="76" t="str">
        <f>IFERROR(VLOOKUP($A2394,EVENTO!$A$2:$C$4999,2,FALSE),"")</f>
        <v>CADASTRO</v>
      </c>
      <c r="C2394" s="76" t="str">
        <f>IFERROR(VLOOKUP($A2394,EVENTO!$A$2:$C$4999,3,FALSE),"")</f>
        <v>PREFEITURA MUNICIPAL DE CAUCAIA - SECRETARIA MUNICIPAL DE EDUCAÇÃO, CIÊNCIA E TECNOLOGIA</v>
      </c>
      <c r="D2394" s="78" t="s">
        <v>1843</v>
      </c>
      <c r="E2394" s="78" t="s">
        <v>1844</v>
      </c>
      <c r="F2394" s="78">
        <v>100.0</v>
      </c>
      <c r="G2394" s="98">
        <v>177.73</v>
      </c>
    </row>
    <row r="2395">
      <c r="A2395" s="6">
        <v>500.0</v>
      </c>
      <c r="B2395" s="76" t="str">
        <f>IFERROR(VLOOKUP($A2395,EVENTO!$A$2:$C$4999,2,FALSE),"")</f>
        <v>CADASTRO</v>
      </c>
      <c r="C2395" s="76" t="str">
        <f>IFERROR(VLOOKUP($A2395,EVENTO!$A$2:$C$4999,3,FALSE),"")</f>
        <v>PREFEITURA MUNICIPAL DE CAUCAIA - SECRETARIA MUNICIPAL DE EDUCAÇÃO, CIÊNCIA E TECNOLOGIA</v>
      </c>
      <c r="D2395" s="78" t="s">
        <v>1798</v>
      </c>
      <c r="E2395" s="78" t="s">
        <v>1845</v>
      </c>
      <c r="F2395" s="78">
        <v>4.0</v>
      </c>
      <c r="G2395" s="98">
        <v>638.01</v>
      </c>
    </row>
    <row r="2396">
      <c r="A2396" s="6">
        <v>500.0</v>
      </c>
      <c r="B2396" s="76" t="str">
        <f>IFERROR(VLOOKUP($A2396,EVENTO!$A$2:$C$4999,2,FALSE),"")</f>
        <v>CADASTRO</v>
      </c>
      <c r="C2396" s="76" t="str">
        <f>IFERROR(VLOOKUP($A2396,EVENTO!$A$2:$C$4999,3,FALSE),"")</f>
        <v>PREFEITURA MUNICIPAL DE CAUCAIA - SECRETARIA MUNICIPAL DE EDUCAÇÃO, CIÊNCIA E TECNOLOGIA</v>
      </c>
      <c r="D2396" s="78" t="s">
        <v>1800</v>
      </c>
      <c r="E2396" s="78" t="s">
        <v>1846</v>
      </c>
      <c r="F2396" s="78">
        <v>2.0</v>
      </c>
      <c r="G2396" s="98">
        <v>290.14</v>
      </c>
    </row>
    <row r="2397">
      <c r="A2397" s="6">
        <v>500.0</v>
      </c>
      <c r="B2397" s="76" t="str">
        <f>IFERROR(VLOOKUP($A2397,EVENTO!$A$2:$C$4999,2,FALSE),"")</f>
        <v>CADASTRO</v>
      </c>
      <c r="C2397" s="76" t="str">
        <f>IFERROR(VLOOKUP($A2397,EVENTO!$A$2:$C$4999,3,FALSE),"")</f>
        <v>PREFEITURA MUNICIPAL DE CAUCAIA - SECRETARIA MUNICIPAL DE EDUCAÇÃO, CIÊNCIA E TECNOLOGIA</v>
      </c>
      <c r="D2397" s="78" t="s">
        <v>1821</v>
      </c>
      <c r="E2397" s="78" t="s">
        <v>1822</v>
      </c>
      <c r="F2397" s="78">
        <v>1.0</v>
      </c>
      <c r="G2397" s="98">
        <v>470.91</v>
      </c>
    </row>
    <row r="2398">
      <c r="A2398" s="6">
        <v>500.0</v>
      </c>
      <c r="B2398" s="76" t="str">
        <f>IFERROR(VLOOKUP($A2398,EVENTO!$A$2:$C$4999,2,FALSE),"")</f>
        <v>CADASTRO</v>
      </c>
      <c r="C2398" s="76" t="str">
        <f>IFERROR(VLOOKUP($A2398,EVENTO!$A$2:$C$4999,3,FALSE),"")</f>
        <v>PREFEITURA MUNICIPAL DE CAUCAIA - SECRETARIA MUNICIPAL DE EDUCAÇÃO, CIÊNCIA E TECNOLOGIA</v>
      </c>
      <c r="D2398" s="78" t="s">
        <v>1847</v>
      </c>
      <c r="E2398" s="78" t="s">
        <v>1802</v>
      </c>
      <c r="F2398" s="78">
        <v>256.0</v>
      </c>
      <c r="G2398" s="98">
        <v>286.34</v>
      </c>
    </row>
    <row r="2399">
      <c r="A2399" s="6">
        <v>500.0</v>
      </c>
      <c r="B2399" s="76" t="str">
        <f>IFERROR(VLOOKUP($A2399,EVENTO!$A$2:$C$4999,2,FALSE),"")</f>
        <v>CADASTRO</v>
      </c>
      <c r="C2399" s="76" t="str">
        <f>IFERROR(VLOOKUP($A2399,EVENTO!$A$2:$C$4999,3,FALSE),"")</f>
        <v>PREFEITURA MUNICIPAL DE CAUCAIA - SECRETARIA MUNICIPAL DE EDUCAÇÃO, CIÊNCIA E TECNOLOGIA</v>
      </c>
      <c r="D2399" s="78" t="s">
        <v>1848</v>
      </c>
      <c r="E2399" s="78" t="s">
        <v>1813</v>
      </c>
      <c r="F2399" s="78">
        <v>20.0</v>
      </c>
      <c r="G2399" s="98">
        <v>234.7</v>
      </c>
    </row>
    <row r="2400">
      <c r="A2400" s="6">
        <v>500.0</v>
      </c>
      <c r="B2400" s="76" t="str">
        <f>IFERROR(VLOOKUP($A2400,EVENTO!$A$2:$C$4999,2,FALSE),"")</f>
        <v>CADASTRO</v>
      </c>
      <c r="C2400" s="76" t="str">
        <f>IFERROR(VLOOKUP($A2400,EVENTO!$A$2:$C$4999,3,FALSE),"")</f>
        <v>PREFEITURA MUNICIPAL DE CAUCAIA - SECRETARIA MUNICIPAL DE EDUCAÇÃO, CIÊNCIA E TECNOLOGIA</v>
      </c>
      <c r="D2400" s="78" t="s">
        <v>1849</v>
      </c>
      <c r="E2400" s="78" t="s">
        <v>1759</v>
      </c>
      <c r="F2400" s="78">
        <v>54.0</v>
      </c>
      <c r="G2400" s="98">
        <v>148.11</v>
      </c>
    </row>
    <row r="2401">
      <c r="A2401" s="6">
        <v>500.0</v>
      </c>
      <c r="B2401" s="76" t="str">
        <f>IFERROR(VLOOKUP($A2401,EVENTO!$A$2:$C$4999,2,FALSE),"")</f>
        <v>CADASTRO</v>
      </c>
      <c r="C2401" s="76" t="str">
        <f>IFERROR(VLOOKUP($A2401,EVENTO!$A$2:$C$4999,3,FALSE),"")</f>
        <v>PREFEITURA MUNICIPAL DE CAUCAIA - SECRETARIA MUNICIPAL DE EDUCAÇÃO, CIÊNCIA E TECNOLOGIA</v>
      </c>
      <c r="D2401" s="78" t="s">
        <v>1807</v>
      </c>
      <c r="E2401" s="78" t="s">
        <v>1850</v>
      </c>
      <c r="F2401" s="78">
        <v>4.0</v>
      </c>
      <c r="G2401" s="98">
        <v>201.73</v>
      </c>
    </row>
    <row r="2402">
      <c r="A2402" s="6">
        <v>500.0</v>
      </c>
      <c r="B2402" s="76" t="str">
        <f>IFERROR(VLOOKUP($A2402,EVENTO!$A$2:$C$4999,2,FALSE),"")</f>
        <v>CADASTRO</v>
      </c>
      <c r="C2402" s="76" t="str">
        <f>IFERROR(VLOOKUP($A2402,EVENTO!$A$2:$C$4999,3,FALSE),"")</f>
        <v>PREFEITURA MUNICIPAL DE CAUCAIA - SECRETARIA MUNICIPAL DE EDUCAÇÃO, CIÊNCIA E TECNOLOGIA</v>
      </c>
      <c r="D2402" s="78" t="s">
        <v>1766</v>
      </c>
      <c r="E2402" s="78" t="s">
        <v>1767</v>
      </c>
      <c r="F2402" s="78">
        <v>4.0</v>
      </c>
      <c r="G2402" s="98">
        <v>181.17</v>
      </c>
    </row>
    <row r="2403">
      <c r="A2403" s="6">
        <v>500.0</v>
      </c>
      <c r="B2403" s="76" t="str">
        <f>IFERROR(VLOOKUP($A2403,EVENTO!$A$2:$C$4999,2,FALSE),"")</f>
        <v>CADASTRO</v>
      </c>
      <c r="C2403" s="76" t="str">
        <f>IFERROR(VLOOKUP($A2403,EVENTO!$A$2:$C$4999,3,FALSE),"")</f>
        <v>PREFEITURA MUNICIPAL DE CAUCAIA - SECRETARIA MUNICIPAL DE EDUCAÇÃO, CIÊNCIA E TECNOLOGIA</v>
      </c>
      <c r="D2403" s="78" t="s">
        <v>1851</v>
      </c>
      <c r="E2403" s="78" t="s">
        <v>1769</v>
      </c>
      <c r="F2403" s="78">
        <v>4.0</v>
      </c>
      <c r="G2403" s="98">
        <v>283.89</v>
      </c>
    </row>
    <row r="2404">
      <c r="A2404" s="6">
        <v>500.0</v>
      </c>
      <c r="B2404" s="76" t="str">
        <f>IFERROR(VLOOKUP($A2404,EVENTO!$A$2:$C$4999,2,FALSE),"")</f>
        <v>CADASTRO</v>
      </c>
      <c r="C2404" s="76" t="str">
        <f>IFERROR(VLOOKUP($A2404,EVENTO!$A$2:$C$4999,3,FALSE),"")</f>
        <v>PREFEITURA MUNICIPAL DE CAUCAIA - SECRETARIA MUNICIPAL DE EDUCAÇÃO, CIÊNCIA E TECNOLOGIA</v>
      </c>
      <c r="D2404" s="78" t="s">
        <v>1852</v>
      </c>
      <c r="E2404" s="78" t="s">
        <v>1811</v>
      </c>
      <c r="F2404" s="78">
        <v>24.0</v>
      </c>
      <c r="G2404" s="98">
        <v>13.42</v>
      </c>
    </row>
    <row r="2405">
      <c r="A2405" s="6">
        <v>500.0</v>
      </c>
      <c r="B2405" s="76" t="str">
        <f>IFERROR(VLOOKUP($A2405,EVENTO!$A$2:$C$4999,2,FALSE),"")</f>
        <v>CADASTRO</v>
      </c>
      <c r="C2405" s="76" t="str">
        <f>IFERROR(VLOOKUP($A2405,EVENTO!$A$2:$C$4999,3,FALSE),"")</f>
        <v>PREFEITURA MUNICIPAL DE CAUCAIA - SECRETARIA MUNICIPAL DE EDUCAÇÃO, CIÊNCIA E TECNOLOGIA</v>
      </c>
      <c r="D2405" s="78" t="s">
        <v>1853</v>
      </c>
      <c r="E2405" s="78" t="s">
        <v>1812</v>
      </c>
      <c r="F2405" s="78">
        <v>4.0</v>
      </c>
      <c r="G2405" s="98">
        <v>36.65</v>
      </c>
    </row>
    <row r="2406">
      <c r="A2406" s="6">
        <v>500.0</v>
      </c>
      <c r="B2406" s="76" t="str">
        <f>IFERROR(VLOOKUP($A2406,EVENTO!$A$2:$C$4999,2,FALSE),"")</f>
        <v>CADASTRO</v>
      </c>
      <c r="C2406" s="76" t="str">
        <f>IFERROR(VLOOKUP($A2406,EVENTO!$A$2:$C$4999,3,FALSE),"")</f>
        <v>PREFEITURA MUNICIPAL DE CAUCAIA - SECRETARIA MUNICIPAL DE EDUCAÇÃO, CIÊNCIA E TECNOLOGIA</v>
      </c>
      <c r="D2406" s="78" t="s">
        <v>1854</v>
      </c>
      <c r="E2406" s="78" t="s">
        <v>1855</v>
      </c>
      <c r="F2406" s="78">
        <v>14.0</v>
      </c>
      <c r="G2406" s="98">
        <v>91.18</v>
      </c>
    </row>
    <row r="2407">
      <c r="A2407" s="6">
        <v>500.0</v>
      </c>
      <c r="B2407" s="76" t="str">
        <f>IFERROR(VLOOKUP($A2407,EVENTO!$A$2:$C$4999,2,FALSE),"")</f>
        <v>CADASTRO</v>
      </c>
      <c r="C2407" s="76" t="str">
        <f>IFERROR(VLOOKUP($A2407,EVENTO!$A$2:$C$4999,3,FALSE),"")</f>
        <v>PREFEITURA MUNICIPAL DE CAUCAIA - SECRETARIA MUNICIPAL DE EDUCAÇÃO, CIÊNCIA E TECNOLOGIA</v>
      </c>
      <c r="D2407" s="78" t="s">
        <v>1856</v>
      </c>
      <c r="E2407" s="78" t="s">
        <v>1777</v>
      </c>
      <c r="F2407" s="78">
        <v>6.0</v>
      </c>
      <c r="G2407" s="98">
        <v>29.23</v>
      </c>
    </row>
    <row r="2408">
      <c r="A2408" s="6">
        <v>500.0</v>
      </c>
      <c r="B2408" s="76" t="str">
        <f>IFERROR(VLOOKUP($A2408,EVENTO!$A$2:$C$4999,2,FALSE),"")</f>
        <v>CADASTRO</v>
      </c>
      <c r="C2408" s="76" t="str">
        <f>IFERROR(VLOOKUP($A2408,EVENTO!$A$2:$C$4999,3,FALSE),"")</f>
        <v>PREFEITURA MUNICIPAL DE CAUCAIA - SECRETARIA MUNICIPAL DE EDUCAÇÃO, CIÊNCIA E TECNOLOGIA</v>
      </c>
      <c r="D2408" s="78" t="s">
        <v>1857</v>
      </c>
      <c r="E2408" s="78" t="s">
        <v>1817</v>
      </c>
      <c r="F2408" s="78">
        <v>7.0</v>
      </c>
      <c r="G2408" s="98">
        <v>63.8</v>
      </c>
    </row>
    <row r="2409">
      <c r="A2409" s="6">
        <v>500.0</v>
      </c>
      <c r="B2409" s="76" t="str">
        <f>IFERROR(VLOOKUP($A2409,EVENTO!$A$2:$C$4999,2,FALSE),"")</f>
        <v>CADASTRO</v>
      </c>
      <c r="C2409" s="76" t="str">
        <f>IFERROR(VLOOKUP($A2409,EVENTO!$A$2:$C$4999,3,FALSE),"")</f>
        <v>PREFEITURA MUNICIPAL DE CAUCAIA - SECRETARIA MUNICIPAL DE EDUCAÇÃO, CIÊNCIA E TECNOLOGIA</v>
      </c>
      <c r="D2409" s="78" t="s">
        <v>1858</v>
      </c>
      <c r="E2409" s="78" t="s">
        <v>1504</v>
      </c>
      <c r="F2409" s="78">
        <v>8.0</v>
      </c>
      <c r="G2409" s="98">
        <v>41.95</v>
      </c>
    </row>
    <row r="2410">
      <c r="A2410" s="6">
        <v>504.0</v>
      </c>
      <c r="B2410" s="76" t="str">
        <f>IFERROR(VLOOKUP($A2410,EVENTO!$A$2:$C$4999,2,FALSE),"")</f>
        <v>ADITIVO DE QUANTIDADE</v>
      </c>
      <c r="C2410" s="76" t="str">
        <f>IFERROR(VLOOKUP($A2410,EVENTO!$A$2:$C$4999,3,FALSE),"")</f>
        <v>PREFEITURA MUNICIPAL DE CAUCAIA - SECRETARIA MUNICIPAL DE EDUCAÇÃO, CIÊNCIA E TECNOLOGIA</v>
      </c>
      <c r="D2410" s="78" t="s">
        <v>1744</v>
      </c>
      <c r="E2410" s="78" t="s">
        <v>1745</v>
      </c>
      <c r="F2410" s="59">
        <v>15.0</v>
      </c>
      <c r="G2410" s="98">
        <v>534.71</v>
      </c>
    </row>
    <row r="2411">
      <c r="A2411" s="6">
        <v>504.0</v>
      </c>
      <c r="B2411" s="76" t="str">
        <f>IFERROR(VLOOKUP($A2411,EVENTO!$A$2:$C$4999,2,FALSE),"")</f>
        <v>ADITIVO DE QUANTIDADE</v>
      </c>
      <c r="C2411" s="76" t="str">
        <f>IFERROR(VLOOKUP($A2411,EVENTO!$A$2:$C$4999,3,FALSE),"")</f>
        <v>PREFEITURA MUNICIPAL DE CAUCAIA - SECRETARIA MUNICIPAL DE EDUCAÇÃO, CIÊNCIA E TECNOLOGIA</v>
      </c>
      <c r="D2411" s="78" t="s">
        <v>1746</v>
      </c>
      <c r="E2411" s="78" t="s">
        <v>1747</v>
      </c>
      <c r="F2411" s="59">
        <v>67.0</v>
      </c>
      <c r="G2411" s="98">
        <v>344.75</v>
      </c>
    </row>
    <row r="2412">
      <c r="A2412" s="6">
        <v>504.0</v>
      </c>
      <c r="B2412" s="76" t="str">
        <f>IFERROR(VLOOKUP($A2412,EVENTO!$A$2:$C$4999,2,FALSE),"")</f>
        <v>ADITIVO DE QUANTIDADE</v>
      </c>
      <c r="C2412" s="76" t="str">
        <f>IFERROR(VLOOKUP($A2412,EVENTO!$A$2:$C$4999,3,FALSE),"")</f>
        <v>PREFEITURA MUNICIPAL DE CAUCAIA - SECRETARIA MUNICIPAL DE EDUCAÇÃO, CIÊNCIA E TECNOLOGIA</v>
      </c>
      <c r="D2412" s="78" t="s">
        <v>1748</v>
      </c>
      <c r="E2412" s="78" t="s">
        <v>1749</v>
      </c>
      <c r="F2412" s="59">
        <v>65.0</v>
      </c>
      <c r="G2412" s="98">
        <v>270.39</v>
      </c>
    </row>
    <row r="2413">
      <c r="A2413" s="6">
        <v>504.0</v>
      </c>
      <c r="B2413" s="76" t="str">
        <f>IFERROR(VLOOKUP($A2413,EVENTO!$A$2:$C$4999,2,FALSE),"")</f>
        <v>ADITIVO DE QUANTIDADE</v>
      </c>
      <c r="C2413" s="76" t="str">
        <f>IFERROR(VLOOKUP($A2413,EVENTO!$A$2:$C$4999,3,FALSE),"")</f>
        <v>PREFEITURA MUNICIPAL DE CAUCAIA - SECRETARIA MUNICIPAL DE EDUCAÇÃO, CIÊNCIA E TECNOLOGIA</v>
      </c>
      <c r="D2413" s="78" t="s">
        <v>1841</v>
      </c>
      <c r="E2413" s="78" t="s">
        <v>1842</v>
      </c>
      <c r="F2413" s="59">
        <v>62.0</v>
      </c>
      <c r="G2413" s="98">
        <v>182.29</v>
      </c>
    </row>
    <row r="2414">
      <c r="A2414" s="6">
        <v>504.0</v>
      </c>
      <c r="B2414" s="76" t="str">
        <f>IFERROR(VLOOKUP($A2414,EVENTO!$A$2:$C$4999,2,FALSE),"")</f>
        <v>ADITIVO DE QUANTIDADE</v>
      </c>
      <c r="C2414" s="76" t="str">
        <f>IFERROR(VLOOKUP($A2414,EVENTO!$A$2:$C$4999,3,FALSE),"")</f>
        <v>PREFEITURA MUNICIPAL DE CAUCAIA - SECRETARIA MUNICIPAL DE EDUCAÇÃO, CIÊNCIA E TECNOLOGIA</v>
      </c>
      <c r="D2414" s="78" t="s">
        <v>1750</v>
      </c>
      <c r="E2414" s="78" t="s">
        <v>1745</v>
      </c>
      <c r="F2414" s="59">
        <v>17.0</v>
      </c>
      <c r="G2414" s="98">
        <v>387.36</v>
      </c>
    </row>
    <row r="2415">
      <c r="A2415" s="6">
        <v>504.0</v>
      </c>
      <c r="B2415" s="76" t="str">
        <f>IFERROR(VLOOKUP($A2415,EVENTO!$A$2:$C$4999,2,FALSE),"")</f>
        <v>ADITIVO DE QUANTIDADE</v>
      </c>
      <c r="C2415" s="76" t="str">
        <f>IFERROR(VLOOKUP($A2415,EVENTO!$A$2:$C$4999,3,FALSE),"")</f>
        <v>PREFEITURA MUNICIPAL DE CAUCAIA - SECRETARIA MUNICIPAL DE EDUCAÇÃO, CIÊNCIA E TECNOLOGIA</v>
      </c>
      <c r="D2415" s="78" t="s">
        <v>1752</v>
      </c>
      <c r="E2415" s="78" t="s">
        <v>1747</v>
      </c>
      <c r="F2415" s="59">
        <v>550.0</v>
      </c>
      <c r="G2415" s="98">
        <v>221.78</v>
      </c>
    </row>
    <row r="2416">
      <c r="A2416" s="6">
        <v>504.0</v>
      </c>
      <c r="B2416" s="76" t="str">
        <f>IFERROR(VLOOKUP($A2416,EVENTO!$A$2:$C$4999,2,FALSE),"")</f>
        <v>ADITIVO DE QUANTIDADE</v>
      </c>
      <c r="C2416" s="76" t="str">
        <f>IFERROR(VLOOKUP($A2416,EVENTO!$A$2:$C$4999,3,FALSE),"")</f>
        <v>PREFEITURA MUNICIPAL DE CAUCAIA - SECRETARIA MUNICIPAL DE EDUCAÇÃO, CIÊNCIA E TECNOLOGIA</v>
      </c>
      <c r="D2416" s="78" t="s">
        <v>1782</v>
      </c>
      <c r="E2416" s="78" t="s">
        <v>1749</v>
      </c>
      <c r="F2416" s="59">
        <v>72.0</v>
      </c>
      <c r="G2416" s="98">
        <v>173.93</v>
      </c>
    </row>
    <row r="2417">
      <c r="A2417" s="6">
        <v>504.0</v>
      </c>
      <c r="B2417" s="76" t="str">
        <f>IFERROR(VLOOKUP($A2417,EVENTO!$A$2:$C$4999,2,FALSE),"")</f>
        <v>ADITIVO DE QUANTIDADE</v>
      </c>
      <c r="C2417" s="76" t="str">
        <f>IFERROR(VLOOKUP($A2417,EVENTO!$A$2:$C$4999,3,FALSE),"")</f>
        <v>PREFEITURA MUNICIPAL DE CAUCAIA - SECRETARIA MUNICIPAL DE EDUCAÇÃO, CIÊNCIA E TECNOLOGIA</v>
      </c>
      <c r="D2417" s="78" t="s">
        <v>1843</v>
      </c>
      <c r="E2417" s="78" t="s">
        <v>1844</v>
      </c>
      <c r="F2417" s="59">
        <v>125.0</v>
      </c>
      <c r="G2417" s="98">
        <v>177.73</v>
      </c>
    </row>
    <row r="2418">
      <c r="A2418" s="6">
        <v>504.0</v>
      </c>
      <c r="B2418" s="76" t="str">
        <f>IFERROR(VLOOKUP($A2418,EVENTO!$A$2:$C$4999,2,FALSE),"")</f>
        <v>ADITIVO DE QUANTIDADE</v>
      </c>
      <c r="C2418" s="76" t="str">
        <f>IFERROR(VLOOKUP($A2418,EVENTO!$A$2:$C$4999,3,FALSE),"")</f>
        <v>PREFEITURA MUNICIPAL DE CAUCAIA - SECRETARIA MUNICIPAL DE EDUCAÇÃO, CIÊNCIA E TECNOLOGIA</v>
      </c>
      <c r="D2418" s="78" t="s">
        <v>1798</v>
      </c>
      <c r="E2418" s="78" t="s">
        <v>1845</v>
      </c>
      <c r="F2418" s="59">
        <v>5.0</v>
      </c>
      <c r="G2418" s="98">
        <v>638.01</v>
      </c>
    </row>
    <row r="2419">
      <c r="A2419" s="6">
        <v>504.0</v>
      </c>
      <c r="B2419" s="76" t="str">
        <f>IFERROR(VLOOKUP($A2419,EVENTO!$A$2:$C$4999,2,FALSE),"")</f>
        <v>ADITIVO DE QUANTIDADE</v>
      </c>
      <c r="C2419" s="76" t="str">
        <f>IFERROR(VLOOKUP($A2419,EVENTO!$A$2:$C$4999,3,FALSE),"")</f>
        <v>PREFEITURA MUNICIPAL DE CAUCAIA - SECRETARIA MUNICIPAL DE EDUCAÇÃO, CIÊNCIA E TECNOLOGIA</v>
      </c>
      <c r="D2419" s="78" t="s">
        <v>1800</v>
      </c>
      <c r="E2419" s="78" t="s">
        <v>1846</v>
      </c>
      <c r="F2419" s="59">
        <v>2.0</v>
      </c>
      <c r="G2419" s="98">
        <v>290.14</v>
      </c>
    </row>
    <row r="2420">
      <c r="A2420" s="6">
        <v>504.0</v>
      </c>
      <c r="B2420" s="76" t="str">
        <f>IFERROR(VLOOKUP($A2420,EVENTO!$A$2:$C$4999,2,FALSE),"")</f>
        <v>ADITIVO DE QUANTIDADE</v>
      </c>
      <c r="C2420" s="76" t="str">
        <f>IFERROR(VLOOKUP($A2420,EVENTO!$A$2:$C$4999,3,FALSE),"")</f>
        <v>PREFEITURA MUNICIPAL DE CAUCAIA - SECRETARIA MUNICIPAL DE EDUCAÇÃO, CIÊNCIA E TECNOLOGIA</v>
      </c>
      <c r="D2420" s="78" t="s">
        <v>1821</v>
      </c>
      <c r="E2420" s="78" t="s">
        <v>1822</v>
      </c>
      <c r="F2420" s="59">
        <v>1.0</v>
      </c>
      <c r="G2420" s="98">
        <v>470.91</v>
      </c>
    </row>
    <row r="2421">
      <c r="A2421" s="6">
        <v>504.0</v>
      </c>
      <c r="B2421" s="76" t="str">
        <f>IFERROR(VLOOKUP($A2421,EVENTO!$A$2:$C$4999,2,FALSE),"")</f>
        <v>ADITIVO DE QUANTIDADE</v>
      </c>
      <c r="C2421" s="76" t="str">
        <f>IFERROR(VLOOKUP($A2421,EVENTO!$A$2:$C$4999,3,FALSE),"")</f>
        <v>PREFEITURA MUNICIPAL DE CAUCAIA - SECRETARIA MUNICIPAL DE EDUCAÇÃO, CIÊNCIA E TECNOLOGIA</v>
      </c>
      <c r="D2421" s="78" t="s">
        <v>1847</v>
      </c>
      <c r="E2421" s="78" t="s">
        <v>1802</v>
      </c>
      <c r="F2421" s="59">
        <v>320.0</v>
      </c>
      <c r="G2421" s="98">
        <v>286.34</v>
      </c>
    </row>
    <row r="2422">
      <c r="A2422" s="6">
        <v>504.0</v>
      </c>
      <c r="B2422" s="76" t="str">
        <f>IFERROR(VLOOKUP($A2422,EVENTO!$A$2:$C$4999,2,FALSE),"")</f>
        <v>ADITIVO DE QUANTIDADE</v>
      </c>
      <c r="C2422" s="76" t="str">
        <f>IFERROR(VLOOKUP($A2422,EVENTO!$A$2:$C$4999,3,FALSE),"")</f>
        <v>PREFEITURA MUNICIPAL DE CAUCAIA - SECRETARIA MUNICIPAL DE EDUCAÇÃO, CIÊNCIA E TECNOLOGIA</v>
      </c>
      <c r="D2422" s="78" t="s">
        <v>1848</v>
      </c>
      <c r="E2422" s="78" t="s">
        <v>1813</v>
      </c>
      <c r="F2422" s="59">
        <v>25.0</v>
      </c>
      <c r="G2422" s="98">
        <v>234.7</v>
      </c>
    </row>
    <row r="2423">
      <c r="A2423" s="6">
        <v>504.0</v>
      </c>
      <c r="B2423" s="76" t="str">
        <f>IFERROR(VLOOKUP($A2423,EVENTO!$A$2:$C$4999,2,FALSE),"")</f>
        <v>ADITIVO DE QUANTIDADE</v>
      </c>
      <c r="C2423" s="76" t="str">
        <f>IFERROR(VLOOKUP($A2423,EVENTO!$A$2:$C$4999,3,FALSE),"")</f>
        <v>PREFEITURA MUNICIPAL DE CAUCAIA - SECRETARIA MUNICIPAL DE EDUCAÇÃO, CIÊNCIA E TECNOLOGIA</v>
      </c>
      <c r="D2423" s="78" t="s">
        <v>1849</v>
      </c>
      <c r="E2423" s="78" t="s">
        <v>1759</v>
      </c>
      <c r="F2423" s="59">
        <v>67.0</v>
      </c>
      <c r="G2423" s="98">
        <v>148.11</v>
      </c>
    </row>
    <row r="2424">
      <c r="A2424" s="6">
        <v>504.0</v>
      </c>
      <c r="B2424" s="76" t="str">
        <f>IFERROR(VLOOKUP($A2424,EVENTO!$A$2:$C$4999,2,FALSE),"")</f>
        <v>ADITIVO DE QUANTIDADE</v>
      </c>
      <c r="C2424" s="76" t="str">
        <f>IFERROR(VLOOKUP($A2424,EVENTO!$A$2:$C$4999,3,FALSE),"")</f>
        <v>PREFEITURA MUNICIPAL DE CAUCAIA - SECRETARIA MUNICIPAL DE EDUCAÇÃO, CIÊNCIA E TECNOLOGIA</v>
      </c>
      <c r="D2424" s="78" t="s">
        <v>1807</v>
      </c>
      <c r="E2424" s="78" t="s">
        <v>1850</v>
      </c>
      <c r="F2424" s="59">
        <v>5.0</v>
      </c>
      <c r="G2424" s="98">
        <v>201.73</v>
      </c>
    </row>
    <row r="2425">
      <c r="A2425" s="6">
        <v>504.0</v>
      </c>
      <c r="B2425" s="76" t="str">
        <f>IFERROR(VLOOKUP($A2425,EVENTO!$A$2:$C$4999,2,FALSE),"")</f>
        <v>ADITIVO DE QUANTIDADE</v>
      </c>
      <c r="C2425" s="76" t="str">
        <f>IFERROR(VLOOKUP($A2425,EVENTO!$A$2:$C$4999,3,FALSE),"")</f>
        <v>PREFEITURA MUNICIPAL DE CAUCAIA - SECRETARIA MUNICIPAL DE EDUCAÇÃO, CIÊNCIA E TECNOLOGIA</v>
      </c>
      <c r="D2425" s="78" t="s">
        <v>1766</v>
      </c>
      <c r="E2425" s="78" t="s">
        <v>1767</v>
      </c>
      <c r="F2425" s="59">
        <v>5.0</v>
      </c>
      <c r="G2425" s="98">
        <v>181.17</v>
      </c>
    </row>
    <row r="2426">
      <c r="A2426" s="6">
        <v>504.0</v>
      </c>
      <c r="B2426" s="76" t="str">
        <f>IFERROR(VLOOKUP($A2426,EVENTO!$A$2:$C$4999,2,FALSE),"")</f>
        <v>ADITIVO DE QUANTIDADE</v>
      </c>
      <c r="C2426" s="76" t="str">
        <f>IFERROR(VLOOKUP($A2426,EVENTO!$A$2:$C$4999,3,FALSE),"")</f>
        <v>PREFEITURA MUNICIPAL DE CAUCAIA - SECRETARIA MUNICIPAL DE EDUCAÇÃO, CIÊNCIA E TECNOLOGIA</v>
      </c>
      <c r="D2426" s="78" t="s">
        <v>1851</v>
      </c>
      <c r="E2426" s="78" t="s">
        <v>1769</v>
      </c>
      <c r="F2426" s="59">
        <v>5.0</v>
      </c>
      <c r="G2426" s="98">
        <v>283.89</v>
      </c>
    </row>
    <row r="2427">
      <c r="A2427" s="6">
        <v>504.0</v>
      </c>
      <c r="B2427" s="76" t="str">
        <f>IFERROR(VLOOKUP($A2427,EVENTO!$A$2:$C$4999,2,FALSE),"")</f>
        <v>ADITIVO DE QUANTIDADE</v>
      </c>
      <c r="C2427" s="76" t="str">
        <f>IFERROR(VLOOKUP($A2427,EVENTO!$A$2:$C$4999,3,FALSE),"")</f>
        <v>PREFEITURA MUNICIPAL DE CAUCAIA - SECRETARIA MUNICIPAL DE EDUCAÇÃO, CIÊNCIA E TECNOLOGIA</v>
      </c>
      <c r="D2427" s="78" t="s">
        <v>1852</v>
      </c>
      <c r="E2427" s="78" t="s">
        <v>1811</v>
      </c>
      <c r="F2427" s="59">
        <v>30.0</v>
      </c>
      <c r="G2427" s="98">
        <v>13.42</v>
      </c>
    </row>
    <row r="2428">
      <c r="A2428" s="6">
        <v>504.0</v>
      </c>
      <c r="B2428" s="76" t="str">
        <f>IFERROR(VLOOKUP($A2428,EVENTO!$A$2:$C$4999,2,FALSE),"")</f>
        <v>ADITIVO DE QUANTIDADE</v>
      </c>
      <c r="C2428" s="76" t="str">
        <f>IFERROR(VLOOKUP($A2428,EVENTO!$A$2:$C$4999,3,FALSE),"")</f>
        <v>PREFEITURA MUNICIPAL DE CAUCAIA - SECRETARIA MUNICIPAL DE EDUCAÇÃO, CIÊNCIA E TECNOLOGIA</v>
      </c>
      <c r="D2428" s="78" t="s">
        <v>1853</v>
      </c>
      <c r="E2428" s="78" t="s">
        <v>1812</v>
      </c>
      <c r="F2428" s="59">
        <v>5.0</v>
      </c>
      <c r="G2428" s="98">
        <v>36.65</v>
      </c>
    </row>
    <row r="2429">
      <c r="A2429" s="6">
        <v>504.0</v>
      </c>
      <c r="B2429" s="76" t="str">
        <f>IFERROR(VLOOKUP($A2429,EVENTO!$A$2:$C$4999,2,FALSE),"")</f>
        <v>ADITIVO DE QUANTIDADE</v>
      </c>
      <c r="C2429" s="76" t="str">
        <f>IFERROR(VLOOKUP($A2429,EVENTO!$A$2:$C$4999,3,FALSE),"")</f>
        <v>PREFEITURA MUNICIPAL DE CAUCAIA - SECRETARIA MUNICIPAL DE EDUCAÇÃO, CIÊNCIA E TECNOLOGIA</v>
      </c>
      <c r="D2429" s="78" t="s">
        <v>1854</v>
      </c>
      <c r="E2429" s="78" t="s">
        <v>1855</v>
      </c>
      <c r="F2429" s="59">
        <v>17.0</v>
      </c>
      <c r="G2429" s="98">
        <v>91.18</v>
      </c>
    </row>
    <row r="2430">
      <c r="A2430" s="6">
        <v>504.0</v>
      </c>
      <c r="B2430" s="76" t="str">
        <f>IFERROR(VLOOKUP($A2430,EVENTO!$A$2:$C$4999,2,FALSE),"")</f>
        <v>ADITIVO DE QUANTIDADE</v>
      </c>
      <c r="C2430" s="76" t="str">
        <f>IFERROR(VLOOKUP($A2430,EVENTO!$A$2:$C$4999,3,FALSE),"")</f>
        <v>PREFEITURA MUNICIPAL DE CAUCAIA - SECRETARIA MUNICIPAL DE EDUCAÇÃO, CIÊNCIA E TECNOLOGIA</v>
      </c>
      <c r="D2430" s="78" t="s">
        <v>1856</v>
      </c>
      <c r="E2430" s="78" t="s">
        <v>1777</v>
      </c>
      <c r="F2430" s="59">
        <v>7.0</v>
      </c>
      <c r="G2430" s="98">
        <v>29.23</v>
      </c>
    </row>
    <row r="2431">
      <c r="A2431" s="6">
        <v>504.0</v>
      </c>
      <c r="B2431" s="76" t="str">
        <f>IFERROR(VLOOKUP($A2431,EVENTO!$A$2:$C$4999,2,FALSE),"")</f>
        <v>ADITIVO DE QUANTIDADE</v>
      </c>
      <c r="C2431" s="76" t="str">
        <f>IFERROR(VLOOKUP($A2431,EVENTO!$A$2:$C$4999,3,FALSE),"")</f>
        <v>PREFEITURA MUNICIPAL DE CAUCAIA - SECRETARIA MUNICIPAL DE EDUCAÇÃO, CIÊNCIA E TECNOLOGIA</v>
      </c>
      <c r="D2431" s="78" t="s">
        <v>1857</v>
      </c>
      <c r="E2431" s="78" t="s">
        <v>1817</v>
      </c>
      <c r="F2431" s="59">
        <v>8.0</v>
      </c>
      <c r="G2431" s="98">
        <v>63.8</v>
      </c>
    </row>
    <row r="2432">
      <c r="A2432" s="6">
        <v>504.0</v>
      </c>
      <c r="B2432" s="76" t="str">
        <f>IFERROR(VLOOKUP($A2432,EVENTO!$A$2:$C$4999,2,FALSE),"")</f>
        <v>ADITIVO DE QUANTIDADE</v>
      </c>
      <c r="C2432" s="76" t="str">
        <f>IFERROR(VLOOKUP($A2432,EVENTO!$A$2:$C$4999,3,FALSE),"")</f>
        <v>PREFEITURA MUNICIPAL DE CAUCAIA - SECRETARIA MUNICIPAL DE EDUCAÇÃO, CIÊNCIA E TECNOLOGIA</v>
      </c>
      <c r="D2432" s="78" t="s">
        <v>1858</v>
      </c>
      <c r="E2432" s="78" t="s">
        <v>1504</v>
      </c>
      <c r="F2432" s="59">
        <v>10.0</v>
      </c>
      <c r="G2432" s="98">
        <v>41.95</v>
      </c>
    </row>
    <row r="2433">
      <c r="A2433" s="6">
        <v>437.0</v>
      </c>
      <c r="B2433" s="76" t="str">
        <f>IFERROR(VLOOKUP($A2433,EVENTO!$A$2:$C$4999,2,FALSE),"")</f>
        <v>ADITIVO DE PRAZO</v>
      </c>
      <c r="C2433" s="76" t="str">
        <f>IFERROR(VLOOKUP($A2433,EVENTO!$A$2:$C$4999,3,FALSE),"")</f>
        <v>ISG - HELV - 96210-20</v>
      </c>
      <c r="D2433" s="78" t="s">
        <v>1549</v>
      </c>
      <c r="E2433" s="6" t="s">
        <v>1550</v>
      </c>
      <c r="F2433" s="78">
        <v>80.0</v>
      </c>
      <c r="G2433" s="98">
        <v>139.0</v>
      </c>
    </row>
    <row r="2434">
      <c r="A2434" s="6">
        <v>438.0</v>
      </c>
      <c r="B2434" s="76" t="str">
        <f>IFERROR(VLOOKUP($A2434,EVENTO!$A$2:$C$4999,2,FALSE),"")</f>
        <v>ADITIVO DE PRAZO</v>
      </c>
      <c r="C2434" s="76" t="str">
        <f>IFERROR(VLOOKUP($A2434,EVENTO!$A$2:$C$4999,3,FALSE),"")</f>
        <v>ISG - HELV - 96210-20</v>
      </c>
      <c r="D2434" s="78" t="s">
        <v>1549</v>
      </c>
      <c r="E2434" s="6" t="s">
        <v>1550</v>
      </c>
      <c r="F2434" s="78">
        <v>80.0</v>
      </c>
      <c r="G2434" s="98">
        <v>139.0</v>
      </c>
    </row>
    <row r="2435">
      <c r="A2435" s="6">
        <v>440.0</v>
      </c>
      <c r="B2435" s="76" t="str">
        <f>IFERROR(VLOOKUP($A2435,EVENTO!$A$2:$C$4999,2,FALSE),"")</f>
        <v>ADITIVO DE PRAZO</v>
      </c>
      <c r="C2435" s="76" t="str">
        <f>IFERROR(VLOOKUP($A2435,EVENTO!$A$2:$C$4999,3,FALSE),"")</f>
        <v>ISG - HELV - 96210-20</v>
      </c>
      <c r="D2435" s="78" t="s">
        <v>1549</v>
      </c>
      <c r="E2435" s="6" t="s">
        <v>1550</v>
      </c>
      <c r="F2435" s="78">
        <v>80.0</v>
      </c>
      <c r="G2435" s="98">
        <v>139.0</v>
      </c>
    </row>
    <row r="2436">
      <c r="A2436" s="6">
        <v>441.0</v>
      </c>
      <c r="B2436" s="76" t="str">
        <f>IFERROR(VLOOKUP($A2436,EVENTO!$A$2:$C$4999,2,FALSE),"")</f>
        <v>ADITIVO DE PRAZO</v>
      </c>
      <c r="C2436" s="76" t="str">
        <f>IFERROR(VLOOKUP($A2436,EVENTO!$A$2:$C$4999,3,FALSE),"")</f>
        <v>ISG - HELV - 96210-20</v>
      </c>
      <c r="D2436" s="78" t="s">
        <v>1549</v>
      </c>
      <c r="E2436" s="6" t="s">
        <v>1550</v>
      </c>
      <c r="F2436" s="78">
        <v>80.0</v>
      </c>
      <c r="G2436" s="98">
        <v>139.0</v>
      </c>
    </row>
    <row r="2437">
      <c r="A2437" s="6">
        <v>505.0</v>
      </c>
      <c r="B2437" s="76" t="str">
        <f>IFERROR(VLOOKUP($A2437,EVENTO!$A$2:$C$4999,2,FALSE),"")</f>
        <v>CADASTRO</v>
      </c>
      <c r="C2437" s="76" t="str">
        <f>IFERROR(VLOOKUP($A2437,EVENTO!$A$2:$C$4999,3,FALSE),"")</f>
        <v>ISG - HELV - 102150-21</v>
      </c>
      <c r="D2437" s="78" t="s">
        <v>1859</v>
      </c>
      <c r="F2437" s="78">
        <v>2.0</v>
      </c>
      <c r="G2437" s="98">
        <v>249.0</v>
      </c>
    </row>
    <row r="2438">
      <c r="A2438" s="6">
        <v>505.0</v>
      </c>
      <c r="B2438" s="76" t="str">
        <f>IFERROR(VLOOKUP($A2438,EVENTO!$A$2:$C$4999,2,FALSE),"")</f>
        <v>CADASTRO</v>
      </c>
      <c r="C2438" s="76" t="str">
        <f>IFERROR(VLOOKUP($A2438,EVENTO!$A$2:$C$4999,3,FALSE),"")</f>
        <v>ISG - HELV - 102150-21</v>
      </c>
      <c r="D2438" s="78" t="s">
        <v>1860</v>
      </c>
      <c r="F2438" s="78">
        <v>1.0</v>
      </c>
      <c r="G2438" s="98">
        <v>168.0</v>
      </c>
    </row>
    <row r="2439">
      <c r="A2439" s="6">
        <v>506.0</v>
      </c>
      <c r="B2439" s="76" t="str">
        <f>IFERROR(VLOOKUP($A2439,EVENTO!$A$2:$C$4999,2,FALSE),"")</f>
        <v>ADITIVO DE PRAZO</v>
      </c>
      <c r="C2439" s="76" t="str">
        <f>IFERROR(VLOOKUP($A2439,EVENTO!$A$2:$C$4999,3,FALSE),"")</f>
        <v>ISG - HELV - 102150-21</v>
      </c>
      <c r="D2439" s="78" t="s">
        <v>1859</v>
      </c>
      <c r="F2439" s="78">
        <v>2.0</v>
      </c>
      <c r="G2439" s="98">
        <v>249.0</v>
      </c>
    </row>
    <row r="2440">
      <c r="A2440" s="6">
        <v>506.0</v>
      </c>
      <c r="B2440" s="76" t="str">
        <f>IFERROR(VLOOKUP($A2440,EVENTO!$A$2:$C$4999,2,FALSE),"")</f>
        <v>ADITIVO DE PRAZO</v>
      </c>
      <c r="C2440" s="76" t="str">
        <f>IFERROR(VLOOKUP($A2440,EVENTO!$A$2:$C$4999,3,FALSE),"")</f>
        <v>ISG - HELV - 102150-21</v>
      </c>
      <c r="D2440" s="78" t="s">
        <v>1860</v>
      </c>
      <c r="F2440" s="78">
        <v>1.0</v>
      </c>
      <c r="G2440" s="98">
        <v>168.0</v>
      </c>
    </row>
    <row r="2441">
      <c r="A2441" s="6">
        <v>507.0</v>
      </c>
      <c r="B2441" s="76" t="str">
        <f>IFERROR(VLOOKUP($A2441,EVENTO!$A$2:$C$4999,2,FALSE),"")</f>
        <v>ADITIVO DE PRAZO</v>
      </c>
      <c r="C2441" s="76" t="str">
        <f>IFERROR(VLOOKUP($A2441,EVENTO!$A$2:$C$4999,3,FALSE),"")</f>
        <v>ISG - HELV - 102150-21</v>
      </c>
      <c r="D2441" s="78" t="s">
        <v>1859</v>
      </c>
      <c r="F2441" s="78">
        <v>2.0</v>
      </c>
      <c r="G2441" s="98">
        <v>249.0</v>
      </c>
    </row>
    <row r="2442">
      <c r="A2442" s="6">
        <v>507.0</v>
      </c>
      <c r="B2442" s="76" t="str">
        <f>IFERROR(VLOOKUP($A2442,EVENTO!$A$2:$C$4999,2,FALSE),"")</f>
        <v>ADITIVO DE PRAZO</v>
      </c>
      <c r="C2442" s="76" t="str">
        <f>IFERROR(VLOOKUP($A2442,EVENTO!$A$2:$C$4999,3,FALSE),"")</f>
        <v>ISG - HELV - 102150-21</v>
      </c>
      <c r="D2442" s="78" t="s">
        <v>1860</v>
      </c>
      <c r="F2442" s="78">
        <v>1.0</v>
      </c>
      <c r="G2442" s="98">
        <v>168.0</v>
      </c>
    </row>
    <row r="2443">
      <c r="A2443" s="6">
        <v>508.0</v>
      </c>
      <c r="B2443" s="76" t="str">
        <f>IFERROR(VLOOKUP($A2443,EVENTO!$A$2:$C$4999,2,FALSE),"")</f>
        <v>ADITIVO DE PRAZO</v>
      </c>
      <c r="C2443" s="76" t="str">
        <f>IFERROR(VLOOKUP($A2443,EVENTO!$A$2:$C$4999,3,FALSE),"")</f>
        <v>ISG - HELV - 102150-21</v>
      </c>
      <c r="D2443" s="78" t="s">
        <v>1859</v>
      </c>
      <c r="F2443" s="78">
        <v>2.0</v>
      </c>
      <c r="G2443" s="98">
        <v>249.0</v>
      </c>
    </row>
    <row r="2444">
      <c r="A2444" s="6">
        <v>508.0</v>
      </c>
      <c r="B2444" s="76" t="str">
        <f>IFERROR(VLOOKUP($A2444,EVENTO!$A$2:$C$4999,2,FALSE),"")</f>
        <v>ADITIVO DE PRAZO</v>
      </c>
      <c r="C2444" s="76" t="str">
        <f>IFERROR(VLOOKUP($A2444,EVENTO!$A$2:$C$4999,3,FALSE),"")</f>
        <v>ISG - HELV - 102150-21</v>
      </c>
      <c r="D2444" s="78" t="s">
        <v>1860</v>
      </c>
      <c r="F2444" s="78">
        <v>1.0</v>
      </c>
      <c r="G2444" s="98">
        <v>168.0</v>
      </c>
    </row>
    <row r="2445">
      <c r="A2445" s="6">
        <v>509.0</v>
      </c>
      <c r="B2445" s="76" t="str">
        <f>IFERROR(VLOOKUP($A2445,EVENTO!$A$2:$C$4999,2,FALSE),"")</f>
        <v>ADITIVO DE PRAZO</v>
      </c>
      <c r="C2445" s="76" t="str">
        <f>IFERROR(VLOOKUP($A2445,EVENTO!$A$2:$C$4999,3,FALSE),"")</f>
        <v>ISG - HELV - 102150-21</v>
      </c>
      <c r="D2445" s="78" t="s">
        <v>1859</v>
      </c>
      <c r="F2445" s="78">
        <v>2.0</v>
      </c>
      <c r="G2445" s="98">
        <v>249.0</v>
      </c>
    </row>
    <row r="2446">
      <c r="A2446" s="6">
        <v>509.0</v>
      </c>
      <c r="B2446" s="76" t="str">
        <f>IFERROR(VLOOKUP($A2446,EVENTO!$A$2:$C$4999,2,FALSE),"")</f>
        <v>ADITIVO DE PRAZO</v>
      </c>
      <c r="C2446" s="76" t="str">
        <f>IFERROR(VLOOKUP($A2446,EVENTO!$A$2:$C$4999,3,FALSE),"")</f>
        <v>ISG - HELV - 102150-21</v>
      </c>
      <c r="D2446" s="78" t="s">
        <v>1860</v>
      </c>
      <c r="F2446" s="78">
        <v>1.0</v>
      </c>
      <c r="G2446" s="98">
        <v>168.0</v>
      </c>
    </row>
    <row r="2447">
      <c r="A2447" s="6">
        <v>510.0</v>
      </c>
      <c r="B2447" s="76" t="str">
        <f>IFERROR(VLOOKUP($A2447,EVENTO!$A$2:$C$4999,2,FALSE),"")</f>
        <v>CADASTRO</v>
      </c>
      <c r="C2447" s="76" t="str">
        <f>IFERROR(VLOOKUP($A2447,EVENTO!$A$2:$C$4999,3,FALSE),"")</f>
        <v>ISG - HGWA </v>
      </c>
      <c r="D2447" s="100" t="s">
        <v>1729</v>
      </c>
      <c r="E2447" s="4" t="s">
        <v>1732</v>
      </c>
      <c r="F2447" s="78">
        <v>6.0</v>
      </c>
      <c r="G2447" s="101">
        <v>97.0</v>
      </c>
    </row>
    <row r="2448">
      <c r="A2448" s="6">
        <v>511.0</v>
      </c>
      <c r="B2448" s="76" t="str">
        <f>IFERROR(VLOOKUP($A2448,EVENTO!$A$2:$C$4999,2,FALSE),"")</f>
        <v>CADASTRO</v>
      </c>
      <c r="C2448" s="76" t="str">
        <f>IFERROR(VLOOKUP($A2448,EVENTO!$A$2:$C$4999,3,FALSE),"")</f>
        <v>TOP TRANSPORTES</v>
      </c>
      <c r="D2448" s="78" t="s">
        <v>1861</v>
      </c>
      <c r="F2448" s="78">
        <v>1.0</v>
      </c>
      <c r="G2448" s="101">
        <v>90.0</v>
      </c>
    </row>
    <row r="2449">
      <c r="A2449" s="6">
        <v>512.0</v>
      </c>
      <c r="B2449" s="76" t="str">
        <f>IFERROR(VLOOKUP($A2449,EVENTO!$A$2:$C$4999,2,FALSE),"")</f>
        <v>ADITIVO DE PRAZO</v>
      </c>
      <c r="C2449" s="76" t="str">
        <f>IFERROR(VLOOKUP($A2449,EVENTO!$A$2:$C$4999,3,FALSE),"")</f>
        <v>TOP TRANSPORTES</v>
      </c>
      <c r="D2449" s="78" t="s">
        <v>1861</v>
      </c>
      <c r="F2449" s="78">
        <v>1.0</v>
      </c>
      <c r="G2449" s="101">
        <v>90.0</v>
      </c>
    </row>
    <row r="2450">
      <c r="A2450" s="6">
        <v>513.0</v>
      </c>
      <c r="B2450" s="76" t="str">
        <f>IFERROR(VLOOKUP($A2450,EVENTO!$A$2:$C$4999,2,FALSE),"")</f>
        <v>ADITIVO DE PRAZO</v>
      </c>
      <c r="C2450" s="76" t="str">
        <f>IFERROR(VLOOKUP($A2450,EVENTO!$A$2:$C$4999,3,FALSE),"")</f>
        <v>TOP TRANSPORTES</v>
      </c>
      <c r="D2450" s="78" t="s">
        <v>1861</v>
      </c>
      <c r="F2450" s="78">
        <v>1.0</v>
      </c>
      <c r="G2450" s="101">
        <v>90.0</v>
      </c>
    </row>
    <row r="2451">
      <c r="A2451" s="6">
        <v>514.0</v>
      </c>
      <c r="B2451" s="76" t="str">
        <f>IFERROR(VLOOKUP($A2451,EVENTO!$A$2:$C$4999,2,FALSE),"")</f>
        <v>ADITIVO DE PRAZO</v>
      </c>
      <c r="C2451" s="76" t="str">
        <f>IFERROR(VLOOKUP($A2451,EVENTO!$A$2:$C$4999,3,FALSE),"")</f>
        <v>TOP TRANSPORTES</v>
      </c>
      <c r="D2451" s="78" t="s">
        <v>1861</v>
      </c>
      <c r="F2451" s="78">
        <v>1.0</v>
      </c>
      <c r="G2451" s="101">
        <v>90.0</v>
      </c>
    </row>
    <row r="2452">
      <c r="A2452" s="6">
        <v>515.0</v>
      </c>
      <c r="B2452" s="76" t="str">
        <f>IFERROR(VLOOKUP($A2452,EVENTO!$A$2:$C$4999,2,FALSE),"")</f>
        <v>ADITIVO DE PRAZO</v>
      </c>
      <c r="C2452" s="76" t="str">
        <f>IFERROR(VLOOKUP($A2452,EVENTO!$A$2:$C$4999,3,FALSE),"")</f>
        <v>TOP TRANSPORTES</v>
      </c>
      <c r="D2452" s="78" t="s">
        <v>1861</v>
      </c>
      <c r="F2452" s="78">
        <v>1.0</v>
      </c>
      <c r="G2452" s="101">
        <v>90.0</v>
      </c>
      <c r="H2452" s="101"/>
    </row>
    <row r="2453">
      <c r="A2453" s="6">
        <v>516.0</v>
      </c>
      <c r="B2453" s="76" t="str">
        <f>IFERROR(VLOOKUP($A2453,EVENTO!$A$2:$C$4999,2,FALSE),"")</f>
        <v>CADASTRO</v>
      </c>
      <c r="C2453" s="76" t="str">
        <f>IFERROR(VLOOKUP($A2453,EVENTO!$A$2:$C$4999,3,FALSE),"")</f>
        <v>ANA KALINCA</v>
      </c>
      <c r="D2453" s="78" t="s">
        <v>1862</v>
      </c>
      <c r="F2453" s="78">
        <v>1.0</v>
      </c>
      <c r="G2453" s="101">
        <v>150.0</v>
      </c>
      <c r="H2453" s="101"/>
    </row>
    <row r="2454">
      <c r="A2454" s="6">
        <v>517.0</v>
      </c>
      <c r="B2454" s="76" t="str">
        <f>IFERROR(VLOOKUP($A2454,EVENTO!$A$2:$C$4999,2,FALSE),"")</f>
        <v>ADITIVO DE PRAZO</v>
      </c>
      <c r="C2454" s="76" t="str">
        <f>IFERROR(VLOOKUP($A2454,EVENTO!$A$2:$C$4999,3,FALSE),"")</f>
        <v>ANA KALINCA</v>
      </c>
      <c r="D2454" s="78" t="s">
        <v>1862</v>
      </c>
      <c r="F2454" s="78">
        <v>1.0</v>
      </c>
      <c r="G2454" s="101">
        <v>150.0</v>
      </c>
      <c r="H2454" s="101"/>
    </row>
    <row r="2455">
      <c r="A2455" s="6">
        <v>518.0</v>
      </c>
      <c r="B2455" s="76" t="str">
        <f>IFERROR(VLOOKUP($A2455,EVENTO!$A$2:$C$4999,2,FALSE),"")</f>
        <v>ADITIVO DE PRAZO</v>
      </c>
      <c r="C2455" s="76" t="str">
        <f>IFERROR(VLOOKUP($A2455,EVENTO!$A$2:$C$4999,3,FALSE),"")</f>
        <v>ANA KALINCA</v>
      </c>
      <c r="D2455" s="78" t="s">
        <v>1862</v>
      </c>
      <c r="F2455" s="78">
        <v>1.0</v>
      </c>
      <c r="G2455" s="101">
        <v>150.0</v>
      </c>
      <c r="H2455" s="101"/>
    </row>
    <row r="2456">
      <c r="A2456" s="6">
        <v>519.0</v>
      </c>
      <c r="B2456" s="76" t="str">
        <f>IFERROR(VLOOKUP($A2456,EVENTO!$A$2:$C$4999,2,FALSE),"")</f>
        <v>CADASTRO</v>
      </c>
      <c r="C2456" s="76" t="str">
        <f>IFERROR(VLOOKUP($A2456,EVENTO!$A$2:$C$4999,3,FALSE),"")</f>
        <v>PREFEITURA MUNICIPAL DE CAUCAIA - SECRETARIA DE SEGURANÇA PÚBLICA DE CAUCAIA</v>
      </c>
      <c r="D2456" s="78" t="s">
        <v>1744</v>
      </c>
      <c r="E2456" s="78" t="s">
        <v>1745</v>
      </c>
      <c r="F2456" s="78">
        <v>7.0</v>
      </c>
      <c r="G2456" s="101">
        <v>534.71</v>
      </c>
      <c r="H2456" s="101"/>
    </row>
    <row r="2457">
      <c r="A2457" s="6">
        <v>519.0</v>
      </c>
      <c r="B2457" s="76" t="str">
        <f>IFERROR(VLOOKUP($A2457,EVENTO!$A$2:$C$4999,2,FALSE),"")</f>
        <v>CADASTRO</v>
      </c>
      <c r="C2457" s="76" t="str">
        <f>IFERROR(VLOOKUP($A2457,EVENTO!$A$2:$C$4999,3,FALSE),"")</f>
        <v>PREFEITURA MUNICIPAL DE CAUCAIA - SECRETARIA DE SEGURANÇA PÚBLICA DE CAUCAIA</v>
      </c>
      <c r="D2457" s="78" t="s">
        <v>1750</v>
      </c>
      <c r="E2457" s="78" t="s">
        <v>1745</v>
      </c>
      <c r="F2457" s="78">
        <v>8.0</v>
      </c>
      <c r="G2457" s="101">
        <v>387.36</v>
      </c>
      <c r="H2457" s="101"/>
    </row>
    <row r="2458">
      <c r="A2458" s="6">
        <v>519.0</v>
      </c>
      <c r="B2458" s="76" t="str">
        <f>IFERROR(VLOOKUP($A2458,EVENTO!$A$2:$C$4999,2,FALSE),"")</f>
        <v>CADASTRO</v>
      </c>
      <c r="C2458" s="76" t="str">
        <f>IFERROR(VLOOKUP($A2458,EVENTO!$A$2:$C$4999,3,FALSE),"")</f>
        <v>PREFEITURA MUNICIPAL DE CAUCAIA - SECRETARIA DE SEGURANÇA PÚBLICA DE CAUCAIA</v>
      </c>
      <c r="D2458" s="78" t="s">
        <v>1847</v>
      </c>
      <c r="E2458" s="78" t="s">
        <v>1802</v>
      </c>
      <c r="F2458" s="78">
        <v>3.0</v>
      </c>
      <c r="G2458" s="101">
        <v>286.34</v>
      </c>
      <c r="H2458" s="101"/>
    </row>
    <row r="2459">
      <c r="A2459" s="6">
        <v>519.0</v>
      </c>
      <c r="B2459" s="76" t="str">
        <f>IFERROR(VLOOKUP($A2459,EVENTO!$A$2:$C$4999,2,FALSE),"")</f>
        <v>CADASTRO</v>
      </c>
      <c r="C2459" s="76" t="str">
        <f>IFERROR(VLOOKUP($A2459,EVENTO!$A$2:$C$4999,3,FALSE),"")</f>
        <v>PREFEITURA MUNICIPAL DE CAUCAIA - SECRETARIA DE SEGURANÇA PÚBLICA DE CAUCAIA</v>
      </c>
      <c r="D2459" s="78" t="s">
        <v>1849</v>
      </c>
      <c r="E2459" s="78" t="s">
        <v>1759</v>
      </c>
      <c r="F2459" s="78">
        <v>4.0</v>
      </c>
      <c r="G2459" s="101">
        <v>148.11</v>
      </c>
      <c r="H2459" s="101"/>
    </row>
    <row r="2460">
      <c r="A2460" s="6">
        <v>520.0</v>
      </c>
      <c r="B2460" s="76" t="str">
        <f>IFERROR(VLOOKUP($A2460,EVENTO!$A$2:$C$4999,2,FALSE),"")</f>
        <v>ADITIVO DE QUANTIDADE</v>
      </c>
      <c r="C2460" s="76" t="str">
        <f>IFERROR(VLOOKUP($A2460,EVENTO!$A$2:$C$4999,3,FALSE),"")</f>
        <v>PREFEITURA MUNICIPAL DE CAUCAIA - SECRETARIA DE SEGURANÇA PÚBLICA DE CAUCAIA</v>
      </c>
      <c r="D2460" s="78" t="s">
        <v>1744</v>
      </c>
      <c r="E2460" s="78" t="s">
        <v>1745</v>
      </c>
      <c r="F2460" s="78">
        <v>9.0</v>
      </c>
      <c r="G2460" s="101">
        <v>534.71</v>
      </c>
      <c r="H2460" s="101"/>
    </row>
    <row r="2461">
      <c r="A2461" s="6">
        <v>520.0</v>
      </c>
      <c r="B2461" s="76" t="str">
        <f>IFERROR(VLOOKUP($A2461,EVENTO!$A$2:$C$4999,2,FALSE),"")</f>
        <v>ADITIVO DE QUANTIDADE</v>
      </c>
      <c r="C2461" s="76" t="str">
        <f>IFERROR(VLOOKUP($A2461,EVENTO!$A$2:$C$4999,3,FALSE),"")</f>
        <v>PREFEITURA MUNICIPAL DE CAUCAIA - SECRETARIA DE SEGURANÇA PÚBLICA DE CAUCAIA</v>
      </c>
      <c r="D2461" s="78" t="s">
        <v>1750</v>
      </c>
      <c r="E2461" s="78" t="s">
        <v>1745</v>
      </c>
      <c r="F2461" s="78">
        <v>10.0</v>
      </c>
      <c r="G2461" s="101">
        <v>387.36</v>
      </c>
      <c r="H2461" s="101"/>
    </row>
    <row r="2462">
      <c r="A2462" s="6">
        <v>520.0</v>
      </c>
      <c r="B2462" s="76" t="str">
        <f>IFERROR(VLOOKUP($A2462,EVENTO!$A$2:$C$4999,2,FALSE),"")</f>
        <v>ADITIVO DE QUANTIDADE</v>
      </c>
      <c r="C2462" s="76" t="str">
        <f>IFERROR(VLOOKUP($A2462,EVENTO!$A$2:$C$4999,3,FALSE),"")</f>
        <v>PREFEITURA MUNICIPAL DE CAUCAIA - SECRETARIA DE SEGURANÇA PÚBLICA DE CAUCAIA</v>
      </c>
      <c r="D2462" s="78" t="s">
        <v>1847</v>
      </c>
      <c r="E2462" s="78" t="s">
        <v>1802</v>
      </c>
      <c r="F2462" s="78">
        <v>3.0</v>
      </c>
      <c r="G2462" s="101">
        <v>286.34</v>
      </c>
      <c r="H2462" s="101"/>
    </row>
    <row r="2463">
      <c r="A2463" s="6">
        <v>520.0</v>
      </c>
      <c r="B2463" s="76" t="str">
        <f>IFERROR(VLOOKUP($A2463,EVENTO!$A$2:$C$4999,2,FALSE),"")</f>
        <v>ADITIVO DE QUANTIDADE</v>
      </c>
      <c r="C2463" s="76" t="str">
        <f>IFERROR(VLOOKUP($A2463,EVENTO!$A$2:$C$4999,3,FALSE),"")</f>
        <v>PREFEITURA MUNICIPAL DE CAUCAIA - SECRETARIA DE SEGURANÇA PÚBLICA DE CAUCAIA</v>
      </c>
      <c r="D2463" s="78" t="s">
        <v>1849</v>
      </c>
      <c r="E2463" s="78" t="s">
        <v>1759</v>
      </c>
      <c r="F2463" s="78">
        <v>5.0</v>
      </c>
      <c r="G2463" s="101">
        <v>148.11</v>
      </c>
      <c r="H2463" s="101"/>
    </row>
    <row r="2464">
      <c r="A2464" s="6">
        <v>525.0</v>
      </c>
      <c r="B2464" s="76" t="str">
        <f>IFERROR(VLOOKUP($A2464,EVENTO!$A$2:$C$4999,2,FALSE),"")</f>
        <v>CADASTRO</v>
      </c>
      <c r="C2464" s="76" t="str">
        <f>IFERROR(VLOOKUP($A2464,EVENTO!$A$2:$C$4999,3,FALSE),"")</f>
        <v>EsPCEx</v>
      </c>
      <c r="D2464" s="78" t="s">
        <v>1861</v>
      </c>
      <c r="F2464" s="78">
        <v>2.0</v>
      </c>
      <c r="G2464" s="101"/>
      <c r="H2464" s="101"/>
    </row>
    <row r="2465">
      <c r="A2465" s="6">
        <v>525.0</v>
      </c>
      <c r="B2465" s="76" t="str">
        <f>IFERROR(VLOOKUP($A2465,EVENTO!$A$2:$C$4999,2,FALSE),"")</f>
        <v>CADASTRO</v>
      </c>
      <c r="C2465" s="76" t="str">
        <f>IFERROR(VLOOKUP($A2465,EVENTO!$A$2:$C$4999,3,FALSE),"")</f>
        <v>EsPCEx</v>
      </c>
      <c r="D2465" s="78" t="s">
        <v>1863</v>
      </c>
      <c r="F2465" s="78">
        <v>1.0</v>
      </c>
      <c r="G2465" s="101"/>
      <c r="H2465" s="101"/>
    </row>
    <row r="2466">
      <c r="A2466" s="6">
        <v>526.0</v>
      </c>
      <c r="B2466" s="76" t="str">
        <f>IFERROR(VLOOKUP($A2466,EVENTO!$A$2:$C$4999,2,FALSE),"")</f>
        <v>ADITIVO DE REAJUSTE E PRAZO</v>
      </c>
      <c r="C2466" s="76" t="str">
        <f>IFERROR(VLOOKUP($A2466,EVENTO!$A$2:$C$4999,3,FALSE),"")</f>
        <v>EsPCEx</v>
      </c>
      <c r="D2466" s="78" t="s">
        <v>1861</v>
      </c>
      <c r="F2466" s="78">
        <v>2.0</v>
      </c>
      <c r="G2466" s="101"/>
    </row>
    <row r="2467">
      <c r="A2467" s="6">
        <v>526.0</v>
      </c>
      <c r="B2467" s="76" t="str">
        <f>IFERROR(VLOOKUP($A2467,EVENTO!$A$2:$C$4999,2,FALSE),"")</f>
        <v>ADITIVO DE REAJUSTE E PRAZO</v>
      </c>
      <c r="C2467" s="76" t="str">
        <f>IFERROR(VLOOKUP($A2467,EVENTO!$A$2:$C$4999,3,FALSE),"")</f>
        <v>EsPCEx</v>
      </c>
      <c r="D2467" s="78" t="s">
        <v>1863</v>
      </c>
      <c r="F2467" s="78">
        <v>1.0</v>
      </c>
      <c r="G2467" s="101"/>
    </row>
    <row r="2468">
      <c r="A2468" s="6">
        <v>527.0</v>
      </c>
      <c r="B2468" s="76" t="str">
        <f>IFERROR(VLOOKUP($A2468,EVENTO!$A$2:$C$4999,2,FALSE),"")</f>
        <v>ADITIVO DE REAJUSTE E PRAZO</v>
      </c>
      <c r="C2468" s="76" t="str">
        <f>IFERROR(VLOOKUP($A2468,EVENTO!$A$2:$C$4999,3,FALSE),"")</f>
        <v>EsPCEx</v>
      </c>
      <c r="D2468" s="78" t="s">
        <v>1861</v>
      </c>
      <c r="F2468" s="78">
        <v>2.0</v>
      </c>
      <c r="G2468" s="101"/>
    </row>
    <row r="2469">
      <c r="A2469" s="6">
        <v>527.0</v>
      </c>
      <c r="B2469" s="76" t="str">
        <f>IFERROR(VLOOKUP($A2469,EVENTO!$A$2:$C$4999,2,FALSE),"")</f>
        <v>ADITIVO DE REAJUSTE E PRAZO</v>
      </c>
      <c r="C2469" s="76" t="str">
        <f>IFERROR(VLOOKUP($A2469,EVENTO!$A$2:$C$4999,3,FALSE),"")</f>
        <v>EsPCEx</v>
      </c>
      <c r="D2469" s="78" t="s">
        <v>1863</v>
      </c>
      <c r="F2469" s="78">
        <v>1.0</v>
      </c>
      <c r="G2469" s="101"/>
    </row>
    <row r="2470">
      <c r="A2470" s="6">
        <v>528.0</v>
      </c>
      <c r="B2470" s="76" t="str">
        <f>IFERROR(VLOOKUP($A2470,EVENTO!$A$2:$C$4999,2,FALSE),"")</f>
        <v>CADASTRO</v>
      </c>
      <c r="C2470" s="76" t="str">
        <f>IFERROR(VLOOKUP($A2470,EVENTO!$A$2:$C$4999,3,FALSE),"")</f>
        <v>FUNASA</v>
      </c>
      <c r="D2470" s="78" t="s">
        <v>1861</v>
      </c>
      <c r="F2470" s="78">
        <v>7.0</v>
      </c>
      <c r="G2470" s="101"/>
    </row>
    <row r="2471">
      <c r="A2471" s="6">
        <v>528.0</v>
      </c>
      <c r="B2471" s="76" t="str">
        <f>IFERROR(VLOOKUP($A2471,EVENTO!$A$2:$C$4999,2,FALSE),"")</f>
        <v>CADASTRO</v>
      </c>
      <c r="C2471" s="76" t="str">
        <f>IFERROR(VLOOKUP($A2471,EVENTO!$A$2:$C$4999,3,FALSE),"")</f>
        <v>FUNASA</v>
      </c>
      <c r="D2471" s="78" t="s">
        <v>1863</v>
      </c>
      <c r="F2471" s="78">
        <v>1.0</v>
      </c>
      <c r="G2471" s="101"/>
    </row>
    <row r="2472">
      <c r="A2472" s="6">
        <v>529.0</v>
      </c>
      <c r="B2472" s="76" t="str">
        <f>IFERROR(VLOOKUP($A2472,EVENTO!$A$2:$C$4999,2,FALSE),"")</f>
        <v>ADITIVO DE PRAZO</v>
      </c>
      <c r="C2472" s="76" t="str">
        <f>IFERROR(VLOOKUP($A2472,EVENTO!$A$2:$C$4999,3,FALSE),"")</f>
        <v>FUNASA</v>
      </c>
      <c r="D2472" s="78" t="s">
        <v>1861</v>
      </c>
      <c r="F2472" s="78">
        <v>7.0</v>
      </c>
      <c r="G2472" s="101"/>
    </row>
    <row r="2473">
      <c r="A2473" s="6">
        <v>529.0</v>
      </c>
      <c r="B2473" s="76" t="str">
        <f>IFERROR(VLOOKUP($A2473,EVENTO!$A$2:$C$4999,2,FALSE),"")</f>
        <v>ADITIVO DE PRAZO</v>
      </c>
      <c r="C2473" s="76" t="str">
        <f>IFERROR(VLOOKUP($A2473,EVENTO!$A$2:$C$4999,3,FALSE),"")</f>
        <v>FUNASA</v>
      </c>
      <c r="D2473" s="78" t="s">
        <v>1863</v>
      </c>
      <c r="F2473" s="78">
        <v>1.0</v>
      </c>
      <c r="G2473" s="101"/>
    </row>
    <row r="2474">
      <c r="A2474" s="6">
        <v>530.0</v>
      </c>
      <c r="B2474" s="76" t="str">
        <f>IFERROR(VLOOKUP($A2474,EVENTO!$A$2:$C$4999,2,FALSE),"")</f>
        <v>ADITIVO DE PRAZO</v>
      </c>
      <c r="C2474" s="76" t="str">
        <f>IFERROR(VLOOKUP($A2474,EVENTO!$A$2:$C$4999,3,FALSE),"")</f>
        <v>FUNASA</v>
      </c>
      <c r="D2474" s="78" t="s">
        <v>1861</v>
      </c>
      <c r="F2474" s="78">
        <v>7.0</v>
      </c>
      <c r="G2474" s="101"/>
    </row>
    <row r="2475">
      <c r="A2475" s="6">
        <v>530.0</v>
      </c>
      <c r="B2475" s="76" t="str">
        <f>IFERROR(VLOOKUP($A2475,EVENTO!$A$2:$C$4999,2,FALSE),"")</f>
        <v>ADITIVO DE PRAZO</v>
      </c>
      <c r="C2475" s="76" t="str">
        <f>IFERROR(VLOOKUP($A2475,EVENTO!$A$2:$C$4999,3,FALSE),"")</f>
        <v>FUNASA</v>
      </c>
      <c r="D2475" s="78" t="s">
        <v>1863</v>
      </c>
      <c r="F2475" s="78">
        <v>1.0</v>
      </c>
      <c r="G2475" s="101"/>
    </row>
    <row r="2476">
      <c r="A2476" s="6">
        <v>531.0</v>
      </c>
      <c r="B2476" s="76" t="str">
        <f>IFERROR(VLOOKUP($A2476,EVENTO!$A$2:$C$4999,2,FALSE),"")</f>
        <v>CADASTRO</v>
      </c>
      <c r="C2476" s="76" t="str">
        <f>IFERROR(VLOOKUP($A2476,EVENTO!$A$2:$C$4999,3,FALSE),"")</f>
        <v>20º RCB</v>
      </c>
      <c r="D2476" s="78" t="s">
        <v>1861</v>
      </c>
      <c r="F2476" s="78">
        <v>4.0</v>
      </c>
      <c r="G2476" s="101">
        <v>700.0</v>
      </c>
    </row>
    <row r="2477">
      <c r="A2477" s="6">
        <v>531.0</v>
      </c>
      <c r="B2477" s="76" t="str">
        <f>IFERROR(VLOOKUP($A2477,EVENTO!$A$2:$C$4999,2,FALSE),"")</f>
        <v>CADASTRO</v>
      </c>
      <c r="C2477" s="76" t="str">
        <f>IFERROR(VLOOKUP($A2477,EVENTO!$A$2:$C$4999,3,FALSE),"")</f>
        <v>20º RCB</v>
      </c>
      <c r="D2477" s="78" t="s">
        <v>1863</v>
      </c>
      <c r="F2477" s="78">
        <v>1.0</v>
      </c>
      <c r="G2477" s="101">
        <v>1020.0</v>
      </c>
    </row>
    <row r="2478">
      <c r="A2478" s="6">
        <v>532.0</v>
      </c>
      <c r="B2478" s="76" t="str">
        <f>IFERROR(VLOOKUP($A2478,EVENTO!$A$2:$C$4999,2,FALSE),"")</f>
        <v>ADITIVO DE REAJUSTE E PRAZO</v>
      </c>
      <c r="C2478" s="76" t="str">
        <f>IFERROR(VLOOKUP($A2478,EVENTO!$A$2:$C$4999,3,FALSE),"")</f>
        <v>20º RCB</v>
      </c>
      <c r="D2478" s="78" t="s">
        <v>1861</v>
      </c>
      <c r="F2478" s="78">
        <v>4.0</v>
      </c>
      <c r="G2478" s="101">
        <v>760.8</v>
      </c>
    </row>
    <row r="2479">
      <c r="A2479" s="6">
        <v>532.0</v>
      </c>
      <c r="B2479" s="76" t="str">
        <f>IFERROR(VLOOKUP($A2479,EVENTO!$A$2:$C$4999,2,FALSE),"")</f>
        <v>ADITIVO DE REAJUSTE E PRAZO</v>
      </c>
      <c r="C2479" s="76" t="str">
        <f>IFERROR(VLOOKUP($A2479,EVENTO!$A$2:$C$4999,3,FALSE),"")</f>
        <v>20º RCB</v>
      </c>
      <c r="D2479" s="78" t="s">
        <v>1863</v>
      </c>
      <c r="F2479" s="78">
        <v>1.0</v>
      </c>
      <c r="G2479" s="101">
        <v>1107.53</v>
      </c>
    </row>
    <row r="2480">
      <c r="A2480" s="6">
        <v>533.0</v>
      </c>
      <c r="B2480" s="76" t="str">
        <f>IFERROR(VLOOKUP($A2480,EVENTO!$A$2:$C$4999,2,FALSE),"")</f>
        <v>CADASTRO</v>
      </c>
      <c r="C2480" s="76" t="str">
        <f>IFERROR(VLOOKUP($A2480,EVENTO!$A$2:$C$4999,3,FALSE),"")</f>
        <v>COREN DF</v>
      </c>
      <c r="D2480" s="78" t="s">
        <v>1861</v>
      </c>
      <c r="E2480" s="6" t="s">
        <v>1864</v>
      </c>
      <c r="F2480" s="78">
        <v>6.0</v>
      </c>
      <c r="G2480" s="101"/>
    </row>
    <row r="2481">
      <c r="A2481" s="6">
        <v>533.0</v>
      </c>
      <c r="B2481" s="76" t="str">
        <f>IFERROR(VLOOKUP($A2481,EVENTO!$A$2:$C$4999,2,FALSE),"")</f>
        <v>CADASTRO</v>
      </c>
      <c r="C2481" s="76" t="str">
        <f>IFERROR(VLOOKUP($A2481,EVENTO!$A$2:$C$4999,3,FALSE),"")</f>
        <v>COREN DF</v>
      </c>
      <c r="D2481" s="78" t="s">
        <v>1863</v>
      </c>
      <c r="E2481" s="6" t="s">
        <v>1865</v>
      </c>
      <c r="F2481" s="78">
        <v>2.0</v>
      </c>
      <c r="G2481" s="101"/>
    </row>
    <row r="2482">
      <c r="A2482" s="6">
        <v>534.0</v>
      </c>
      <c r="B2482" s="76" t="str">
        <f>IFERROR(VLOOKUP($A2482,EVENTO!$A$2:$C$4999,2,FALSE),"")</f>
        <v>APOSTILAMENTO</v>
      </c>
      <c r="C2482" s="76" t="str">
        <f>IFERROR(VLOOKUP($A2482,EVENTO!$A$2:$C$4999,3,FALSE),"")</f>
        <v>COREN DF</v>
      </c>
      <c r="D2482" s="78" t="s">
        <v>1861</v>
      </c>
      <c r="E2482" s="6" t="s">
        <v>1864</v>
      </c>
      <c r="F2482" s="78">
        <v>6.0</v>
      </c>
      <c r="G2482" s="101"/>
    </row>
    <row r="2483">
      <c r="A2483" s="6">
        <v>534.0</v>
      </c>
      <c r="B2483" s="76" t="str">
        <f>IFERROR(VLOOKUP($A2483,EVENTO!$A$2:$C$4999,2,FALSE),"")</f>
        <v>APOSTILAMENTO</v>
      </c>
      <c r="C2483" s="76" t="str">
        <f>IFERROR(VLOOKUP($A2483,EVENTO!$A$2:$C$4999,3,FALSE),"")</f>
        <v>COREN DF</v>
      </c>
      <c r="D2483" s="78" t="s">
        <v>1863</v>
      </c>
      <c r="E2483" s="6" t="s">
        <v>1865</v>
      </c>
      <c r="F2483" s="78">
        <v>2.0</v>
      </c>
      <c r="G2483" s="101"/>
    </row>
    <row r="2484">
      <c r="A2484" s="6">
        <v>535.0</v>
      </c>
      <c r="B2484" s="76" t="str">
        <f>IFERROR(VLOOKUP($A2484,EVENTO!$A$2:$C$4999,2,FALSE),"")</f>
        <v>APOSTILAMENTO</v>
      </c>
      <c r="C2484" s="76" t="str">
        <f>IFERROR(VLOOKUP($A2484,EVENTO!$A$2:$C$4999,3,FALSE),"")</f>
        <v>COREN DF</v>
      </c>
      <c r="D2484" s="78" t="s">
        <v>1861</v>
      </c>
      <c r="E2484" s="6" t="s">
        <v>1864</v>
      </c>
      <c r="F2484" s="78">
        <v>6.0</v>
      </c>
      <c r="G2484" s="101"/>
    </row>
    <row r="2485">
      <c r="A2485" s="6">
        <v>535.0</v>
      </c>
      <c r="B2485" s="76" t="str">
        <f>IFERROR(VLOOKUP($A2485,EVENTO!$A$2:$C$4999,2,FALSE),"")</f>
        <v>APOSTILAMENTO</v>
      </c>
      <c r="C2485" s="76" t="str">
        <f>IFERROR(VLOOKUP($A2485,EVENTO!$A$2:$C$4999,3,FALSE),"")</f>
        <v>COREN DF</v>
      </c>
      <c r="D2485" s="78" t="s">
        <v>1863</v>
      </c>
      <c r="E2485" s="6" t="s">
        <v>1865</v>
      </c>
      <c r="F2485" s="78">
        <v>2.0</v>
      </c>
      <c r="G2485" s="101"/>
    </row>
    <row r="2486">
      <c r="A2486" s="6">
        <v>536.0</v>
      </c>
      <c r="B2486" s="76" t="str">
        <f>IFERROR(VLOOKUP($A2486,EVENTO!$A$2:$C$4999,2,FALSE),"")</f>
        <v>CADASTRO</v>
      </c>
      <c r="C2486" s="76" t="str">
        <f>IFERROR(VLOOKUP($A2486,EVENTO!$A$2:$C$4999,3,FALSE),"")</f>
        <v>PRIMEIRO CENTRO INTEGRADO DE DEFESA AÉREA E CONTROLE DE TRÁFEGO AÉREO - CINDACT 1 </v>
      </c>
      <c r="D2486" s="78" t="s">
        <v>1866</v>
      </c>
      <c r="E2486" s="6" t="s">
        <v>1867</v>
      </c>
      <c r="F2486" s="78">
        <v>7.0</v>
      </c>
      <c r="G2486" s="101"/>
    </row>
    <row r="2487">
      <c r="A2487" s="5">
        <v>537.0</v>
      </c>
      <c r="B2487" s="76" t="str">
        <f>IFERROR(VLOOKUP($A2487,EVENTO!$A$2:$C$4999,2,FALSE),"")</f>
        <v>CADASTRO</v>
      </c>
      <c r="C2487" s="76" t="str">
        <f>IFERROR(VLOOKUP($A2487,EVENTO!$A$2:$C$4999,3,FALSE),"")</f>
        <v>CRN1 DF</v>
      </c>
      <c r="D2487" s="78" t="s">
        <v>1868</v>
      </c>
      <c r="F2487" s="78">
        <v>2.0</v>
      </c>
      <c r="G2487" s="101">
        <v>240.83</v>
      </c>
    </row>
    <row r="2488">
      <c r="A2488" s="5">
        <v>538.0</v>
      </c>
      <c r="B2488" s="76" t="str">
        <f>IFERROR(VLOOKUP($A2488,EVENTO!$A$2:$C$4999,2,FALSE),"")</f>
        <v>CADASTRO</v>
      </c>
      <c r="C2488" s="76" t="str">
        <f>IFERROR(VLOOKUP($A2488,EVENTO!$A$2:$C$4999,3,FALSE),"")</f>
        <v>CENTRO DE LANÇAMENTO DE ALCÂNTARA - CLA </v>
      </c>
      <c r="D2488" s="78" t="s">
        <v>1869</v>
      </c>
      <c r="E2488" s="6" t="s">
        <v>1870</v>
      </c>
      <c r="F2488" s="78">
        <v>45.0</v>
      </c>
      <c r="G2488" s="101"/>
    </row>
    <row r="2489">
      <c r="A2489" s="5">
        <v>538.0</v>
      </c>
      <c r="B2489" s="76" t="str">
        <f>IFERROR(VLOOKUP($A2489,EVENTO!$A$2:$C$4999,2,FALSE),"")</f>
        <v>CADASTRO</v>
      </c>
      <c r="C2489" s="76" t="str">
        <f>IFERROR(VLOOKUP($A2489,EVENTO!$A$2:$C$4999,3,FALSE),"")</f>
        <v>CENTRO DE LANÇAMENTO DE ALCÂNTARA - CLA </v>
      </c>
      <c r="D2489" s="78" t="s">
        <v>1871</v>
      </c>
      <c r="E2489" s="6" t="s">
        <v>1872</v>
      </c>
      <c r="F2489" s="78">
        <v>7.0</v>
      </c>
      <c r="G2489" s="101"/>
    </row>
    <row r="2490">
      <c r="A2490" s="5">
        <v>540.0</v>
      </c>
      <c r="B2490" s="76" t="str">
        <f>IFERROR(VLOOKUP($A2490,EVENTO!$A$2:$C$4999,2,FALSE),"")</f>
        <v>CADASTRO</v>
      </c>
      <c r="C2490" s="76" t="str">
        <f>IFERROR(VLOOKUP($A2490,EVENTO!$A$2:$C$4999,3,FALSE),"")</f>
        <v>CISNORDESTE</v>
      </c>
      <c r="D2490" s="78" t="s">
        <v>1868</v>
      </c>
      <c r="E2490" s="6"/>
      <c r="F2490" s="78">
        <v>1.0</v>
      </c>
      <c r="G2490" s="101">
        <v>179.0</v>
      </c>
    </row>
    <row r="2491">
      <c r="A2491" s="5">
        <v>541.0</v>
      </c>
      <c r="B2491" s="76" t="str">
        <f>IFERROR(VLOOKUP($A2491,EVENTO!$A$2:$C$4999,2,FALSE),"")</f>
        <v>ADITIVO DE PRAZO</v>
      </c>
      <c r="C2491" s="76" t="str">
        <f>IFERROR(VLOOKUP($A2491,EVENTO!$A$2:$C$4999,3,FALSE),"")</f>
        <v>CISNORDESTE</v>
      </c>
      <c r="D2491" s="78" t="s">
        <v>1868</v>
      </c>
      <c r="E2491" s="6"/>
      <c r="F2491" s="78">
        <v>1.0</v>
      </c>
      <c r="G2491" s="101">
        <v>179.0</v>
      </c>
    </row>
    <row r="2492">
      <c r="A2492" s="5">
        <v>542.0</v>
      </c>
      <c r="B2492" s="76" t="str">
        <f>IFERROR(VLOOKUP($A2492,EVENTO!$A$2:$C$4999,2,FALSE),"")</f>
        <v>APOSTILAMENTO</v>
      </c>
      <c r="C2492" s="76" t="str">
        <f>IFERROR(VLOOKUP($A2492,EVENTO!$A$2:$C$4999,3,FALSE),"")</f>
        <v>CISNORDESTE</v>
      </c>
      <c r="D2492" s="78" t="s">
        <v>1868</v>
      </c>
      <c r="E2492" s="6"/>
      <c r="F2492" s="78">
        <v>1.0</v>
      </c>
      <c r="G2492" s="101">
        <v>187.65</v>
      </c>
    </row>
    <row r="2493">
      <c r="A2493" s="5">
        <v>543.0</v>
      </c>
      <c r="B2493" s="76" t="str">
        <f>IFERROR(VLOOKUP($A2493,EVENTO!$A$2:$C$4999,2,FALSE),"")</f>
        <v>CADASTRO</v>
      </c>
      <c r="C2493" s="76" t="str">
        <f>IFERROR(VLOOKUP($A2493,EVENTO!$A$2:$C$4999,3,FALSE),"")</f>
        <v>CREF</v>
      </c>
      <c r="D2493" s="78" t="s">
        <v>1863</v>
      </c>
      <c r="E2493" s="6" t="s">
        <v>1873</v>
      </c>
      <c r="F2493" s="78">
        <v>1.0</v>
      </c>
      <c r="G2493" s="78"/>
    </row>
    <row r="2494">
      <c r="A2494" s="6">
        <v>543.0</v>
      </c>
      <c r="B2494" s="76" t="str">
        <f>IFERROR(VLOOKUP($A2494,EVENTO!$A$2:$C$4999,2,FALSE),"")</f>
        <v>CADASTRO</v>
      </c>
      <c r="C2494" s="76" t="str">
        <f>IFERROR(VLOOKUP($A2494,EVENTO!$A$2:$C$4999,3,FALSE),"")</f>
        <v>CREF</v>
      </c>
      <c r="D2494" s="78" t="s">
        <v>1861</v>
      </c>
      <c r="E2494" s="6" t="s">
        <v>1585</v>
      </c>
      <c r="F2494" s="78">
        <v>2.0</v>
      </c>
      <c r="G2494" s="78"/>
    </row>
    <row r="2495">
      <c r="A2495" s="6">
        <v>545.0</v>
      </c>
      <c r="B2495" s="76" t="str">
        <f>IFERROR(VLOOKUP($A2495,EVENTO!$A$2:$C$4999,2,FALSE),"")</f>
        <v>CADASTRO</v>
      </c>
      <c r="C2495" s="76" t="str">
        <f>IFERROR(VLOOKUP($A2495,EVENTO!$A$2:$C$4999,3,FALSE),"")</f>
        <v>PREFEITURA MUNICIPAL DE TAUÁ - SECRETARIA DE DIREITOS HUMANOS, CIDADANIA E DIVERSIDADE</v>
      </c>
      <c r="D2495" s="78" t="s">
        <v>1868</v>
      </c>
      <c r="E2495" s="6" t="s">
        <v>1617</v>
      </c>
      <c r="F2495" s="78">
        <v>2.0</v>
      </c>
      <c r="G2495" s="101">
        <v>265.0</v>
      </c>
    </row>
    <row r="2496">
      <c r="A2496" s="6">
        <v>545.0</v>
      </c>
      <c r="B2496" s="76" t="str">
        <f>IFERROR(VLOOKUP($A2496,EVENTO!$A$2:$C$4999,2,FALSE),"")</f>
        <v>CADASTRO</v>
      </c>
      <c r="C2496" s="76" t="str">
        <f>IFERROR(VLOOKUP($A2496,EVENTO!$A$2:$C$4999,3,FALSE),"")</f>
        <v>PREFEITURA MUNICIPAL DE TAUÁ - SECRETARIA DE DIREITOS HUMANOS, CIDADANIA E DIVERSIDADE</v>
      </c>
      <c r="D2496" s="100" t="s">
        <v>1556</v>
      </c>
      <c r="E2496" s="6" t="s">
        <v>1619</v>
      </c>
      <c r="F2496" s="78">
        <v>4.0</v>
      </c>
      <c r="G2496" s="101">
        <v>207.0</v>
      </c>
    </row>
    <row r="2497">
      <c r="A2497" s="6">
        <v>551.0</v>
      </c>
      <c r="B2497" s="76" t="str">
        <f>IFERROR(VLOOKUP($A2497,EVENTO!$A$2:$C$4999,2,FALSE),"")</f>
        <v>CADASTRO</v>
      </c>
      <c r="C2497" s="76" t="str">
        <f>IFERROR(VLOOKUP($A2497,EVENTO!$A$2:$C$4999,3,FALSE),"")</f>
        <v>SECRETARIA EXTRAORDINÁRIA DE REPRESENTAÇÃO DO GOVERNO DO ESTADO DO AMAPÁ EM BRASÍLIA – SEAB</v>
      </c>
      <c r="D2497" s="78" t="s">
        <v>1861</v>
      </c>
      <c r="E2497" s="6" t="s">
        <v>1439</v>
      </c>
      <c r="F2497" s="78">
        <v>2.0</v>
      </c>
      <c r="G2497" s="78"/>
    </row>
    <row r="2498">
      <c r="A2498" s="6">
        <v>551.0</v>
      </c>
      <c r="B2498" s="76" t="str">
        <f>IFERROR(VLOOKUP($A2498,EVENTO!$A$2:$C$4999,2,FALSE),"")</f>
        <v>CADASTRO</v>
      </c>
      <c r="C2498" s="76" t="str">
        <f>IFERROR(VLOOKUP($A2498,EVENTO!$A$2:$C$4999,3,FALSE),"")</f>
        <v>SECRETARIA EXTRAORDINÁRIA DE REPRESENTAÇÃO DO GOVERNO DO ESTADO DO AMAPÁ EM BRASÍLIA – SEAB</v>
      </c>
      <c r="D2498" s="78" t="s">
        <v>1863</v>
      </c>
      <c r="E2498" s="6" t="s">
        <v>1874</v>
      </c>
      <c r="F2498" s="78">
        <v>1.0</v>
      </c>
      <c r="G2498" s="78"/>
    </row>
    <row r="2499">
      <c r="A2499" s="6">
        <v>552.0</v>
      </c>
      <c r="B2499" s="76" t="str">
        <f>IFERROR(VLOOKUP($A2499,EVENTO!$A$2:$C$4999,2,FALSE),"")</f>
        <v>ADITIVO DE QUANTIDADE</v>
      </c>
      <c r="C2499" s="76" t="str">
        <f>IFERROR(VLOOKUP($A2499,EVENTO!$A$2:$C$4999,3,FALSE),"")</f>
        <v>SECRETARIA EXTRAORDINÁRIA DE REPRESENTAÇÃO DO GOVERNO DO ESTADO DO AMAPÁ EM BRASÍLIA – SEAB</v>
      </c>
      <c r="D2499" s="78" t="s">
        <v>1861</v>
      </c>
      <c r="E2499" s="6" t="s">
        <v>1439</v>
      </c>
      <c r="F2499" s="78">
        <v>2.0</v>
      </c>
      <c r="G2499" s="80"/>
    </row>
    <row r="2500">
      <c r="A2500" s="6">
        <v>552.0</v>
      </c>
      <c r="B2500" s="76" t="str">
        <f>IFERROR(VLOOKUP($A2500,EVENTO!$A$2:$C$4999,2,FALSE),"")</f>
        <v>ADITIVO DE QUANTIDADE</v>
      </c>
      <c r="C2500" s="76" t="str">
        <f>IFERROR(VLOOKUP($A2500,EVENTO!$A$2:$C$4999,3,FALSE),"")</f>
        <v>SECRETARIA EXTRAORDINÁRIA DE REPRESENTAÇÃO DO GOVERNO DO ESTADO DO AMAPÁ EM BRASÍLIA – SEAB</v>
      </c>
      <c r="D2500" s="78" t="s">
        <v>1863</v>
      </c>
      <c r="E2500" s="6" t="s">
        <v>1874</v>
      </c>
      <c r="F2500" s="78">
        <v>2.0</v>
      </c>
      <c r="G2500" s="80"/>
    </row>
    <row r="2501">
      <c r="A2501" s="6">
        <v>554.0</v>
      </c>
      <c r="B2501" s="76" t="str">
        <f>IFERROR(VLOOKUP($A2501,EVENTO!$A$2:$C$4999,2,FALSE),"")</f>
        <v>CADASTRO</v>
      </c>
      <c r="C2501" s="76" t="str">
        <f>IFERROR(VLOOKUP($A2501,EVENTO!$A$2:$C$4999,3,FALSE),"")</f>
        <v>SECRETARIA DO DESENVOLVIMENTO ECONÔMICO - SDE</v>
      </c>
      <c r="D2501" s="78" t="s">
        <v>1861</v>
      </c>
      <c r="E2501" s="6" t="s">
        <v>1875</v>
      </c>
      <c r="F2501" s="78">
        <v>2.0</v>
      </c>
      <c r="G2501" s="79">
        <v>208.35</v>
      </c>
    </row>
    <row r="2502">
      <c r="A2502" s="6">
        <v>554.0</v>
      </c>
      <c r="B2502" s="76" t="str">
        <f>IFERROR(VLOOKUP($A2502,EVENTO!$A$2:$C$4999,2,FALSE),"")</f>
        <v>CADASTRO</v>
      </c>
      <c r="C2502" s="76" t="str">
        <f>IFERROR(VLOOKUP($A2502,EVENTO!$A$2:$C$4999,3,FALSE),"")</f>
        <v>SECRETARIA DO DESENVOLVIMENTO ECONÔMICO - SDE</v>
      </c>
      <c r="D2502" s="78" t="s">
        <v>1876</v>
      </c>
      <c r="E2502" s="6" t="s">
        <v>1877</v>
      </c>
      <c r="F2502" s="78">
        <v>1.0</v>
      </c>
      <c r="G2502" s="79">
        <v>1372.0</v>
      </c>
    </row>
    <row r="2503">
      <c r="A2503" s="6">
        <v>554.0</v>
      </c>
      <c r="B2503" s="76" t="str">
        <f>IFERROR(VLOOKUP($A2503,EVENTO!$A$2:$C$4999,2,FALSE),"")</f>
        <v>CADASTRO</v>
      </c>
      <c r="C2503" s="76" t="str">
        <f>IFERROR(VLOOKUP($A2503,EVENTO!$A$2:$C$4999,3,FALSE),"")</f>
        <v>SECRETARIA DO DESENVOLVIMENTO ECONÔMICO - SDE</v>
      </c>
      <c r="D2503" s="78" t="s">
        <v>1863</v>
      </c>
      <c r="E2503" s="6" t="s">
        <v>1878</v>
      </c>
      <c r="F2503" s="78">
        <v>2.0</v>
      </c>
      <c r="G2503" s="79">
        <v>1055.65</v>
      </c>
    </row>
    <row r="2504">
      <c r="A2504" s="6">
        <v>556.0</v>
      </c>
      <c r="B2504" s="76" t="str">
        <f>IFERROR(VLOOKUP($A2504,EVENTO!$A$2:$C$4999,2,FALSE),"")</f>
        <v>CADASTRO</v>
      </c>
      <c r="C2504" s="76" t="str">
        <f>IFERROR(VLOOKUP($A2504,EVENTO!$A$2:$C$4999,3,FALSE),"")</f>
        <v>MARANHÃO PARCEIRIAS - MAPA</v>
      </c>
      <c r="D2504" s="78" t="s">
        <v>1861</v>
      </c>
      <c r="E2504" s="6" t="s">
        <v>1441</v>
      </c>
      <c r="F2504" s="78">
        <v>8.0</v>
      </c>
      <c r="G2504" s="79">
        <v>278.12</v>
      </c>
    </row>
    <row r="2505">
      <c r="A2505" s="6">
        <v>556.0</v>
      </c>
      <c r="B2505" s="76" t="str">
        <f>IFERROR(VLOOKUP($A2505,EVENTO!$A$2:$C$4999,2,FALSE),"")</f>
        <v>CADASTRO</v>
      </c>
      <c r="C2505" s="76" t="str">
        <f>IFERROR(VLOOKUP($A2505,EVENTO!$A$2:$C$4999,3,FALSE),"")</f>
        <v>MARANHÃO PARCEIRIAS - MAPA</v>
      </c>
      <c r="D2505" s="78" t="s">
        <v>1876</v>
      </c>
      <c r="E2505" s="6" t="s">
        <v>1879</v>
      </c>
      <c r="F2505" s="78">
        <v>2.0</v>
      </c>
      <c r="G2505" s="79">
        <v>800.02</v>
      </c>
    </row>
    <row r="2506">
      <c r="A2506" s="6">
        <v>559.0</v>
      </c>
      <c r="B2506" s="76" t="str">
        <f>IFERROR(VLOOKUP($A2506,EVENTO!$A$2:$C$4999,2,FALSE),"")</f>
        <v>ADITIVO DE REAJUSTE E PRAZO</v>
      </c>
      <c r="C2506" s="76" t="str">
        <f>IFERROR(VLOOKUP($A2506,EVENTO!$A$2:$C$4999,3,FALSE),"")</f>
        <v>MARANHÃO PARCEIRIAS - MAPA</v>
      </c>
      <c r="D2506" s="78" t="s">
        <v>1861</v>
      </c>
      <c r="E2506" s="6" t="s">
        <v>1441</v>
      </c>
      <c r="F2506" s="78">
        <v>8.0</v>
      </c>
      <c r="G2506" s="79">
        <v>291.25</v>
      </c>
    </row>
    <row r="2507">
      <c r="A2507" s="6">
        <v>559.0</v>
      </c>
      <c r="B2507" s="76" t="str">
        <f>IFERROR(VLOOKUP($A2507,EVENTO!$A$2:$C$4999,2,FALSE),"")</f>
        <v>ADITIVO DE REAJUSTE E PRAZO</v>
      </c>
      <c r="C2507" s="76" t="str">
        <f>IFERROR(VLOOKUP($A2507,EVENTO!$A$2:$C$4999,3,FALSE),"")</f>
        <v>MARANHÃO PARCEIRIAS - MAPA</v>
      </c>
      <c r="D2507" s="78" t="s">
        <v>1876</v>
      </c>
      <c r="E2507" s="6" t="s">
        <v>1879</v>
      </c>
      <c r="F2507" s="78">
        <v>2.0</v>
      </c>
      <c r="G2507" s="79">
        <v>837.8</v>
      </c>
    </row>
    <row r="2508">
      <c r="A2508" s="6">
        <v>560.0</v>
      </c>
      <c r="B2508" s="76" t="str">
        <f>IFERROR(VLOOKUP($A2508,EVENTO!$A$2:$C$4999,2,FALSE),"")</f>
        <v>CADASTRO</v>
      </c>
      <c r="C2508" s="76" t="str">
        <f>IFERROR(VLOOKUP($A2508,EVENTO!$A$2:$C$4999,3,FALSE),"")</f>
        <v>REPRESENTAÇÃO DO MUNICÍPIO DE PALMAS - SECRETARIA MUNICIPAL DO GABINETE DO PREFEITO EM BRASILIA </v>
      </c>
      <c r="D2508" s="78" t="s">
        <v>1868</v>
      </c>
      <c r="E2508" s="6" t="s">
        <v>1880</v>
      </c>
      <c r="F2508" s="105">
        <v>1.0</v>
      </c>
      <c r="G2508" s="79">
        <v>372.5</v>
      </c>
    </row>
    <row r="2509">
      <c r="A2509" s="6">
        <v>560.0</v>
      </c>
      <c r="B2509" s="76" t="str">
        <f>IFERROR(VLOOKUP($A2509,EVENTO!$A$2:$C$4999,2,FALSE),"")</f>
        <v>CADASTRO</v>
      </c>
      <c r="C2509" s="76" t="str">
        <f>IFERROR(VLOOKUP($A2509,EVENTO!$A$2:$C$4999,3,FALSE),"")</f>
        <v>REPRESENTAÇÃO DO MUNICÍPIO DE PALMAS - SECRETARIA MUNICIPAL DO GABINETE DO PREFEITO EM BRASILIA </v>
      </c>
      <c r="D2509" s="78" t="s">
        <v>1881</v>
      </c>
      <c r="E2509" s="6" t="s">
        <v>1874</v>
      </c>
      <c r="F2509" s="105">
        <v>1.0</v>
      </c>
      <c r="G2509" s="79">
        <v>390.0</v>
      </c>
    </row>
    <row r="2510">
      <c r="A2510" s="6">
        <v>561.0</v>
      </c>
      <c r="B2510" s="76" t="str">
        <f>IFERROR(VLOOKUP($A2510,EVENTO!$A$2:$C$4999,2,FALSE),"")</f>
        <v>CADASTRO</v>
      </c>
      <c r="C2510" s="76" t="str">
        <f>IFERROR(VLOOKUP($A2510,EVENTO!$A$2:$C$4999,3,FALSE),"")</f>
        <v>VICE-PREFEITURA DE SÃO LUIS - GAVIC</v>
      </c>
      <c r="D2510" s="78" t="s">
        <v>1868</v>
      </c>
      <c r="E2510" s="6"/>
      <c r="F2510" s="78">
        <v>1.0</v>
      </c>
      <c r="G2510" s="79">
        <v>300.0</v>
      </c>
    </row>
    <row r="2511">
      <c r="A2511" s="6">
        <v>561.0</v>
      </c>
      <c r="B2511" s="76" t="str">
        <f>IFERROR(VLOOKUP($A2511,EVENTO!$A$2:$C$4999,2,FALSE),"")</f>
        <v>CADASTRO</v>
      </c>
      <c r="C2511" s="76" t="str">
        <f>IFERROR(VLOOKUP($A2511,EVENTO!$A$2:$C$4999,3,FALSE),"")</f>
        <v>VICE-PREFEITURA DE SÃO LUIS - GAVIC</v>
      </c>
      <c r="D2511" s="78" t="s">
        <v>1863</v>
      </c>
      <c r="E2511" s="6"/>
      <c r="F2511" s="78">
        <v>1.0</v>
      </c>
      <c r="G2511" s="79">
        <v>1191.66</v>
      </c>
    </row>
    <row r="2512">
      <c r="A2512" s="6">
        <v>562.0</v>
      </c>
      <c r="B2512" s="76" t="str">
        <f>IFERROR(VLOOKUP($A2512,EVENTO!$A$2:$C$4999,2,FALSE),"")</f>
        <v>ADITIVO DE REAJUSTE E PRAZO</v>
      </c>
      <c r="C2512" s="76" t="str">
        <f>IFERROR(VLOOKUP($A2512,EVENTO!$A$2:$C$4999,3,FALSE),"")</f>
        <v>VICE-PREFEITURA DE SÃO LUIS - GAVIC</v>
      </c>
      <c r="D2512" s="78" t="s">
        <v>1868</v>
      </c>
      <c r="E2512" s="6"/>
      <c r="F2512" s="78">
        <v>1.0</v>
      </c>
      <c r="G2512" s="79">
        <v>308.46</v>
      </c>
    </row>
    <row r="2513">
      <c r="A2513" s="6">
        <v>562.0</v>
      </c>
      <c r="B2513" s="76" t="str">
        <f>IFERROR(VLOOKUP($A2513,EVENTO!$A$2:$C$4999,2,FALSE),"")</f>
        <v>ADITIVO DE REAJUSTE E PRAZO</v>
      </c>
      <c r="C2513" s="76" t="str">
        <f>IFERROR(VLOOKUP($A2513,EVENTO!$A$2:$C$4999,3,FALSE),"")</f>
        <v>VICE-PREFEITURA DE SÃO LUIS - GAVIC</v>
      </c>
      <c r="D2513" s="78" t="s">
        <v>1863</v>
      </c>
      <c r="E2513" s="6"/>
      <c r="F2513" s="78">
        <v>1.0</v>
      </c>
      <c r="G2513" s="79">
        <v>1225.26</v>
      </c>
    </row>
    <row r="2514">
      <c r="A2514" s="6">
        <v>563.0</v>
      </c>
      <c r="B2514" s="76" t="str">
        <f>IFERROR(VLOOKUP($A2514,EVENTO!$A$2:$C$4999,2,FALSE),"")</f>
        <v>CADASTRO</v>
      </c>
      <c r="C2514" s="76" t="str">
        <f>IFERROR(VLOOKUP($A2514,EVENTO!$A$2:$C$4999,3,FALSE),"")</f>
        <v>SECRETARIA MUNICIPAL DE INOVAÇÃO, SUSTENTABILIDADE E PROJETOS ESPECIAIS – SEMISPE</v>
      </c>
      <c r="D2514" s="78" t="s">
        <v>1861</v>
      </c>
      <c r="E2514" s="6" t="s">
        <v>1476</v>
      </c>
      <c r="F2514" s="78">
        <v>1.0</v>
      </c>
      <c r="G2514" s="79">
        <v>284.58</v>
      </c>
    </row>
    <row r="2515">
      <c r="A2515" s="6">
        <v>563.0</v>
      </c>
      <c r="B2515" s="76" t="str">
        <f>IFERROR(VLOOKUP($A2515,EVENTO!$A$2:$C$4999,2,FALSE),"")</f>
        <v>CADASTRO</v>
      </c>
      <c r="C2515" s="76" t="str">
        <f>IFERROR(VLOOKUP($A2515,EVENTO!$A$2:$C$4999,3,FALSE),"")</f>
        <v>SECRETARIA MUNICIPAL DE INOVAÇÃO, SUSTENTABILIDADE E PROJETOS ESPECIAIS – SEMISPE</v>
      </c>
      <c r="D2515" s="78" t="s">
        <v>1863</v>
      </c>
      <c r="E2515" s="6" t="s">
        <v>1882</v>
      </c>
      <c r="F2515" s="78">
        <v>1.0</v>
      </c>
      <c r="G2515" s="79">
        <v>594.75</v>
      </c>
    </row>
    <row r="2516">
      <c r="A2516" s="6">
        <v>563.0</v>
      </c>
      <c r="B2516" s="76" t="str">
        <f>IFERROR(VLOOKUP($A2516,EVENTO!$A$2:$C$4999,2,FALSE),"")</f>
        <v>CADASTRO</v>
      </c>
      <c r="C2516" s="76" t="str">
        <f>IFERROR(VLOOKUP($A2516,EVENTO!$A$2:$C$4999,3,FALSE),"")</f>
        <v>SECRETARIA MUNICIPAL DE INOVAÇÃO, SUSTENTABILIDADE E PROJETOS ESPECIAIS – SEMISPE</v>
      </c>
      <c r="D2516" s="78" t="s">
        <v>1883</v>
      </c>
      <c r="E2516" s="6" t="s">
        <v>1884</v>
      </c>
      <c r="F2516" s="78">
        <v>1.0</v>
      </c>
      <c r="G2516" s="79">
        <v>1430.41</v>
      </c>
    </row>
    <row r="2517">
      <c r="A2517" s="6">
        <v>563.0</v>
      </c>
      <c r="B2517" s="76" t="str">
        <f>IFERROR(VLOOKUP($A2517,EVENTO!$A$2:$C$4999,2,FALSE),"")</f>
        <v>CADASTRO</v>
      </c>
      <c r="C2517" s="76" t="str">
        <f>IFERROR(VLOOKUP($A2517,EVENTO!$A$2:$C$4999,3,FALSE),"")</f>
        <v>SECRETARIA MUNICIPAL DE INOVAÇÃO, SUSTENTABILIDADE E PROJETOS ESPECIAIS – SEMISPE</v>
      </c>
      <c r="D2517" s="78" t="s">
        <v>1885</v>
      </c>
      <c r="E2517" s="6" t="s">
        <v>1886</v>
      </c>
      <c r="F2517" s="78">
        <v>1.0</v>
      </c>
      <c r="G2517" s="79">
        <v>1038.16</v>
      </c>
    </row>
    <row r="2518">
      <c r="A2518" s="6">
        <v>565.0</v>
      </c>
      <c r="B2518" s="76" t="str">
        <f>IFERROR(VLOOKUP($A2518,EVENTO!$A$2:$C$4999,2,FALSE),"")</f>
        <v>CADASTRO</v>
      </c>
      <c r="C2518" s="76" t="str">
        <f>IFERROR(VLOOKUP($A2518,EVENTO!$A$2:$C$4999,3,FALSE),"")</f>
        <v>CÂMARA MUNICIPAL DE CASCAVEL </v>
      </c>
      <c r="D2518" s="78" t="s">
        <v>1868</v>
      </c>
      <c r="F2518" s="78">
        <v>2.0</v>
      </c>
      <c r="G2518" s="79">
        <v>304.0</v>
      </c>
    </row>
    <row r="2519">
      <c r="A2519" s="6">
        <v>565.0</v>
      </c>
      <c r="B2519" s="76" t="str">
        <f>IFERROR(VLOOKUP($A2519,EVENTO!$A$2:$C$4999,2,FALSE),"")</f>
        <v>CADASTRO</v>
      </c>
      <c r="C2519" s="76" t="str">
        <f>IFERROR(VLOOKUP($A2519,EVENTO!$A$2:$C$4999,3,FALSE),"")</f>
        <v>CÂMARA MUNICIPAL DE CASCAVEL </v>
      </c>
      <c r="D2519" s="78" t="s">
        <v>1887</v>
      </c>
      <c r="F2519" s="78">
        <v>2.0</v>
      </c>
      <c r="G2519" s="79">
        <v>165.0</v>
      </c>
    </row>
    <row r="2520">
      <c r="A2520" s="6">
        <v>566.0</v>
      </c>
      <c r="B2520" s="76" t="str">
        <f>IFERROR(VLOOKUP($A2520,EVENTO!$A$2:$C$4999,2,FALSE),"")</f>
        <v>CADASTRO</v>
      </c>
      <c r="C2520" s="76" t="str">
        <f>IFERROR(VLOOKUP($A2520,EVENTO!$A$2:$C$4999,3,FALSE),"")</f>
        <v>SECRETARIA MUNICIPAL DE SEGURANÇA COM CIDADANIA−048/2024/SEMUSC</v>
      </c>
      <c r="D2520" s="78" t="s">
        <v>1888</v>
      </c>
      <c r="E2520" s="6" t="s">
        <v>1889</v>
      </c>
      <c r="F2520" s="59">
        <v>3.0</v>
      </c>
      <c r="G2520" s="79">
        <v>150.0</v>
      </c>
    </row>
    <row r="2521">
      <c r="A2521" s="6">
        <v>566.0</v>
      </c>
      <c r="B2521" s="76" t="str">
        <f>IFERROR(VLOOKUP($A2521,EVENTO!$A$2:$C$4999,2,FALSE),"")</f>
        <v>CADASTRO</v>
      </c>
      <c r="C2521" s="76" t="str">
        <f>IFERROR(VLOOKUP($A2521,EVENTO!$A$2:$C$4999,3,FALSE),"")</f>
        <v>SECRETARIA MUNICIPAL DE SEGURANÇA COM CIDADANIA−048/2024/SEMUSC</v>
      </c>
      <c r="D2521" s="78" t="s">
        <v>1890</v>
      </c>
      <c r="E2521" s="6" t="s">
        <v>1891</v>
      </c>
      <c r="F2521" s="59">
        <v>14.0</v>
      </c>
      <c r="G2521" s="79">
        <v>300.0</v>
      </c>
    </row>
    <row r="2522">
      <c r="A2522" s="6">
        <v>567.0</v>
      </c>
      <c r="B2522" s="76" t="str">
        <f>IFERROR(VLOOKUP($A2522,EVENTO!$A$2:$C$4999,2,FALSE),"")</f>
        <v>ADITIVO DE REAJUSTE E PRAZO</v>
      </c>
      <c r="C2522" s="76" t="str">
        <f>IFERROR(VLOOKUP($A2522,EVENTO!$A$2:$C$4999,3,FALSE),"")</f>
        <v>SECRETARIA MUNICIPAL DE SEGURANÇA COM CIDADANIA−048/2024/SEMUSC</v>
      </c>
      <c r="D2522" s="78" t="s">
        <v>1888</v>
      </c>
      <c r="E2522" s="6" t="s">
        <v>1889</v>
      </c>
      <c r="F2522" s="59">
        <v>3.0</v>
      </c>
      <c r="G2522" s="79">
        <v>157.24</v>
      </c>
    </row>
    <row r="2523">
      <c r="A2523" s="6">
        <v>567.0</v>
      </c>
      <c r="B2523" s="76" t="str">
        <f>IFERROR(VLOOKUP($A2523,EVENTO!$A$2:$C$4999,2,FALSE),"")</f>
        <v>ADITIVO DE REAJUSTE E PRAZO</v>
      </c>
      <c r="C2523" s="76" t="str">
        <f>IFERROR(VLOOKUP($A2523,EVENTO!$A$2:$C$4999,3,FALSE),"")</f>
        <v>SECRETARIA MUNICIPAL DE SEGURANÇA COM CIDADANIA−048/2024/SEMUSC</v>
      </c>
      <c r="D2523" s="78" t="s">
        <v>1890</v>
      </c>
      <c r="E2523" s="6" t="s">
        <v>1891</v>
      </c>
      <c r="F2523" s="59">
        <v>14.0</v>
      </c>
      <c r="G2523" s="79">
        <v>314.48</v>
      </c>
    </row>
    <row r="2524">
      <c r="A2524" s="6">
        <v>568.0</v>
      </c>
      <c r="B2524" s="76" t="str">
        <f>IFERROR(VLOOKUP($A2524,EVENTO!$A$2:$C$4999,2,FALSE),"")</f>
        <v>APOSTILAMENTO</v>
      </c>
      <c r="C2524" s="76" t="str">
        <f>IFERROR(VLOOKUP($A2524,EVENTO!$A$2:$C$4999,3,FALSE),"")</f>
        <v>SECRETARIA MUNICIPAL DE SEGURANÇA COM CIDADANIA−048/2024/SEMUSC</v>
      </c>
      <c r="D2524" s="78" t="s">
        <v>1888</v>
      </c>
      <c r="E2524" s="6" t="s">
        <v>1889</v>
      </c>
      <c r="F2524" s="59">
        <v>3.0</v>
      </c>
      <c r="G2524" s="79">
        <v>157.19</v>
      </c>
    </row>
    <row r="2525">
      <c r="A2525" s="6">
        <v>568.0</v>
      </c>
      <c r="B2525" s="76" t="str">
        <f>IFERROR(VLOOKUP($A2525,EVENTO!$A$2:$C$4999,2,FALSE),"")</f>
        <v>APOSTILAMENTO</v>
      </c>
      <c r="C2525" s="76" t="str">
        <f>IFERROR(VLOOKUP($A2525,EVENTO!$A$2:$C$4999,3,FALSE),"")</f>
        <v>SECRETARIA MUNICIPAL DE SEGURANÇA COM CIDADANIA−048/2024/SEMUSC</v>
      </c>
      <c r="D2525" s="78" t="s">
        <v>1890</v>
      </c>
      <c r="E2525" s="6" t="s">
        <v>1891</v>
      </c>
      <c r="F2525" s="59">
        <v>14.0</v>
      </c>
      <c r="G2525" s="79">
        <v>314.49</v>
      </c>
    </row>
    <row r="2526">
      <c r="A2526" s="6">
        <v>569.0</v>
      </c>
      <c r="B2526" s="76" t="str">
        <f>IFERROR(VLOOKUP($A2526,EVENTO!$A$2:$C$4999,2,FALSE),"")</f>
        <v>CADASTRO</v>
      </c>
      <c r="C2526" s="76" t="str">
        <f>IFERROR(VLOOKUP($A2526,EVENTO!$A$2:$C$4999,3,FALSE),"")</f>
        <v>PREFEITURA MUNICIPAL DE TAUÁ - SECRETARIA DE SEGURANÇA CIDADÃ</v>
      </c>
      <c r="D2526" s="78" t="s">
        <v>1460</v>
      </c>
      <c r="E2526" s="6" t="s">
        <v>1613</v>
      </c>
      <c r="F2526" s="78">
        <v>3.0</v>
      </c>
      <c r="G2526" s="79">
        <v>420.0</v>
      </c>
    </row>
    <row r="2527">
      <c r="A2527" s="6">
        <v>569.0</v>
      </c>
      <c r="B2527" s="76" t="str">
        <f>IFERROR(VLOOKUP($A2527,EVENTO!$A$2:$C$4999,2,FALSE),"")</f>
        <v>CADASTRO</v>
      </c>
      <c r="C2527" s="76" t="str">
        <f>IFERROR(VLOOKUP($A2527,EVENTO!$A$2:$C$4999,3,FALSE),"")</f>
        <v>PREFEITURA MUNICIPAL DE TAUÁ - SECRETARIA DE SEGURANÇA CIDADÃ</v>
      </c>
      <c r="D2527" s="78" t="s">
        <v>1892</v>
      </c>
      <c r="E2527" s="6" t="s">
        <v>1615</v>
      </c>
      <c r="F2527" s="78">
        <v>8.0</v>
      </c>
      <c r="G2527" s="79">
        <v>352.0</v>
      </c>
    </row>
    <row r="2528">
      <c r="A2528" s="6">
        <v>569.0</v>
      </c>
      <c r="B2528" s="76" t="str">
        <f>IFERROR(VLOOKUP($A2528,EVENTO!$A$2:$C$4999,2,FALSE),"")</f>
        <v>CADASTRO</v>
      </c>
      <c r="C2528" s="76" t="str">
        <f>IFERROR(VLOOKUP($A2528,EVENTO!$A$2:$C$4999,3,FALSE),"")</f>
        <v>PREFEITURA MUNICIPAL DE TAUÁ - SECRETARIA DE SEGURANÇA CIDADÃ</v>
      </c>
      <c r="D2528" s="78" t="s">
        <v>1893</v>
      </c>
      <c r="E2528" s="6" t="s">
        <v>1617</v>
      </c>
      <c r="F2528" s="78">
        <v>1.0</v>
      </c>
      <c r="G2528" s="79">
        <v>265.0</v>
      </c>
    </row>
    <row r="2529">
      <c r="A2529" s="6">
        <v>569.0</v>
      </c>
      <c r="B2529" s="76" t="str">
        <f>IFERROR(VLOOKUP($A2529,EVENTO!$A$2:$C$4999,2,FALSE),"")</f>
        <v>CADASTRO</v>
      </c>
      <c r="C2529" s="76" t="str">
        <f>IFERROR(VLOOKUP($A2529,EVENTO!$A$2:$C$4999,3,FALSE),"")</f>
        <v>PREFEITURA MUNICIPAL DE TAUÁ - SECRETARIA DE SEGURANÇA CIDADÃ</v>
      </c>
      <c r="D2529" s="78" t="s">
        <v>1620</v>
      </c>
      <c r="E2529" s="6" t="s">
        <v>1621</v>
      </c>
      <c r="F2529" s="78">
        <v>8.0</v>
      </c>
      <c r="G2529" s="79">
        <v>123.0</v>
      </c>
    </row>
    <row r="2530">
      <c r="A2530" s="6">
        <v>569.0</v>
      </c>
      <c r="B2530" s="76" t="str">
        <f>IFERROR(VLOOKUP($A2530,EVENTO!$A$2:$C$4999,2,FALSE),"")</f>
        <v>CADASTRO</v>
      </c>
      <c r="C2530" s="76" t="str">
        <f>IFERROR(VLOOKUP($A2530,EVENTO!$A$2:$C$4999,3,FALSE),"")</f>
        <v>PREFEITURA MUNICIPAL DE TAUÁ - SECRETARIA DE SEGURANÇA CIDADÃ</v>
      </c>
      <c r="D2530" s="6" t="s">
        <v>1666</v>
      </c>
      <c r="E2530" s="6" t="s">
        <v>1619</v>
      </c>
      <c r="F2530" s="78">
        <v>7.0</v>
      </c>
      <c r="G2530" s="79">
        <v>207.0</v>
      </c>
    </row>
    <row r="2531">
      <c r="A2531" s="6">
        <v>570.0</v>
      </c>
      <c r="B2531" s="76" t="str">
        <f>IFERROR(VLOOKUP($A2531,EVENTO!$A$2:$C$4999,2,FALSE),"")</f>
        <v>ADITIVO DE SUPRESSÃO</v>
      </c>
      <c r="C2531" s="76" t="str">
        <f>IFERROR(VLOOKUP($A2531,EVENTO!$A$2:$C$4999,3,FALSE),"")</f>
        <v>PREFEITURA MUNICIPAL DE TAUÁ - SECRETARIA DE SEGURANÇA CIDADÃ</v>
      </c>
      <c r="D2531" s="78" t="s">
        <v>1460</v>
      </c>
      <c r="E2531" s="6" t="s">
        <v>1613</v>
      </c>
      <c r="F2531" s="78">
        <v>3.0</v>
      </c>
      <c r="G2531" s="79">
        <v>315.0</v>
      </c>
    </row>
    <row r="2532">
      <c r="A2532" s="6">
        <v>570.0</v>
      </c>
      <c r="B2532" s="76" t="str">
        <f>IFERROR(VLOOKUP($A2532,EVENTO!$A$2:$C$4999,2,FALSE),"")</f>
        <v>ADITIVO DE SUPRESSÃO</v>
      </c>
      <c r="C2532" s="76" t="str">
        <f>IFERROR(VLOOKUP($A2532,EVENTO!$A$2:$C$4999,3,FALSE),"")</f>
        <v>PREFEITURA MUNICIPAL DE TAUÁ - SECRETARIA DE SEGURANÇA CIDADÃ</v>
      </c>
      <c r="D2532" s="78" t="s">
        <v>1892</v>
      </c>
      <c r="E2532" s="6" t="s">
        <v>1615</v>
      </c>
      <c r="F2532" s="78">
        <v>8.0</v>
      </c>
      <c r="G2532" s="79">
        <v>264.0</v>
      </c>
    </row>
    <row r="2533">
      <c r="A2533" s="6">
        <v>570.0</v>
      </c>
      <c r="B2533" s="76" t="str">
        <f>IFERROR(VLOOKUP($A2533,EVENTO!$A$2:$C$4999,2,FALSE),"")</f>
        <v>ADITIVO DE SUPRESSÃO</v>
      </c>
      <c r="C2533" s="76" t="str">
        <f>IFERROR(VLOOKUP($A2533,EVENTO!$A$2:$C$4999,3,FALSE),"")</f>
        <v>PREFEITURA MUNICIPAL DE TAUÁ - SECRETARIA DE SEGURANÇA CIDADÃ</v>
      </c>
      <c r="D2533" s="78" t="s">
        <v>1893</v>
      </c>
      <c r="E2533" s="6" t="s">
        <v>1617</v>
      </c>
      <c r="F2533" s="78">
        <v>1.0</v>
      </c>
      <c r="G2533" s="79">
        <v>198.0</v>
      </c>
    </row>
    <row r="2534">
      <c r="A2534" s="6">
        <v>570.0</v>
      </c>
      <c r="B2534" s="76" t="str">
        <f>IFERROR(VLOOKUP($A2534,EVENTO!$A$2:$C$4999,2,FALSE),"")</f>
        <v>ADITIVO DE SUPRESSÃO</v>
      </c>
      <c r="C2534" s="76" t="str">
        <f>IFERROR(VLOOKUP($A2534,EVENTO!$A$2:$C$4999,3,FALSE),"")</f>
        <v>PREFEITURA MUNICIPAL DE TAUÁ - SECRETARIA DE SEGURANÇA CIDADÃ</v>
      </c>
      <c r="D2534" s="78" t="s">
        <v>1620</v>
      </c>
      <c r="E2534" s="6" t="s">
        <v>1621</v>
      </c>
      <c r="F2534" s="78">
        <v>8.0</v>
      </c>
      <c r="G2534" s="79">
        <v>92.25</v>
      </c>
    </row>
    <row r="2535">
      <c r="A2535" s="6">
        <v>570.0</v>
      </c>
      <c r="B2535" s="76" t="str">
        <f>IFERROR(VLOOKUP($A2535,EVENTO!$A$2:$C$4999,2,FALSE),"")</f>
        <v>ADITIVO DE SUPRESSÃO</v>
      </c>
      <c r="C2535" s="76" t="str">
        <f>IFERROR(VLOOKUP($A2535,EVENTO!$A$2:$C$4999,3,FALSE),"")</f>
        <v>PREFEITURA MUNICIPAL DE TAUÁ - SECRETARIA DE SEGURANÇA CIDADÃ</v>
      </c>
      <c r="D2535" s="6" t="s">
        <v>1666</v>
      </c>
      <c r="E2535" s="6" t="s">
        <v>1619</v>
      </c>
      <c r="F2535" s="78">
        <v>7.0</v>
      </c>
      <c r="G2535" s="79">
        <v>155.25</v>
      </c>
    </row>
    <row r="2536">
      <c r="A2536" s="6">
        <v>571.0</v>
      </c>
      <c r="B2536" s="76" t="str">
        <f>IFERROR(VLOOKUP($A2536,EVENTO!$A$2:$C$4999,2,FALSE),"")</f>
        <v>CADASTRO</v>
      </c>
      <c r="C2536" s="76" t="str">
        <f>IFERROR(VLOOKUP($A2536,EVENTO!$A$2:$C$4999,3,FALSE),"")</f>
        <v>GOVERNO MUNICIPAL DE CANINDÉ - SECRETARIA DO MEIO AMBIENTE </v>
      </c>
      <c r="D2536" s="78" t="s">
        <v>1888</v>
      </c>
      <c r="E2536" s="6" t="s">
        <v>1894</v>
      </c>
      <c r="F2536" s="78">
        <v>1.0</v>
      </c>
      <c r="G2536" s="79">
        <v>550.0</v>
      </c>
    </row>
    <row r="2537">
      <c r="A2537" s="6">
        <v>572.0</v>
      </c>
      <c r="B2537" s="76" t="str">
        <f>IFERROR(VLOOKUP($A2537,EVENTO!$A$2:$C$4999,2,FALSE),"")</f>
        <v>CADASTRO</v>
      </c>
      <c r="C2537" s="76" t="str">
        <f>IFERROR(VLOOKUP($A2537,EVENTO!$A$2:$C$4999,3,FALSE),"")</f>
        <v>MUNICIPIO DE GRANJA - CÂMARA MUNICIPAL DE GRANJA </v>
      </c>
      <c r="D2537" s="78" t="s">
        <v>1890</v>
      </c>
      <c r="E2537" s="78" t="s">
        <v>1890</v>
      </c>
      <c r="F2537" s="78">
        <v>2.0</v>
      </c>
      <c r="G2537" s="79">
        <v>280.0</v>
      </c>
    </row>
    <row r="2538">
      <c r="A2538" s="6">
        <v>573.0</v>
      </c>
      <c r="B2538" s="76" t="str">
        <f>IFERROR(VLOOKUP($A2538,EVENTO!$A$2:$C$4999,2,FALSE),"")</f>
        <v>CADASTRO</v>
      </c>
      <c r="C2538" s="76" t="str">
        <f>IFERROR(VLOOKUP($A2538,EVENTO!$A$2:$C$4999,3,FALSE),"")</f>
        <v>MUNICÍPIO DE CRATO - SECRETARIA DE EDUCAÇÃO</v>
      </c>
      <c r="D2538" s="78" t="s">
        <v>1895</v>
      </c>
      <c r="E2538" s="6" t="s">
        <v>1896</v>
      </c>
      <c r="F2538" s="78">
        <v>1.0</v>
      </c>
      <c r="G2538" s="79">
        <v>1766.66</v>
      </c>
    </row>
    <row r="2539">
      <c r="A2539" s="6">
        <v>576.0</v>
      </c>
      <c r="B2539" s="76" t="str">
        <f>IFERROR(VLOOKUP($A2539,EVENTO!$A$2:$C$4999,2,FALSE),"")</f>
        <v>CADASTRO</v>
      </c>
      <c r="C2539" s="76" t="str">
        <f>IFERROR(VLOOKUP($A2539,EVENTO!$A$2:$C$4999,3,FALSE),"")</f>
        <v>MUNICIPIO DE CANINDÉ - CÂMARA MUNICIPAL DE CANINDÉ</v>
      </c>
      <c r="D2539" s="78" t="s">
        <v>1897</v>
      </c>
      <c r="E2539" s="6" t="s">
        <v>1898</v>
      </c>
      <c r="F2539" s="78">
        <v>5.0</v>
      </c>
      <c r="G2539" s="79">
        <v>273.3</v>
      </c>
    </row>
    <row r="2540">
      <c r="A2540" s="6">
        <v>578.0</v>
      </c>
      <c r="B2540" s="76" t="str">
        <f>IFERROR(VLOOKUP($A2540,EVENTO!$A$2:$C$4999,2,FALSE),"")</f>
        <v>CADASTRO</v>
      </c>
      <c r="C2540" s="76" t="str">
        <f>IFERROR(VLOOKUP($A2540,EVENTO!$A$2:$C$4999,3,FALSE),"")</f>
        <v>CELERE TECNOLOGIA E ASSESSORIA EM SAUDE PUBLICA E PRIVADA LTDA - UNIDADE EUSEBIO </v>
      </c>
      <c r="D2540" s="78" t="s">
        <v>1899</v>
      </c>
      <c r="E2540" s="6" t="s">
        <v>1900</v>
      </c>
      <c r="F2540" s="78">
        <v>190.0</v>
      </c>
      <c r="G2540" s="79">
        <v>90.0</v>
      </c>
    </row>
    <row r="2541">
      <c r="A2541" s="6">
        <v>578.0</v>
      </c>
      <c r="B2541" s="76" t="str">
        <f>IFERROR(VLOOKUP($A2541,EVENTO!$A$2:$C$4999,2,FALSE),"")</f>
        <v>CADASTRO</v>
      </c>
      <c r="C2541" s="76" t="str">
        <f>IFERROR(VLOOKUP($A2541,EVENTO!$A$2:$C$4999,3,FALSE),"")</f>
        <v>CELERE TECNOLOGIA E ASSESSORIA EM SAUDE PUBLICA E PRIVADA LTDA - UNIDADE EUSEBIO </v>
      </c>
      <c r="D2541" s="78" t="s">
        <v>1901</v>
      </c>
      <c r="E2541" s="6" t="s">
        <v>1900</v>
      </c>
      <c r="F2541" s="78">
        <v>19.0</v>
      </c>
      <c r="G2541" s="80"/>
    </row>
    <row r="2542">
      <c r="A2542" s="6">
        <v>579.0</v>
      </c>
      <c r="B2542" s="76" t="str">
        <f>IFERROR(VLOOKUP($A2542,EVENTO!$A$2:$C$4999,2,FALSE),"")</f>
        <v>CADASTRO</v>
      </c>
      <c r="C2542" s="76" t="str">
        <f>IFERROR(VLOOKUP($A2542,EVENTO!$A$2:$C$4999,3,FALSE),"")</f>
        <v>CELERE TECNOLOGIA E ASSESSORIA EM SAUDE PUBLICA E PRIVADA LTDA - UNIDADE ITAPECERICA DA SERRA</v>
      </c>
      <c r="D2542" s="78" t="s">
        <v>1899</v>
      </c>
      <c r="E2542" s="6" t="s">
        <v>1900</v>
      </c>
      <c r="F2542" s="78">
        <v>30.0</v>
      </c>
      <c r="G2542" s="79">
        <v>110.0</v>
      </c>
    </row>
    <row r="2543">
      <c r="A2543" s="6">
        <v>579.0</v>
      </c>
      <c r="B2543" s="76" t="str">
        <f>IFERROR(VLOOKUP($A2543,EVENTO!$A$2:$C$4999,2,FALSE),"")</f>
        <v>CADASTRO</v>
      </c>
      <c r="C2543" s="76" t="str">
        <f>IFERROR(VLOOKUP($A2543,EVENTO!$A$2:$C$4999,3,FALSE),"")</f>
        <v>CELERE TECNOLOGIA E ASSESSORIA EM SAUDE PUBLICA E PRIVADA LTDA - UNIDADE ITAPECERICA DA SERRA</v>
      </c>
      <c r="D2543" s="78" t="s">
        <v>1901</v>
      </c>
      <c r="E2543" s="6" t="s">
        <v>1900</v>
      </c>
      <c r="F2543" s="78">
        <v>6.0</v>
      </c>
      <c r="G2543" s="80"/>
    </row>
    <row r="2544">
      <c r="A2544" s="6">
        <v>580.0</v>
      </c>
      <c r="B2544" s="76" t="str">
        <f>IFERROR(VLOOKUP($A2544,EVENTO!$A$2:$C$4999,2,FALSE),"")</f>
        <v>ADITIVO DE QUANTIDADE</v>
      </c>
      <c r="C2544" s="76" t="str">
        <f>IFERROR(VLOOKUP($A2544,EVENTO!$A$2:$C$4999,3,FALSE),"")</f>
        <v>CELERE TECNOLOGIA E ASSESSORIA EM SAUDE PUBLICA E PRIVADA LTDA - UNIDADE ITAPECERICA DA SERRA</v>
      </c>
      <c r="D2544" s="78" t="s">
        <v>1899</v>
      </c>
      <c r="E2544" s="6" t="s">
        <v>1900</v>
      </c>
      <c r="F2544" s="78">
        <v>160.0</v>
      </c>
      <c r="G2544" s="79">
        <v>90.0</v>
      </c>
    </row>
    <row r="2545">
      <c r="A2545" s="6">
        <v>580.0</v>
      </c>
      <c r="B2545" s="76" t="str">
        <f>IFERROR(VLOOKUP($A2545,EVENTO!$A$2:$C$4999,2,FALSE),"")</f>
        <v>ADITIVO DE QUANTIDADE</v>
      </c>
      <c r="C2545" s="76" t="str">
        <f>IFERROR(VLOOKUP($A2545,EVENTO!$A$2:$C$4999,3,FALSE),"")</f>
        <v>CELERE TECNOLOGIA E ASSESSORIA EM SAUDE PUBLICA E PRIVADA LTDA - UNIDADE ITAPECERICA DA SERRA</v>
      </c>
      <c r="D2545" s="78" t="s">
        <v>1901</v>
      </c>
      <c r="E2545" s="6" t="s">
        <v>1900</v>
      </c>
      <c r="F2545" s="78">
        <v>19.0</v>
      </c>
      <c r="G2545" s="80"/>
    </row>
    <row r="2546">
      <c r="A2546" s="6">
        <v>581.0</v>
      </c>
      <c r="B2546" s="76" t="str">
        <f>IFERROR(VLOOKUP($A2546,EVENTO!$A$2:$C$4999,2,FALSE),"")</f>
        <v>CADASTRO</v>
      </c>
      <c r="C2546" s="76" t="str">
        <f>IFERROR(VLOOKUP($A2546,EVENTO!$A$2:$C$4999,3,FALSE),"")</f>
        <v>CELERE TECNOLOGIA E ASSESSORIA EM SAUDE PUBLICA E PRIVADA LTDA - UNIDADE MAIRINQUE</v>
      </c>
      <c r="D2546" s="78" t="s">
        <v>1899</v>
      </c>
      <c r="E2546" s="6" t="s">
        <v>1900</v>
      </c>
      <c r="F2546" s="78">
        <v>120.0</v>
      </c>
      <c r="G2546" s="79">
        <v>105.0</v>
      </c>
    </row>
    <row r="2547">
      <c r="A2547" s="6">
        <v>581.0</v>
      </c>
      <c r="B2547" s="76" t="str">
        <f>IFERROR(VLOOKUP($A2547,EVENTO!$A$2:$C$4999,2,FALSE),"")</f>
        <v>CADASTRO</v>
      </c>
      <c r="C2547" s="76" t="str">
        <f>IFERROR(VLOOKUP($A2547,EVENTO!$A$2:$C$4999,3,FALSE),"")</f>
        <v>CELERE TECNOLOGIA E ASSESSORIA EM SAUDE PUBLICA E PRIVADA LTDA - UNIDADE MAIRINQUE</v>
      </c>
      <c r="D2547" s="78" t="s">
        <v>1901</v>
      </c>
      <c r="E2547" s="6" t="s">
        <v>1900</v>
      </c>
      <c r="F2547" s="78">
        <v>12.0</v>
      </c>
      <c r="G2547" s="79"/>
    </row>
    <row r="2548">
      <c r="A2548" s="6">
        <v>582.0</v>
      </c>
      <c r="B2548" s="76" t="str">
        <f>IFERROR(VLOOKUP($A2548,EVENTO!$A$2:$C$4999,2,FALSE),"")</f>
        <v>CADASTRO</v>
      </c>
      <c r="C2548" s="76" t="str">
        <f>IFERROR(VLOOKUP($A2548,EVENTO!$A$2:$C$4999,3,FALSE),"")</f>
        <v>CELERE TECNOLOGIA E ASSESSORIA EM SAUDE PUBLICA E PRIVADA LTDA - UNIDADE SERRA DO MEL</v>
      </c>
      <c r="D2548" s="78" t="s">
        <v>1899</v>
      </c>
      <c r="E2548" s="6" t="s">
        <v>1900</v>
      </c>
      <c r="F2548" s="78">
        <v>64.0</v>
      </c>
      <c r="G2548" s="79">
        <v>90.0</v>
      </c>
    </row>
    <row r="2549">
      <c r="A2549" s="6">
        <v>582.0</v>
      </c>
      <c r="B2549" s="76" t="str">
        <f>IFERROR(VLOOKUP($A2549,EVENTO!$A$2:$C$4999,2,FALSE),"")</f>
        <v>CADASTRO</v>
      </c>
      <c r="C2549" s="76" t="str">
        <f>IFERROR(VLOOKUP($A2549,EVENTO!$A$2:$C$4999,3,FALSE),"")</f>
        <v>CELERE TECNOLOGIA E ASSESSORIA EM SAUDE PUBLICA E PRIVADA LTDA - UNIDADE SERRA DO MEL</v>
      </c>
      <c r="D2549" s="78" t="s">
        <v>1901</v>
      </c>
      <c r="E2549" s="6" t="s">
        <v>1900</v>
      </c>
      <c r="F2549" s="78">
        <v>6.0</v>
      </c>
      <c r="G2549" s="79"/>
    </row>
    <row r="2550">
      <c r="A2550" s="6">
        <v>583.0</v>
      </c>
      <c r="B2550" s="76" t="str">
        <f>IFERROR(VLOOKUP($A2550,EVENTO!$A$2:$C$4999,2,FALSE),"")</f>
        <v>CADASTRO</v>
      </c>
      <c r="C2550" s="76" t="str">
        <f>IFERROR(VLOOKUP($A2550,EVENTO!$A$2:$C$4999,3,FALSE),"")</f>
        <v> INOVA TABULEIRO SA</v>
      </c>
      <c r="D2550" s="78" t="s">
        <v>1481</v>
      </c>
      <c r="E2550" s="6" t="s">
        <v>1902</v>
      </c>
      <c r="F2550" s="78">
        <v>2.0</v>
      </c>
      <c r="G2550" s="79">
        <v>255.0</v>
      </c>
    </row>
    <row r="2551">
      <c r="A2551" s="6">
        <v>583.0</v>
      </c>
      <c r="B2551" s="76" t="str">
        <f>IFERROR(VLOOKUP($A2551,EVENTO!$A$2:$C$4999,2,FALSE),"")</f>
        <v>CADASTRO</v>
      </c>
      <c r="C2551" s="76" t="str">
        <f>IFERROR(VLOOKUP($A2551,EVENTO!$A$2:$C$4999,3,FALSE),"")</f>
        <v> INOVA TABULEIRO SA</v>
      </c>
      <c r="D2551" s="78" t="s">
        <v>1903</v>
      </c>
      <c r="E2551" s="6" t="s">
        <v>1904</v>
      </c>
      <c r="F2551" s="78">
        <v>5.0</v>
      </c>
      <c r="G2551" s="79">
        <v>220.0</v>
      </c>
    </row>
    <row r="2552">
      <c r="A2552" s="6">
        <v>583.0</v>
      </c>
      <c r="B2552" s="76" t="str">
        <f>IFERROR(VLOOKUP($A2552,EVENTO!$A$2:$C$4999,2,FALSE),"")</f>
        <v>CADASTRO</v>
      </c>
      <c r="C2552" s="76" t="str">
        <f>IFERROR(VLOOKUP($A2552,EVENTO!$A$2:$C$4999,3,FALSE),"")</f>
        <v> INOVA TABULEIRO SA</v>
      </c>
      <c r="D2552" s="78" t="s">
        <v>1905</v>
      </c>
      <c r="E2552" s="6" t="s">
        <v>1906</v>
      </c>
      <c r="F2552" s="78">
        <v>1.0</v>
      </c>
      <c r="G2552" s="79">
        <v>164.35</v>
      </c>
    </row>
    <row r="2553">
      <c r="A2553" s="6">
        <v>583.0</v>
      </c>
      <c r="B2553" s="76" t="str">
        <f>IFERROR(VLOOKUP($A2553,EVENTO!$A$2:$C$4999,2,FALSE),"")</f>
        <v>CADASTRO</v>
      </c>
      <c r="C2553" s="76" t="str">
        <f>IFERROR(VLOOKUP($A2553,EVENTO!$A$2:$C$4999,3,FALSE),"")</f>
        <v> INOVA TABULEIRO SA</v>
      </c>
      <c r="D2553" s="78" t="s">
        <v>1907</v>
      </c>
      <c r="E2553" s="6" t="s">
        <v>1908</v>
      </c>
      <c r="F2553" s="78">
        <v>1.0</v>
      </c>
      <c r="G2553" s="79">
        <v>146.3</v>
      </c>
    </row>
    <row r="2554">
      <c r="A2554" s="6">
        <v>584.0</v>
      </c>
      <c r="B2554" s="76" t="str">
        <f>IFERROR(VLOOKUP($A2554,EVENTO!$A$2:$C$4999,2,FALSE),"")</f>
        <v>ADITIVO DE QUANTIDADE</v>
      </c>
      <c r="C2554" s="76" t="str">
        <f>IFERROR(VLOOKUP($A2554,EVENTO!$A$2:$C$4999,3,FALSE),"")</f>
        <v> INOVA TABULEIRO SA</v>
      </c>
      <c r="D2554" s="78" t="s">
        <v>1481</v>
      </c>
      <c r="E2554" s="6" t="s">
        <v>1902</v>
      </c>
      <c r="F2554" s="78">
        <v>1.0</v>
      </c>
      <c r="G2554" s="79">
        <v>255.0</v>
      </c>
    </row>
    <row r="2555">
      <c r="A2555" s="6">
        <v>584.0</v>
      </c>
      <c r="B2555" s="76" t="str">
        <f>IFERROR(VLOOKUP($A2555,EVENTO!$A$2:$C$4999,2,FALSE),"")</f>
        <v>ADITIVO DE QUANTIDADE</v>
      </c>
      <c r="C2555" s="76" t="str">
        <f>IFERROR(VLOOKUP($A2555,EVENTO!$A$2:$C$4999,3,FALSE),"")</f>
        <v> INOVA TABULEIRO SA</v>
      </c>
      <c r="D2555" s="78" t="s">
        <v>1909</v>
      </c>
      <c r="E2555" s="6" t="s">
        <v>1910</v>
      </c>
      <c r="F2555" s="78">
        <v>1.0</v>
      </c>
      <c r="G2555" s="79">
        <v>255.0</v>
      </c>
    </row>
    <row r="2556">
      <c r="A2556" s="6">
        <v>584.0</v>
      </c>
      <c r="B2556" s="76" t="str">
        <f>IFERROR(VLOOKUP($A2556,EVENTO!$A$2:$C$4999,2,FALSE),"")</f>
        <v>ADITIVO DE QUANTIDADE</v>
      </c>
      <c r="C2556" s="76" t="str">
        <f>IFERROR(VLOOKUP($A2556,EVENTO!$A$2:$C$4999,3,FALSE),"")</f>
        <v> INOVA TABULEIRO SA</v>
      </c>
      <c r="D2556" s="78" t="s">
        <v>1903</v>
      </c>
      <c r="E2556" s="6" t="s">
        <v>1904</v>
      </c>
      <c r="F2556" s="78">
        <v>2.0</v>
      </c>
      <c r="G2556" s="79">
        <v>220.0</v>
      </c>
    </row>
    <row r="2557">
      <c r="A2557" s="6">
        <v>584.0</v>
      </c>
      <c r="B2557" s="76" t="str">
        <f>IFERROR(VLOOKUP($A2557,EVENTO!$A$2:$C$4999,2,FALSE),"")</f>
        <v>ADITIVO DE QUANTIDADE</v>
      </c>
      <c r="C2557" s="76" t="str">
        <f>IFERROR(VLOOKUP($A2557,EVENTO!$A$2:$C$4999,3,FALSE),"")</f>
        <v> INOVA TABULEIRO SA</v>
      </c>
      <c r="D2557" s="78" t="s">
        <v>1911</v>
      </c>
      <c r="E2557" s="6" t="s">
        <v>1912</v>
      </c>
      <c r="F2557" s="78">
        <v>1.0</v>
      </c>
      <c r="G2557" s="79">
        <v>164.35</v>
      </c>
    </row>
    <row r="2558">
      <c r="A2558" s="6">
        <v>584.0</v>
      </c>
      <c r="B2558" s="76" t="str">
        <f>IFERROR(VLOOKUP($A2558,EVENTO!$A$2:$C$4999,2,FALSE),"")</f>
        <v>ADITIVO DE QUANTIDADE</v>
      </c>
      <c r="C2558" s="76" t="str">
        <f>IFERROR(VLOOKUP($A2558,EVENTO!$A$2:$C$4999,3,FALSE),"")</f>
        <v> INOVA TABULEIRO SA</v>
      </c>
      <c r="D2558" s="78" t="s">
        <v>1907</v>
      </c>
      <c r="E2558" s="6" t="s">
        <v>1908</v>
      </c>
      <c r="F2558" s="78">
        <v>1.0</v>
      </c>
      <c r="G2558" s="79">
        <v>146.3</v>
      </c>
    </row>
    <row r="2559">
      <c r="A2559" s="6">
        <v>585.0</v>
      </c>
      <c r="B2559" s="76" t="str">
        <f>IFERROR(VLOOKUP($A2559,EVENTO!$A$2:$C$4999,2,FALSE),"")</f>
        <v>CADASTRO</v>
      </c>
      <c r="C2559" s="76" t="str">
        <f>IFERROR(VLOOKUP($A2559,EVENTO!$A$2:$C$4999,3,FALSE),"")</f>
        <v>ASSOCIACAO DE APOIO AO PROTAGONISMO JUVENIL</v>
      </c>
      <c r="D2559" s="78" t="s">
        <v>1913</v>
      </c>
      <c r="E2559" s="6" t="s">
        <v>1914</v>
      </c>
      <c r="F2559" s="78">
        <v>5.0</v>
      </c>
      <c r="G2559" s="79">
        <v>59.0</v>
      </c>
    </row>
    <row r="2560">
      <c r="A2560" s="6">
        <v>585.0</v>
      </c>
      <c r="B2560" s="76" t="str">
        <f>IFERROR(VLOOKUP($A2560,EVENTO!$A$2:$C$4999,2,FALSE),"")</f>
        <v>CADASTRO</v>
      </c>
      <c r="C2560" s="76" t="str">
        <f>IFERROR(VLOOKUP($A2560,EVENTO!$A$2:$C$4999,3,FALSE),"")</f>
        <v>ASSOCIACAO DE APOIO AO PROTAGONISMO JUVENIL</v>
      </c>
      <c r="D2560" s="78" t="s">
        <v>1907</v>
      </c>
      <c r="E2560" s="6" t="s">
        <v>1915</v>
      </c>
      <c r="F2560" s="78">
        <v>1.0</v>
      </c>
      <c r="G2560" s="79">
        <v>99.0</v>
      </c>
    </row>
    <row r="2561">
      <c r="A2561" s="6">
        <v>585.0</v>
      </c>
      <c r="B2561" s="76" t="str">
        <f>IFERROR(VLOOKUP($A2561,EVENTO!$A$2:$C$4999,2,FALSE),"")</f>
        <v>CADASTRO</v>
      </c>
      <c r="C2561" s="76" t="str">
        <f>IFERROR(VLOOKUP($A2561,EVENTO!$A$2:$C$4999,3,FALSE),"")</f>
        <v>ASSOCIACAO DE APOIO AO PROTAGONISMO JUVENIL</v>
      </c>
      <c r="D2561" s="78" t="s">
        <v>1916</v>
      </c>
      <c r="E2561" s="6" t="s">
        <v>1917</v>
      </c>
      <c r="F2561" s="78">
        <v>1.0</v>
      </c>
      <c r="G2561" s="79">
        <v>115.0</v>
      </c>
    </row>
    <row r="2562">
      <c r="A2562" s="6">
        <v>586.0</v>
      </c>
      <c r="B2562" s="76" t="str">
        <f>IFERROR(VLOOKUP($A2562,EVENTO!$A$2:$C$4999,2,FALSE),"")</f>
        <v>ADITIVO DE QUANTIDADE</v>
      </c>
      <c r="C2562" s="76" t="str">
        <f>IFERROR(VLOOKUP($A2562,EVENTO!$A$2:$C$4999,3,FALSE),"")</f>
        <v>ASSOCIACAO DE APOIO AO PROTAGONISMO JUVENIL</v>
      </c>
      <c r="D2562" s="78" t="s">
        <v>1913</v>
      </c>
      <c r="E2562" s="6" t="s">
        <v>1914</v>
      </c>
      <c r="F2562" s="78">
        <v>5.0</v>
      </c>
      <c r="G2562" s="79">
        <v>59.0</v>
      </c>
    </row>
    <row r="2563">
      <c r="A2563" s="6">
        <v>586.0</v>
      </c>
      <c r="B2563" s="76" t="str">
        <f>IFERROR(VLOOKUP($A2563,EVENTO!$A$2:$C$4999,2,FALSE),"")</f>
        <v>ADITIVO DE QUANTIDADE</v>
      </c>
      <c r="C2563" s="76" t="str">
        <f>IFERROR(VLOOKUP($A2563,EVENTO!$A$2:$C$4999,3,FALSE),"")</f>
        <v>ASSOCIACAO DE APOIO AO PROTAGONISMO JUVENIL</v>
      </c>
      <c r="D2563" s="78" t="s">
        <v>1907</v>
      </c>
      <c r="E2563" s="6" t="s">
        <v>1915</v>
      </c>
      <c r="F2563" s="78">
        <v>1.0</v>
      </c>
      <c r="G2563" s="79">
        <v>99.0</v>
      </c>
    </row>
    <row r="2564">
      <c r="A2564" s="6">
        <v>587.0</v>
      </c>
      <c r="B2564" s="76" t="str">
        <f>IFERROR(VLOOKUP($A2564,EVENTO!$A$2:$C$4999,2,FALSE),"")</f>
        <v>CADASTRO</v>
      </c>
      <c r="C2564" s="76" t="str">
        <f>IFERROR(VLOOKUP($A2564,EVENTO!$A$2:$C$4999,3,FALSE),"")</f>
        <v>CARTÓRIO DO 2º OFÍCIO DE TAUÁ</v>
      </c>
      <c r="D2564" s="78" t="s">
        <v>1918</v>
      </c>
      <c r="E2564" s="6" t="s">
        <v>1919</v>
      </c>
      <c r="F2564" s="78">
        <v>1.0</v>
      </c>
      <c r="G2564" s="79">
        <v>236.88</v>
      </c>
    </row>
    <row r="2565">
      <c r="A2565" s="6">
        <v>587.0</v>
      </c>
      <c r="B2565" s="76" t="str">
        <f>IFERROR(VLOOKUP($A2565,EVENTO!$A$2:$C$4999,2,FALSE),"")</f>
        <v>CADASTRO</v>
      </c>
      <c r="C2565" s="76" t="str">
        <f>IFERROR(VLOOKUP($A2565,EVENTO!$A$2:$C$4999,3,FALSE),"")</f>
        <v>CARTÓRIO DO 2º OFÍCIO DE TAUÁ</v>
      </c>
      <c r="D2565" s="78" t="s">
        <v>1920</v>
      </c>
      <c r="E2565" s="6" t="s">
        <v>1921</v>
      </c>
      <c r="F2565" s="78">
        <v>2.0</v>
      </c>
      <c r="G2565" s="79">
        <v>280.0</v>
      </c>
    </row>
    <row r="2566">
      <c r="A2566" s="6">
        <v>588.0</v>
      </c>
      <c r="B2566" s="76" t="str">
        <f>IFERROR(VLOOKUP($A2566,EVENTO!$A$2:$C$4999,2,FALSE),"")</f>
        <v>ADITIVO DE QUANTIDADE E PRAZO</v>
      </c>
      <c r="C2566" s="76" t="str">
        <f>IFERROR(VLOOKUP($A2566,EVENTO!$A$2:$C$4999,3,FALSE),"")</f>
        <v>CARTÓRIO DO 2º OFÍCIO DE TAUÁ</v>
      </c>
      <c r="D2566" s="78" t="s">
        <v>1920</v>
      </c>
      <c r="E2566" s="6" t="s">
        <v>1921</v>
      </c>
      <c r="F2566" s="78">
        <v>2.0</v>
      </c>
      <c r="G2566" s="79">
        <v>280.0</v>
      </c>
    </row>
    <row r="2567">
      <c r="A2567" s="6">
        <v>589.0</v>
      </c>
      <c r="B2567" s="76" t="str">
        <f>IFERROR(VLOOKUP($A2567,EVENTO!$A$2:$C$4999,2,FALSE),"")</f>
        <v>ADITIVO DE QUANTIDADE E PRAZO</v>
      </c>
      <c r="C2567" s="76" t="str">
        <f>IFERROR(VLOOKUP($A2567,EVENTO!$A$2:$C$4999,3,FALSE),"")</f>
        <v>CARTÓRIO DO 2º OFÍCIO DE TAUÁ</v>
      </c>
      <c r="D2567" s="78" t="s">
        <v>1920</v>
      </c>
      <c r="E2567" s="6" t="s">
        <v>1921</v>
      </c>
      <c r="F2567" s="78">
        <v>1.0</v>
      </c>
      <c r="G2567" s="79">
        <v>280.0</v>
      </c>
    </row>
    <row r="2568">
      <c r="A2568" s="6">
        <v>590.0</v>
      </c>
      <c r="B2568" s="76" t="str">
        <f>IFERROR(VLOOKUP($A2568,EVENTO!$A$2:$C$4999,2,FALSE),"")</f>
        <v>CADASTRO</v>
      </c>
      <c r="C2568" s="76" t="str">
        <f>IFERROR(VLOOKUP($A2568,EVENTO!$A$2:$C$4999,3,FALSE),"")</f>
        <v>ASSOCIAÇÃO ECOS DE ESPERANÇA DO CARIRI</v>
      </c>
      <c r="D2568" s="78" t="s">
        <v>1922</v>
      </c>
      <c r="E2568" s="6" t="s">
        <v>1923</v>
      </c>
      <c r="F2568" s="78">
        <v>1.0</v>
      </c>
      <c r="G2568" s="79">
        <v>194.04</v>
      </c>
    </row>
    <row r="2569">
      <c r="A2569" s="6">
        <v>591.0</v>
      </c>
      <c r="B2569" s="76" t="str">
        <f>IFERROR(VLOOKUP($A2569,EVENTO!$A$2:$C$4999,2,FALSE),"")</f>
        <v>CADASTRO</v>
      </c>
      <c r="C2569" s="76" t="str">
        <f>IFERROR(VLOOKUP($A2569,EVENTO!$A$2:$C$4999,3,FALSE),"")</f>
        <v>SANTANA &amp; PAIVA SERVICOS ADMINISTRATIVOS LTDA</v>
      </c>
      <c r="D2569" s="78" t="s">
        <v>1924</v>
      </c>
      <c r="E2569" s="6" t="s">
        <v>1925</v>
      </c>
      <c r="F2569" s="78">
        <v>1.0</v>
      </c>
      <c r="G2569" s="79">
        <v>250.0</v>
      </c>
    </row>
    <row r="2570">
      <c r="A2570" s="6">
        <v>593.0</v>
      </c>
      <c r="B2570" s="76" t="str">
        <f>IFERROR(VLOOKUP($A2570,EVENTO!$A$2:$C$4999,2,FALSE),"")</f>
        <v>ADITIVO DE QUANTIDADE</v>
      </c>
      <c r="C2570" s="76" t="str">
        <f>IFERROR(VLOOKUP($A2570,EVENTO!$A$2:$C$4999,3,FALSE),"")</f>
        <v>COMPANHIA DE INTELIGÊNCIA URBANA E SERVIÇOS S/A</v>
      </c>
      <c r="D2570" s="78" t="s">
        <v>1903</v>
      </c>
      <c r="E2570" s="6" t="s">
        <v>1926</v>
      </c>
      <c r="F2570" s="78">
        <v>6.0</v>
      </c>
      <c r="G2570" s="79">
        <v>298.0</v>
      </c>
    </row>
    <row r="2571">
      <c r="A2571" s="6">
        <v>593.0</v>
      </c>
      <c r="B2571" s="76" t="str">
        <f>IFERROR(VLOOKUP($A2571,EVENTO!$A$2:$C$4999,2,FALSE),"")</f>
        <v>ADITIVO DE QUANTIDADE</v>
      </c>
      <c r="C2571" s="76" t="str">
        <f>IFERROR(VLOOKUP($A2571,EVENTO!$A$2:$C$4999,3,FALSE),"")</f>
        <v>COMPANHIA DE INTELIGÊNCIA URBANA E SERVIÇOS S/A</v>
      </c>
      <c r="D2571" s="78" t="s">
        <v>1481</v>
      </c>
      <c r="E2571" s="6" t="s">
        <v>1927</v>
      </c>
      <c r="F2571" s="78">
        <v>2.0</v>
      </c>
      <c r="G2571" s="79">
        <v>554.0</v>
      </c>
    </row>
    <row r="2572">
      <c r="A2572" s="6">
        <v>593.0</v>
      </c>
      <c r="B2572" s="76" t="str">
        <f>IFERROR(VLOOKUP($A2572,EVENTO!$A$2:$C$4999,2,FALSE),"")</f>
        <v>ADITIVO DE QUANTIDADE</v>
      </c>
      <c r="C2572" s="76" t="str">
        <f>IFERROR(VLOOKUP($A2572,EVENTO!$A$2:$C$4999,3,FALSE),"")</f>
        <v>COMPANHIA DE INTELIGÊNCIA URBANA E SERVIÇOS S/A</v>
      </c>
      <c r="D2572" s="78" t="s">
        <v>1928</v>
      </c>
      <c r="E2572" s="6" t="s">
        <v>1929</v>
      </c>
      <c r="F2572" s="78">
        <v>1.0</v>
      </c>
      <c r="G2572" s="79">
        <v>202.0</v>
      </c>
    </row>
    <row r="2573">
      <c r="A2573" s="6">
        <v>593.0</v>
      </c>
      <c r="B2573" s="76" t="str">
        <f>IFERROR(VLOOKUP($A2573,EVENTO!$A$2:$C$4999,2,FALSE),"")</f>
        <v>ADITIVO DE QUANTIDADE</v>
      </c>
      <c r="C2573" s="76" t="str">
        <f>IFERROR(VLOOKUP($A2573,EVENTO!$A$2:$C$4999,3,FALSE),"")</f>
        <v>COMPANHIA DE INTELIGÊNCIA URBANA E SERVIÇOS S/A</v>
      </c>
      <c r="D2573" s="78" t="s">
        <v>1930</v>
      </c>
      <c r="E2573" s="6" t="s">
        <v>1931</v>
      </c>
      <c r="F2573" s="78">
        <v>2.0</v>
      </c>
      <c r="G2573" s="79">
        <v>300.0</v>
      </c>
    </row>
    <row r="2574">
      <c r="A2574" s="6">
        <v>593.0</v>
      </c>
      <c r="B2574" s="76" t="str">
        <f>IFERROR(VLOOKUP($A2574,EVENTO!$A$2:$C$4999,2,FALSE),"")</f>
        <v>ADITIVO DE QUANTIDADE</v>
      </c>
      <c r="C2574" s="76" t="str">
        <f>IFERROR(VLOOKUP($A2574,EVENTO!$A$2:$C$4999,3,FALSE),"")</f>
        <v>COMPANHIA DE INTELIGÊNCIA URBANA E SERVIÇOS S/A</v>
      </c>
      <c r="D2574" s="78" t="s">
        <v>1932</v>
      </c>
      <c r="E2574" s="6" t="s">
        <v>1933</v>
      </c>
      <c r="F2574" s="78">
        <v>2.0</v>
      </c>
      <c r="G2574" s="79">
        <v>189.0</v>
      </c>
    </row>
    <row r="2575">
      <c r="A2575" s="6">
        <v>593.0</v>
      </c>
      <c r="B2575" s="76" t="str">
        <f>IFERROR(VLOOKUP($A2575,EVENTO!$A$2:$C$4999,2,FALSE),"")</f>
        <v>ADITIVO DE QUANTIDADE</v>
      </c>
      <c r="C2575" s="76" t="str">
        <f>IFERROR(VLOOKUP($A2575,EVENTO!$A$2:$C$4999,3,FALSE),"")</f>
        <v>COMPANHIA DE INTELIGÊNCIA URBANA E SERVIÇOS S/A</v>
      </c>
      <c r="D2575" s="78" t="s">
        <v>1934</v>
      </c>
      <c r="E2575" s="6" t="s">
        <v>1935</v>
      </c>
      <c r="F2575" s="78">
        <v>5.0</v>
      </c>
      <c r="G2575" s="79">
        <v>90.38</v>
      </c>
    </row>
    <row r="2576">
      <c r="A2576" s="6">
        <v>594.0</v>
      </c>
      <c r="B2576" s="76" t="str">
        <f>IFERROR(VLOOKUP($A2576,EVENTO!$A$2:$C$4999,2,FALSE),"")</f>
        <v>ADITIVO DE PRAZO</v>
      </c>
      <c r="C2576" s="76" t="str">
        <f>IFERROR(VLOOKUP($A2576,EVENTO!$A$2:$C$4999,3,FALSE),"")</f>
        <v>COMPANHIA DE INTELIGÊNCIA URBANA E SERVIÇOS S/A</v>
      </c>
      <c r="D2576" s="78" t="s">
        <v>1903</v>
      </c>
      <c r="E2576" s="6" t="s">
        <v>1926</v>
      </c>
      <c r="F2576" s="78">
        <v>11.0</v>
      </c>
      <c r="G2576" s="79">
        <v>298.0</v>
      </c>
    </row>
    <row r="2577">
      <c r="A2577" s="6">
        <v>594.0</v>
      </c>
      <c r="B2577" s="76" t="str">
        <f>IFERROR(VLOOKUP($A2577,EVENTO!$A$2:$C$4999,2,FALSE),"")</f>
        <v>ADITIVO DE PRAZO</v>
      </c>
      <c r="C2577" s="76" t="str">
        <f>IFERROR(VLOOKUP($A2577,EVENTO!$A$2:$C$4999,3,FALSE),"")</f>
        <v>COMPANHIA DE INTELIGÊNCIA URBANA E SERVIÇOS S/A</v>
      </c>
      <c r="D2577" s="78" t="s">
        <v>1481</v>
      </c>
      <c r="E2577" s="6" t="s">
        <v>1927</v>
      </c>
      <c r="F2577" s="78">
        <v>2.0</v>
      </c>
      <c r="G2577" s="79">
        <v>554.0</v>
      </c>
    </row>
    <row r="2578">
      <c r="A2578" s="6">
        <v>594.0</v>
      </c>
      <c r="B2578" s="76" t="str">
        <f>IFERROR(VLOOKUP($A2578,EVENTO!$A$2:$C$4999,2,FALSE),"")</f>
        <v>ADITIVO DE PRAZO</v>
      </c>
      <c r="C2578" s="76" t="str">
        <f>IFERROR(VLOOKUP($A2578,EVENTO!$A$2:$C$4999,3,FALSE),"")</f>
        <v>COMPANHIA DE INTELIGÊNCIA URBANA E SERVIÇOS S/A</v>
      </c>
      <c r="D2578" s="78" t="s">
        <v>1928</v>
      </c>
      <c r="E2578" s="6" t="s">
        <v>1929</v>
      </c>
      <c r="F2578" s="78">
        <v>1.0</v>
      </c>
      <c r="G2578" s="79">
        <v>202.0</v>
      </c>
    </row>
    <row r="2579">
      <c r="A2579" s="6">
        <v>594.0</v>
      </c>
      <c r="B2579" s="76" t="str">
        <f>IFERROR(VLOOKUP($A2579,EVENTO!$A$2:$C$4999,2,FALSE),"")</f>
        <v>ADITIVO DE PRAZO</v>
      </c>
      <c r="C2579" s="76" t="str">
        <f>IFERROR(VLOOKUP($A2579,EVENTO!$A$2:$C$4999,3,FALSE),"")</f>
        <v>COMPANHIA DE INTELIGÊNCIA URBANA E SERVIÇOS S/A</v>
      </c>
      <c r="D2579" s="78" t="s">
        <v>1930</v>
      </c>
      <c r="E2579" s="6" t="s">
        <v>1931</v>
      </c>
      <c r="F2579" s="78">
        <v>2.0</v>
      </c>
      <c r="G2579" s="79">
        <v>300.0</v>
      </c>
    </row>
    <row r="2580">
      <c r="A2580" s="6">
        <v>594.0</v>
      </c>
      <c r="B2580" s="76" t="str">
        <f>IFERROR(VLOOKUP($A2580,EVENTO!$A$2:$C$4999,2,FALSE),"")</f>
        <v>ADITIVO DE PRAZO</v>
      </c>
      <c r="C2580" s="76" t="str">
        <f>IFERROR(VLOOKUP($A2580,EVENTO!$A$2:$C$4999,3,FALSE),"")</f>
        <v>COMPANHIA DE INTELIGÊNCIA URBANA E SERVIÇOS S/A</v>
      </c>
      <c r="D2580" s="78" t="s">
        <v>1932</v>
      </c>
      <c r="E2580" s="6" t="s">
        <v>1933</v>
      </c>
      <c r="F2580" s="78">
        <v>2.0</v>
      </c>
      <c r="G2580" s="79">
        <v>189.0</v>
      </c>
    </row>
    <row r="2581">
      <c r="A2581" s="6">
        <v>594.0</v>
      </c>
      <c r="B2581" s="76" t="str">
        <f>IFERROR(VLOOKUP($A2581,EVENTO!$A$2:$C$4999,2,FALSE),"")</f>
        <v>ADITIVO DE PRAZO</v>
      </c>
      <c r="C2581" s="76" t="str">
        <f>IFERROR(VLOOKUP($A2581,EVENTO!$A$2:$C$4999,3,FALSE),"")</f>
        <v>COMPANHIA DE INTELIGÊNCIA URBANA E SERVIÇOS S/A</v>
      </c>
      <c r="D2581" s="78" t="s">
        <v>1934</v>
      </c>
      <c r="E2581" s="6" t="s">
        <v>1935</v>
      </c>
      <c r="F2581" s="78">
        <v>5.0</v>
      </c>
      <c r="G2581" s="79">
        <v>90.38</v>
      </c>
    </row>
    <row r="2582">
      <c r="A2582" s="6">
        <v>595.0</v>
      </c>
      <c r="B2582" s="76" t="str">
        <f>IFERROR(VLOOKUP($A2582,EVENTO!$A$2:$C$4999,2,FALSE),"")</f>
        <v>CADASTRO</v>
      </c>
      <c r="C2582" s="76" t="str">
        <f>IFERROR(VLOOKUP($A2582,EVENTO!$A$2:$C$4999,3,FALSE),"")</f>
        <v> ROZANA DUARTE DA SILVA-ME</v>
      </c>
      <c r="D2582" s="78" t="s">
        <v>1936</v>
      </c>
      <c r="E2582" s="6" t="s">
        <v>1937</v>
      </c>
      <c r="F2582" s="78">
        <v>1.0</v>
      </c>
      <c r="G2582" s="79">
        <v>290.0</v>
      </c>
    </row>
    <row r="2583">
      <c r="A2583" s="6">
        <v>600.0</v>
      </c>
      <c r="B2583" s="76" t="str">
        <f>IFERROR(VLOOKUP($A2583,EVENTO!$A$2:$C$4999,2,FALSE),"")</f>
        <v>CADASTRO</v>
      </c>
      <c r="C2583" s="76" t="str">
        <f>IFERROR(VLOOKUP($A2583,EVENTO!$A$2:$C$4999,3,FALSE),"")</f>
        <v>HF DA ROCHA COMÉRCIO E SERVIÇOS DE INFORMÁTICA</v>
      </c>
      <c r="D2583" s="78" t="s">
        <v>1938</v>
      </c>
      <c r="E2583" s="78"/>
      <c r="F2583" s="78">
        <v>1.0</v>
      </c>
      <c r="G2583" s="79">
        <v>342.0</v>
      </c>
    </row>
    <row r="2584">
      <c r="A2584" s="6">
        <v>604.0</v>
      </c>
      <c r="B2584" s="76" t="str">
        <f>IFERROR(VLOOKUP($A2584,EVENTO!$A$2:$C$4999,2,FALSE),"")</f>
        <v>CADASTRO</v>
      </c>
      <c r="C2584" s="76" t="str">
        <f>IFERROR(VLOOKUP($A2584,EVENTO!$A$2:$C$4999,3,FALSE),"")</f>
        <v>OTICA EVANGELISTA</v>
      </c>
      <c r="D2584" s="78" t="s">
        <v>1939</v>
      </c>
      <c r="E2584" s="6" t="s">
        <v>1940</v>
      </c>
      <c r="F2584" s="78">
        <v>1.0</v>
      </c>
      <c r="G2584" s="79">
        <v>169.0</v>
      </c>
    </row>
    <row r="2585">
      <c r="A2585" s="6">
        <v>605.0</v>
      </c>
      <c r="B2585" s="76" t="str">
        <f>IFERROR(VLOOKUP($A2585,EVENTO!$A$2:$C$4999,2,FALSE),"")</f>
        <v>ADITIVO DE PRAZO</v>
      </c>
      <c r="C2585" s="76" t="str">
        <f>IFERROR(VLOOKUP($A2585,EVENTO!$A$2:$C$4999,3,FALSE),"")</f>
        <v>OTICA EVANGELISTA</v>
      </c>
      <c r="D2585" s="78" t="s">
        <v>1939</v>
      </c>
      <c r="E2585" s="6" t="s">
        <v>1940</v>
      </c>
      <c r="F2585" s="78">
        <v>1.0</v>
      </c>
      <c r="G2585" s="79">
        <v>169.0</v>
      </c>
    </row>
    <row r="2586">
      <c r="A2586" s="6">
        <v>606.0</v>
      </c>
      <c r="B2586" s="76" t="str">
        <f>IFERROR(VLOOKUP($A2586,EVENTO!$A$2:$C$4999,2,FALSE),"")</f>
        <v>ADITIVO DE PRAZO</v>
      </c>
      <c r="C2586" s="76" t="str">
        <f>IFERROR(VLOOKUP($A2586,EVENTO!$A$2:$C$4999,3,FALSE),"")</f>
        <v>OTICA EVANGELISTA</v>
      </c>
      <c r="D2586" s="78" t="s">
        <v>1939</v>
      </c>
      <c r="E2586" s="6" t="s">
        <v>1940</v>
      </c>
      <c r="F2586" s="78">
        <v>1.0</v>
      </c>
      <c r="G2586" s="79">
        <v>169.0</v>
      </c>
    </row>
    <row r="2587">
      <c r="A2587" s="6">
        <v>609.0</v>
      </c>
      <c r="B2587" s="76" t="str">
        <f>IFERROR(VLOOKUP($A2587,EVENTO!$A$2:$C$4999,2,FALSE),"")</f>
        <v>CADASTRO</v>
      </c>
      <c r="C2587" s="76" t="str">
        <f>IFERROR(VLOOKUP($A2587,EVENTO!$A$2:$C$4999,3,FALSE),"")</f>
        <v>FAMA SOLUCOES EM RECUPERACAO DE CREDITO LTDA - 003/2025</v>
      </c>
      <c r="D2587" s="78" t="s">
        <v>1941</v>
      </c>
      <c r="E2587" s="6" t="s">
        <v>1942</v>
      </c>
      <c r="F2587" s="78">
        <v>50.0</v>
      </c>
      <c r="G2587" s="79">
        <v>79.0</v>
      </c>
    </row>
    <row r="2588">
      <c r="A2588" s="6">
        <v>608.0</v>
      </c>
      <c r="B2588" s="76" t="str">
        <f>IFERROR(VLOOKUP($A2588,EVENTO!$A$2:$C$4999,2,FALSE),"")</f>
        <v>CADASTRO</v>
      </c>
      <c r="C2588" s="76" t="str">
        <f>IFERROR(VLOOKUP($A2588,EVENTO!$A$2:$C$4999,3,FALSE),"")</f>
        <v>G&amp;T CONTROLLER LTDA ME - 11/2025</v>
      </c>
      <c r="D2588" s="78" t="s">
        <v>1943</v>
      </c>
      <c r="E2588" s="6" t="s">
        <v>1944</v>
      </c>
      <c r="F2588" s="78">
        <v>1.0</v>
      </c>
      <c r="G2588" s="79"/>
    </row>
    <row r="2589">
      <c r="A2589" s="6">
        <v>610.0</v>
      </c>
      <c r="B2589" s="76" t="str">
        <f>IFERROR(VLOOKUP($A2589,EVENTO!$A$2:$C$4999,2,FALSE),"")</f>
        <v>CADASTRO</v>
      </c>
      <c r="C2589" s="76" t="str">
        <f>IFERROR(VLOOKUP($A2589,EVENTO!$A$2:$C$4999,3,FALSE),"")</f>
        <v>G&amp;T CONTROLLER LTDA ME - 2401.01</v>
      </c>
      <c r="D2589" s="78" t="s">
        <v>1595</v>
      </c>
      <c r="E2589" s="6" t="s">
        <v>1945</v>
      </c>
      <c r="F2589" s="78">
        <v>1.0</v>
      </c>
      <c r="G2589" s="79">
        <v>159.0</v>
      </c>
    </row>
    <row r="2590">
      <c r="A2590" s="6">
        <v>611.0</v>
      </c>
      <c r="B2590" s="76" t="str">
        <f>IFERROR(VLOOKUP($A2590,EVENTO!$A$2:$C$4999,2,FALSE),"")</f>
        <v>CADASTRO</v>
      </c>
      <c r="C2590" s="76" t="str">
        <f>IFERROR(VLOOKUP($A2590,EVENTO!$A$2:$C$4999,3,FALSE),"")</f>
        <v>G&amp;T CONTROLLER LTDA ME - 0603.01</v>
      </c>
      <c r="D2590" s="78" t="s">
        <v>1946</v>
      </c>
      <c r="E2590" s="6" t="s">
        <v>1947</v>
      </c>
      <c r="F2590" s="78">
        <v>1.0</v>
      </c>
      <c r="G2590" s="79">
        <v>170.0</v>
      </c>
    </row>
    <row r="2591">
      <c r="A2591" s="6">
        <v>611.0</v>
      </c>
      <c r="B2591" s="76" t="str">
        <f>IFERROR(VLOOKUP($A2591,EVENTO!$A$2:$C$4999,2,FALSE),"")</f>
        <v>CADASTRO</v>
      </c>
      <c r="C2591" s="76" t="str">
        <f>IFERROR(VLOOKUP($A2591,EVENTO!$A$2:$C$4999,3,FALSE),"")</f>
        <v>G&amp;T CONTROLLER LTDA ME - 0603.01</v>
      </c>
      <c r="D2591" s="78" t="s">
        <v>1893</v>
      </c>
      <c r="E2591" s="6" t="s">
        <v>1948</v>
      </c>
      <c r="F2591" s="78">
        <v>1.0</v>
      </c>
      <c r="G2591" s="79">
        <v>180.0</v>
      </c>
    </row>
    <row r="2592">
      <c r="A2592" s="6">
        <v>612.0</v>
      </c>
      <c r="B2592" s="76" t="str">
        <f>IFERROR(VLOOKUP($A2592,EVENTO!$A$2:$C$4999,2,FALSE),"")</f>
        <v>CADASTRO</v>
      </c>
      <c r="C2592" s="76" t="str">
        <f>IFERROR(VLOOKUP($A2592,EVENTO!$A$2:$C$4999,3,FALSE),"")</f>
        <v>ÂMBITO PÚBLICO ASSESSORIA EM LICITACOES E GESTAO PUBLICA LTDA</v>
      </c>
      <c r="D2592" s="78" t="s">
        <v>1949</v>
      </c>
      <c r="E2592" s="6" t="s">
        <v>1950</v>
      </c>
      <c r="F2592" s="78">
        <v>1.0</v>
      </c>
      <c r="G2592" s="79">
        <v>150.0</v>
      </c>
    </row>
    <row r="2593">
      <c r="A2593" s="6">
        <v>612.0</v>
      </c>
      <c r="B2593" s="76" t="str">
        <f>IFERROR(VLOOKUP($A2593,EVENTO!$A$2:$C$4999,2,FALSE),"")</f>
        <v>CADASTRO</v>
      </c>
      <c r="C2593" s="76" t="str">
        <f>IFERROR(VLOOKUP($A2593,EVENTO!$A$2:$C$4999,3,FALSE),"")</f>
        <v>ÂMBITO PÚBLICO ASSESSORIA EM LICITACOES E GESTAO PUBLICA LTDA</v>
      </c>
      <c r="D2593" s="78" t="s">
        <v>1951</v>
      </c>
      <c r="E2593" s="6" t="s">
        <v>1952</v>
      </c>
      <c r="F2593" s="78">
        <v>1.0</v>
      </c>
      <c r="G2593" s="79">
        <v>150.0</v>
      </c>
    </row>
    <row r="2594">
      <c r="A2594" s="6">
        <v>607.0</v>
      </c>
      <c r="B2594" s="76" t="str">
        <f>IFERROR(VLOOKUP($A2594,EVENTO!$A$2:$C$4999,2,FALSE),"")</f>
        <v>CADASTRO</v>
      </c>
      <c r="C2594" s="76" t="str">
        <f>IFERROR(VLOOKUP($A2594,EVENTO!$A$2:$C$4999,3,FALSE),"")</f>
        <v>IDT</v>
      </c>
      <c r="D2594" s="78" t="s">
        <v>1953</v>
      </c>
      <c r="F2594" s="78">
        <v>9.0</v>
      </c>
      <c r="G2594" s="79">
        <v>2245.0</v>
      </c>
    </row>
    <row r="2595" ht="15.0" customHeight="1">
      <c r="A2595" s="6">
        <v>614.0</v>
      </c>
      <c r="B2595" s="76" t="str">
        <f>IFERROR(VLOOKUP($A2595,EVENTO!$A$2:$C$4999,2,FALSE),"")</f>
        <v>ADITIVO DE QUANTIDADE</v>
      </c>
      <c r="C2595" s="76" t="str">
        <f>IFERROR(VLOOKUP($A2595,EVENTO!$A$2:$C$4999,3,FALSE),"")</f>
        <v>FAMA SOLUCOES EM RECUPERACAO DE CREDITO LTDA - 003/2025</v>
      </c>
      <c r="D2595" s="78" t="s">
        <v>1954</v>
      </c>
      <c r="E2595" s="6" t="s">
        <v>1955</v>
      </c>
      <c r="F2595" s="78">
        <v>3.0</v>
      </c>
      <c r="G2595" s="79">
        <v>79.0</v>
      </c>
    </row>
    <row r="2596" ht="15.0" customHeight="1">
      <c r="A2596" s="6">
        <v>615.0</v>
      </c>
      <c r="B2596" s="76" t="str">
        <f>IFERROR(VLOOKUP($A2596,EVENTO!$A$2:$C$4999,2,FALSE),"")</f>
        <v>ADITIVO DE QUANTIDADE</v>
      </c>
      <c r="C2596" s="76" t="str">
        <f>IFERROR(VLOOKUP($A2596,EVENTO!$A$2:$C$4999,3,FALSE),"")</f>
        <v>FAMA SOLUCOES EM RECUPERACAO DE CREDITO LTDA - 003/2025</v>
      </c>
      <c r="D2596" s="78" t="s">
        <v>1954</v>
      </c>
      <c r="E2596" s="106" t="s">
        <v>1956</v>
      </c>
      <c r="F2596" s="78">
        <v>14.0</v>
      </c>
      <c r="G2596" s="79">
        <v>79.0</v>
      </c>
    </row>
    <row r="2597">
      <c r="A2597" s="6">
        <v>616.0</v>
      </c>
      <c r="B2597" s="76" t="str">
        <f>IFERROR(VLOOKUP($A2597,EVENTO!$A$2:$C$4999,2,FALSE),"")</f>
        <v>ADITIVO DE QUANTIDADE</v>
      </c>
      <c r="C2597" s="76" t="str">
        <f>IFERROR(VLOOKUP($A2597,EVENTO!$A$2:$C$4999,3,FALSE),"")</f>
        <v>FAMA SOLUCOES EM RECUPERACAO DE CREDITO LTDA - 003/2025</v>
      </c>
      <c r="D2597" s="78" t="s">
        <v>1954</v>
      </c>
      <c r="E2597" s="106" t="s">
        <v>1956</v>
      </c>
      <c r="F2597" s="78"/>
      <c r="G2597" s="80"/>
    </row>
    <row r="2598">
      <c r="A2598" s="6">
        <v>618.0</v>
      </c>
      <c r="B2598" s="76" t="str">
        <f>IFERROR(VLOOKUP($A2598,EVENTO!$A$2:$C$4999,2,FALSE),"")</f>
        <v>CADASTRO</v>
      </c>
      <c r="C2598" s="76" t="str">
        <f>IFERROR(VLOOKUP($A2598,EVENTO!$A$2:$C$4999,3,FALSE),"")</f>
        <v>CONEXAO CONSTRUTORA EMPREENDIMENTOS E SOLUCOES LTDA</v>
      </c>
      <c r="D2598" s="78" t="s">
        <v>1957</v>
      </c>
      <c r="E2598" s="6" t="s">
        <v>1958</v>
      </c>
      <c r="F2598" s="78">
        <v>3.0</v>
      </c>
      <c r="G2598" s="79">
        <v>199.0</v>
      </c>
    </row>
    <row r="2599">
      <c r="A2599" s="6">
        <v>618.0</v>
      </c>
      <c r="B2599" s="76" t="str">
        <f>IFERROR(VLOOKUP($A2599,EVENTO!$A$2:$C$4999,2,FALSE),"")</f>
        <v>CADASTRO</v>
      </c>
      <c r="C2599" s="76" t="str">
        <f>IFERROR(VLOOKUP($A2599,EVENTO!$A$2:$C$4999,3,FALSE),"")</f>
        <v>CONEXAO CONSTRUTORA EMPREENDIMENTOS E SOLUCOES LTDA</v>
      </c>
      <c r="D2599" s="78" t="s">
        <v>1959</v>
      </c>
      <c r="E2599" s="6" t="s">
        <v>1960</v>
      </c>
      <c r="F2599" s="78">
        <v>1.0</v>
      </c>
      <c r="G2599" s="79">
        <v>176.0</v>
      </c>
    </row>
    <row r="2600">
      <c r="A2600" s="6">
        <v>617.0</v>
      </c>
      <c r="B2600" s="76" t="str">
        <f>IFERROR(VLOOKUP($A2600,EVENTO!$A$2:$C$4999,2,FALSE),"")</f>
        <v>ADITIVO DE QUANTIDADE</v>
      </c>
      <c r="C2600" s="76" t="str">
        <f>IFERROR(VLOOKUP($A2600,EVENTO!$A$2:$C$4999,3,FALSE),"")</f>
        <v>ISG - CCC &amp; HUC - 106951-21</v>
      </c>
      <c r="D2600" s="78" t="s">
        <v>1729</v>
      </c>
      <c r="E2600" s="6" t="s">
        <v>1961</v>
      </c>
      <c r="F2600" s="78">
        <v>3.0</v>
      </c>
      <c r="G2600" s="79">
        <v>79.0</v>
      </c>
    </row>
    <row r="2601">
      <c r="A2601" s="6">
        <v>617.0</v>
      </c>
      <c r="B2601" s="76" t="str">
        <f>IFERROR(VLOOKUP($A2601,EVENTO!$A$2:$C$4999,2,FALSE),"")</f>
        <v>ADITIVO DE QUANTIDADE</v>
      </c>
      <c r="C2601" s="76" t="str">
        <f>IFERROR(VLOOKUP($A2601,EVENTO!$A$2:$C$4999,3,FALSE),"")</f>
        <v>ISG - CCC &amp; HUC - 106951-21</v>
      </c>
      <c r="D2601" s="78" t="s">
        <v>1729</v>
      </c>
      <c r="E2601" s="6" t="s">
        <v>1961</v>
      </c>
      <c r="F2601" s="78">
        <v>10.0</v>
      </c>
      <c r="G2601" s="79">
        <v>79.0</v>
      </c>
    </row>
    <row r="2602">
      <c r="A2602" s="6">
        <v>617.0</v>
      </c>
      <c r="B2602" s="76" t="str">
        <f>IFERROR(VLOOKUP($A2602,EVENTO!$A$2:$C$4999,2,FALSE),"")</f>
        <v>ADITIVO DE QUANTIDADE</v>
      </c>
      <c r="C2602" s="76" t="str">
        <f>IFERROR(VLOOKUP($A2602,EVENTO!$A$2:$C$4999,3,FALSE),"")</f>
        <v>ISG - CCC &amp; HUC - 106951-21</v>
      </c>
      <c r="D2602" s="78" t="s">
        <v>1729</v>
      </c>
      <c r="E2602" s="6" t="s">
        <v>1962</v>
      </c>
      <c r="F2602" s="78">
        <v>23.0</v>
      </c>
      <c r="G2602" s="79">
        <v>79.0</v>
      </c>
    </row>
    <row r="2603">
      <c r="A2603" s="6">
        <v>619.0</v>
      </c>
      <c r="B2603" s="76" t="str">
        <f>IFERROR(VLOOKUP($A2603,EVENTO!$A$2:$C$4999,2,FALSE),"")</f>
        <v>ADITIVO DE QUANTIDADE</v>
      </c>
      <c r="C2603" s="76" t="str">
        <f>IFERROR(VLOOKUP($A2603,EVENTO!$A$2:$C$4999,3,FALSE),"")</f>
        <v>CONEXAO CONSTRUTORA EMPREENDIMENTOS E SOLUCOES LTDA</v>
      </c>
      <c r="D2603" s="78" t="s">
        <v>1957</v>
      </c>
      <c r="E2603" s="6" t="s">
        <v>1963</v>
      </c>
      <c r="F2603" s="78">
        <v>1.0</v>
      </c>
      <c r="G2603" s="79">
        <v>199.0</v>
      </c>
    </row>
    <row r="2604">
      <c r="A2604" s="6">
        <v>620.0</v>
      </c>
      <c r="B2604" s="76" t="str">
        <f>IFERROR(VLOOKUP($A2604,EVENTO!$A$2:$C$4999,2,FALSE),"")</f>
        <v>CADASTRO</v>
      </c>
      <c r="C2604" s="76" t="str">
        <f>IFERROR(VLOOKUP($A2604,EVENTO!$A$2:$C$4999,3,FALSE),"")</f>
        <v>QUEIROZ EDUCACIONAL LTDA</v>
      </c>
      <c r="D2604" s="78" t="s">
        <v>1964</v>
      </c>
      <c r="E2604" s="6" t="s">
        <v>1965</v>
      </c>
      <c r="F2604" s="78">
        <v>40.0</v>
      </c>
      <c r="G2604" s="79">
        <v>179.0</v>
      </c>
    </row>
    <row r="2605">
      <c r="A2605" s="6">
        <v>621.0</v>
      </c>
      <c r="B2605" s="76" t="str">
        <f>IFERROR(VLOOKUP($A2605,EVENTO!$A$2:$C$4999,2,FALSE),"")</f>
        <v>CADASTRO</v>
      </c>
      <c r="C2605" s="76" t="str">
        <f>IFERROR(VLOOKUP($A2605,EVENTO!$A$2:$C$4999,3,FALSE),"")</f>
        <v>S Z SERVICOS COMERCIO E DISTRIBUICAO</v>
      </c>
      <c r="D2605" s="78" t="s">
        <v>1481</v>
      </c>
      <c r="E2605" s="6" t="s">
        <v>1966</v>
      </c>
      <c r="F2605" s="78">
        <v>3.0</v>
      </c>
      <c r="G2605" s="79">
        <v>270.75</v>
      </c>
    </row>
    <row r="2606">
      <c r="A2606" s="6">
        <v>622.0</v>
      </c>
      <c r="B2606" s="76" t="str">
        <f>IFERROR(VLOOKUP($A2606,EVENTO!$A$2:$C$4999,2,FALSE),"")</f>
        <v>ADITIVO DE QUANTIDADE</v>
      </c>
      <c r="C2606" s="76" t="str">
        <f>IFERROR(VLOOKUP($A2606,EVENTO!$A$2:$C$4999,3,FALSE),"")</f>
        <v>S Z SERVICOS COMERCIO E DISTRIBUICAO</v>
      </c>
      <c r="D2606" s="78" t="s">
        <v>1967</v>
      </c>
      <c r="E2606" s="6" t="s">
        <v>1968</v>
      </c>
      <c r="F2606" s="78">
        <v>2.0</v>
      </c>
      <c r="G2606" s="79">
        <v>270.75</v>
      </c>
    </row>
    <row r="2607">
      <c r="A2607" s="6">
        <v>623.0</v>
      </c>
      <c r="B2607" s="76" t="str">
        <f>IFERROR(VLOOKUP($A2607,EVENTO!$A$2:$C$4999,2,FALSE),"")</f>
        <v>CADASTRO</v>
      </c>
      <c r="C2607" s="76" t="str">
        <f>IFERROR(VLOOKUP($A2607,EVENTO!$A$2:$C$4999,3,FALSE),"")</f>
        <v>CASA TELES COMERCIO DE MOVEIS LTDA</v>
      </c>
      <c r="D2607" s="78" t="s">
        <v>1969</v>
      </c>
      <c r="E2607" s="6" t="s">
        <v>1969</v>
      </c>
      <c r="F2607" s="78">
        <v>1.0</v>
      </c>
      <c r="G2607" s="79">
        <v>169.0</v>
      </c>
    </row>
    <row r="2608">
      <c r="A2608" s="6">
        <v>624.0</v>
      </c>
      <c r="B2608" s="76" t="str">
        <f>IFERROR(VLOOKUP($A2608,EVENTO!$A$2:$C$4999,2,FALSE),"")</f>
        <v>CADASTRO</v>
      </c>
      <c r="C2608" s="76" t="str">
        <f>IFERROR(VLOOKUP($A2608,EVENTO!$A$2:$C$4999,3,FALSE),"")</f>
        <v>Fundação Edson Queiroz</v>
      </c>
      <c r="D2608" s="78" t="s">
        <v>1481</v>
      </c>
      <c r="E2608" s="6" t="s">
        <v>1481</v>
      </c>
      <c r="F2608" s="78">
        <v>10.0</v>
      </c>
      <c r="G2608" s="79">
        <v>120.0</v>
      </c>
    </row>
    <row r="2609">
      <c r="A2609" s="6">
        <v>625.0</v>
      </c>
      <c r="B2609" s="76" t="str">
        <f>IFERROR(VLOOKUP($A2609,EVENTO!$A$2:$C$4999,2,FALSE),"")</f>
        <v>CADASTRO</v>
      </c>
      <c r="C2609" s="76" t="str">
        <f>IFERROR(VLOOKUP($A2609,EVENTO!$A$2:$C$4999,3,FALSE),"")</f>
        <v>TORRES ASSESSORIA EM LICITAÇÕES E GESTÃO PUBLICA LTDA,</v>
      </c>
      <c r="D2609" s="78" t="s">
        <v>1970</v>
      </c>
      <c r="E2609" s="6" t="s">
        <v>1970</v>
      </c>
      <c r="F2609" s="78">
        <v>1.0</v>
      </c>
      <c r="G2609" s="79">
        <v>159.0</v>
      </c>
    </row>
    <row r="2610">
      <c r="A2610" s="6">
        <v>626.0</v>
      </c>
      <c r="B2610" s="76" t="str">
        <f>IFERROR(VLOOKUP($A2610,EVENTO!$A$2:$C$4999,2,FALSE),"")</f>
        <v>CADASTRO</v>
      </c>
      <c r="C2610" s="76" t="str">
        <f>IFERROR(VLOOKUP($A2610,EVENTO!$A$2:$C$4999,3,FALSE),"")</f>
        <v>COMERCIAL DE MEDICAMENTOS CAVALCANTE LTDA - FARMÁCIA PREMIUM</v>
      </c>
      <c r="D2610" s="78" t="s">
        <v>1971</v>
      </c>
      <c r="E2610" s="6" t="s">
        <v>1972</v>
      </c>
      <c r="F2610" s="78">
        <v>1.0</v>
      </c>
      <c r="G2610" s="79">
        <v>120.0</v>
      </c>
    </row>
    <row r="2611">
      <c r="A2611" s="6">
        <v>627.0</v>
      </c>
      <c r="B2611" s="76" t="str">
        <f>IFERROR(VLOOKUP($A2611,EVENTO!$A$2:$C$4999,2,FALSE),"")</f>
        <v>CADASTRO</v>
      </c>
      <c r="C2611" s="76" t="str">
        <f>IFERROR(VLOOKUP($A2611,EVENTO!$A$2:$C$4999,3,FALSE),"")</f>
        <v>PREFEITURA MUNICIPAL DE TAUÁ - SECRETARIA DE GOVERNO</v>
      </c>
      <c r="D2611" s="78" t="s">
        <v>1973</v>
      </c>
      <c r="F2611" s="78">
        <v>2.0</v>
      </c>
      <c r="G2611" s="79">
        <v>352.0</v>
      </c>
    </row>
    <row r="2612">
      <c r="A2612" s="6">
        <v>627.0</v>
      </c>
      <c r="B2612" s="76" t="str">
        <f>IFERROR(VLOOKUP($A2612,EVENTO!$A$2:$C$4999,2,FALSE),"")</f>
        <v>CADASTRO</v>
      </c>
      <c r="C2612" s="76" t="str">
        <f>IFERROR(VLOOKUP($A2612,EVENTO!$A$2:$C$4999,3,FALSE),"")</f>
        <v>PREFEITURA MUNICIPAL DE TAUÁ - SECRETARIA DE GOVERNO</v>
      </c>
      <c r="D2612" s="78" t="s">
        <v>1974</v>
      </c>
      <c r="F2612" s="78">
        <v>2.0</v>
      </c>
      <c r="G2612" s="79">
        <v>265.0</v>
      </c>
    </row>
    <row r="2613">
      <c r="A2613" s="6">
        <v>627.0</v>
      </c>
      <c r="B2613" s="76" t="str">
        <f>IFERROR(VLOOKUP($A2613,EVENTO!$A$2:$C$4999,2,FALSE),"")</f>
        <v>CADASTRO</v>
      </c>
      <c r="C2613" s="76" t="str">
        <f>IFERROR(VLOOKUP($A2613,EVENTO!$A$2:$C$4999,3,FALSE),"")</f>
        <v>PREFEITURA MUNICIPAL DE TAUÁ - SECRETARIA DE GOVERNO</v>
      </c>
      <c r="D2613" s="78" t="s">
        <v>1647</v>
      </c>
      <c r="E2613" s="6" t="s">
        <v>1619</v>
      </c>
      <c r="F2613" s="78">
        <v>1.0</v>
      </c>
      <c r="G2613" s="79">
        <v>378.0</v>
      </c>
    </row>
    <row r="2614">
      <c r="A2614" s="6">
        <v>627.0</v>
      </c>
      <c r="B2614" s="76" t="str">
        <f>IFERROR(VLOOKUP($A2614,EVENTO!$A$2:$C$4999,2,FALSE),"")</f>
        <v>CADASTRO</v>
      </c>
      <c r="C2614" s="76" t="str">
        <f>IFERROR(VLOOKUP($A2614,EVENTO!$A$2:$C$4999,3,FALSE),"")</f>
        <v>PREFEITURA MUNICIPAL DE TAUÁ - SECRETARIA DE GOVERNO</v>
      </c>
      <c r="D2614" s="78" t="s">
        <v>1975</v>
      </c>
      <c r="F2614" s="78">
        <v>5.0</v>
      </c>
      <c r="G2614" s="79">
        <v>207.0</v>
      </c>
    </row>
    <row r="2615">
      <c r="A2615" s="6">
        <v>628.0</v>
      </c>
      <c r="B2615" s="76" t="str">
        <f>IFERROR(VLOOKUP($A2615,EVENTO!$A$2:$C$4999,2,FALSE),"")</f>
        <v>CADASTRO</v>
      </c>
      <c r="C2615" s="76" t="str">
        <f>IFERROR(VLOOKUP($A2615,EVENTO!$A$2:$C$4999,3,FALSE),"")</f>
        <v>SOCIEDADE PAULISTA DE MEDICINA VETERINÁRIA</v>
      </c>
      <c r="D2615" s="78" t="s">
        <v>1976</v>
      </c>
      <c r="E2615" s="107" t="s">
        <v>1977</v>
      </c>
      <c r="F2615" s="78">
        <v>1.0</v>
      </c>
      <c r="G2615" s="79">
        <v>250.0</v>
      </c>
    </row>
    <row r="2616">
      <c r="A2616" s="6">
        <v>629.0</v>
      </c>
      <c r="B2616" s="76" t="str">
        <f>IFERROR(VLOOKUP($A2616,EVENTO!$A$2:$C$4999,2,FALSE),"")</f>
        <v>ADITIVO DE PRAZO</v>
      </c>
      <c r="C2616" s="76" t="str">
        <f>IFERROR(VLOOKUP($A2616,EVENTO!$A$2:$C$4999,3,FALSE),"")</f>
        <v>SOCIEDADE PAULISTA DE MEDICINA VETERINÁRIA</v>
      </c>
      <c r="D2616" s="78" t="s">
        <v>1976</v>
      </c>
      <c r="E2616" s="6" t="s">
        <v>1977</v>
      </c>
      <c r="F2616" s="78">
        <v>1.0</v>
      </c>
      <c r="G2616" s="79">
        <v>250.0</v>
      </c>
    </row>
    <row r="2617">
      <c r="A2617" s="6">
        <v>630.0</v>
      </c>
      <c r="B2617" s="76" t="str">
        <f>IFERROR(VLOOKUP($A2617,EVENTO!$A$2:$C$4999,2,FALSE),"")</f>
        <v>CADASTRO</v>
      </c>
      <c r="C2617" s="76" t="str">
        <f>IFERROR(VLOOKUP($A2617,EVENTO!$A$2:$C$4999,3,FALSE),"")</f>
        <v>FACULDADE CENTRO SUL LTDA</v>
      </c>
      <c r="D2617" s="78" t="s">
        <v>1978</v>
      </c>
      <c r="E2617" s="6" t="s">
        <v>1979</v>
      </c>
      <c r="F2617" s="78">
        <v>25.0</v>
      </c>
      <c r="G2617" s="79">
        <v>250.0</v>
      </c>
    </row>
    <row r="2618">
      <c r="A2618" s="6">
        <v>631.0</v>
      </c>
      <c r="B2618" s="76" t="str">
        <f>IFERROR(VLOOKUP($A2618,EVENTO!$A$2:$C$4999,2,FALSE),"")</f>
        <v>CADASTRO</v>
      </c>
      <c r="C2618" s="76" t="str">
        <f>IFERROR(VLOOKUP($A2618,EVENTO!$A$2:$C$4999,3,FALSE),"")</f>
        <v>INSTITUTO DE SAUDE, EDUCACAO E CULTURA - ISEC</v>
      </c>
      <c r="D2618" s="78" t="s">
        <v>1980</v>
      </c>
      <c r="E2618" s="6" t="s">
        <v>1979</v>
      </c>
      <c r="F2618" s="78">
        <v>10.0</v>
      </c>
      <c r="G2618" s="79">
        <v>250.0</v>
      </c>
    </row>
    <row r="2619">
      <c r="A2619" s="6">
        <v>632.0</v>
      </c>
      <c r="B2619" s="76" t="str">
        <f>IFERROR(VLOOKUP($A2619,EVENTO!$A$2:$C$4999,2,FALSE),"")</f>
        <v>CADASTRO</v>
      </c>
      <c r="C2619" s="76" t="str">
        <f>IFERROR(VLOOKUP($A2619,EVENTO!$A$2:$C$4999,3,FALSE),"")</f>
        <v>CEE - CENTRO DE EDUCACÃO ELIT LTDA</v>
      </c>
      <c r="D2619" s="78" t="s">
        <v>1981</v>
      </c>
      <c r="E2619" s="6" t="s">
        <v>1982</v>
      </c>
      <c r="F2619" s="78">
        <v>50.0</v>
      </c>
      <c r="G2619" s="79">
        <v>135.0</v>
      </c>
    </row>
    <row r="2620">
      <c r="A2620" s="6">
        <v>632.0</v>
      </c>
      <c r="B2620" s="76" t="str">
        <f>IFERROR(VLOOKUP($A2620,EVENTO!$A$2:$C$4999,2,FALSE),"")</f>
        <v>CADASTRO</v>
      </c>
      <c r="C2620" s="76" t="str">
        <f>IFERROR(VLOOKUP($A2620,EVENTO!$A$2:$C$4999,3,FALSE),"")</f>
        <v>CEE - CENTRO DE EDUCACÃO ELIT LTDA</v>
      </c>
      <c r="D2620" s="78" t="s">
        <v>1983</v>
      </c>
      <c r="E2620" s="6" t="s">
        <v>1984</v>
      </c>
      <c r="F2620" s="78">
        <v>70.0</v>
      </c>
      <c r="G2620" s="79">
        <v>125.0</v>
      </c>
    </row>
    <row r="2621">
      <c r="A2621" s="6">
        <v>633.0</v>
      </c>
      <c r="B2621" s="76" t="str">
        <f>IFERROR(VLOOKUP($A2621,EVENTO!$A$2:$C$4999,2,FALSE),"")</f>
        <v>CADASTRO</v>
      </c>
      <c r="C2621" s="76" t="str">
        <f>IFERROR(VLOOKUP($A2621,EVENTO!$A$2:$C$4999,3,FALSE),"")</f>
        <v>CASPE SERVIÇOS DE CONTABILIDADE PÚBLICA E EMPRESARIAL SS,</v>
      </c>
      <c r="D2621" s="78" t="s">
        <v>1985</v>
      </c>
      <c r="E2621" s="6" t="s">
        <v>1986</v>
      </c>
      <c r="F2621" s="78">
        <v>4.0</v>
      </c>
      <c r="G2621" s="79">
        <v>249.0</v>
      </c>
    </row>
    <row r="2622">
      <c r="A2622" s="6">
        <v>633.0</v>
      </c>
      <c r="B2622" s="76" t="str">
        <f>IFERROR(VLOOKUP($A2622,EVENTO!$A$2:$C$4999,2,FALSE),"")</f>
        <v>CADASTRO</v>
      </c>
      <c r="C2622" s="76" t="str">
        <f>IFERROR(VLOOKUP($A2622,EVENTO!$A$2:$C$4999,3,FALSE),"")</f>
        <v>CASPE SERVIÇOS DE CONTABILIDADE PÚBLICA E EMPRESARIAL SS,</v>
      </c>
      <c r="D2622" s="78" t="s">
        <v>1987</v>
      </c>
      <c r="E2622" s="6" t="s">
        <v>1987</v>
      </c>
      <c r="F2622" s="78">
        <v>4.0</v>
      </c>
      <c r="G2622" s="79">
        <v>25.0</v>
      </c>
    </row>
    <row r="2623">
      <c r="A2623" s="6">
        <v>634.0</v>
      </c>
      <c r="B2623" s="76" t="str">
        <f>IFERROR(VLOOKUP($A2623,EVENTO!$A$2:$C$4999,2,FALSE),"")</f>
        <v>CADASTRO</v>
      </c>
      <c r="C2623" s="76" t="str">
        <f>IFERROR(VLOOKUP($A2623,EVENTO!$A$2:$C$4999,3,FALSE),"")</f>
        <v>MN EMPREENDIMENTOS E SOLUÇÕES ADMINISTRATIVAS EIRELI</v>
      </c>
      <c r="D2623" s="78" t="s">
        <v>1647</v>
      </c>
      <c r="E2623" s="6" t="s">
        <v>1618</v>
      </c>
      <c r="F2623" s="78">
        <v>2.0</v>
      </c>
      <c r="G2623" s="79">
        <v>201.0</v>
      </c>
    </row>
    <row r="2624">
      <c r="A2624" s="6">
        <v>634.0</v>
      </c>
      <c r="B2624" s="76" t="str">
        <f>IFERROR(VLOOKUP($A2624,EVENTO!$A$2:$C$4999,2,FALSE),"")</f>
        <v>CADASTRO</v>
      </c>
      <c r="C2624" s="76" t="str">
        <f>IFERROR(VLOOKUP($A2624,EVENTO!$A$2:$C$4999,3,FALSE),"")</f>
        <v>MN EMPREENDIMENTOS E SOLUÇÕES ADMINISTRATIVAS EIRELI</v>
      </c>
      <c r="D2624" s="78" t="s">
        <v>1988</v>
      </c>
      <c r="E2624" s="6" t="s">
        <v>1977</v>
      </c>
      <c r="F2624" s="78">
        <v>1.0</v>
      </c>
      <c r="G2624" s="79">
        <v>390.0</v>
      </c>
    </row>
    <row r="2625">
      <c r="A2625" s="6">
        <v>634.0</v>
      </c>
      <c r="B2625" s="76" t="str">
        <f>IFERROR(VLOOKUP($A2625,EVENTO!$A$2:$C$4999,2,FALSE),"")</f>
        <v>CADASTRO</v>
      </c>
      <c r="C2625" s="76" t="str">
        <f>IFERROR(VLOOKUP($A2625,EVENTO!$A$2:$C$4999,3,FALSE),"")</f>
        <v>MN EMPREENDIMENTOS E SOLUÇÕES ADMINISTRATIVAS EIRELI</v>
      </c>
      <c r="D2625" s="78" t="s">
        <v>1989</v>
      </c>
      <c r="E2625" s="6" t="s">
        <v>1989</v>
      </c>
      <c r="F2625" s="78">
        <v>1.0</v>
      </c>
      <c r="G2625" s="79">
        <v>173.0</v>
      </c>
    </row>
    <row r="2626">
      <c r="A2626" s="6">
        <v>635.0</v>
      </c>
      <c r="B2626" s="76" t="str">
        <f>IFERROR(VLOOKUP($A2626,EVENTO!$A$2:$C$4999,2,FALSE),"")</f>
        <v>ADITIVO DE PRAZO</v>
      </c>
      <c r="C2626" s="76" t="str">
        <f>IFERROR(VLOOKUP($A2626,EVENTO!$A$2:$C$4999,3,FALSE),"")</f>
        <v>MN EMPREENDIMENTOS E SOLUÇÕES ADMINISTRATIVAS EIRELI</v>
      </c>
      <c r="D2626" s="78" t="s">
        <v>1618</v>
      </c>
      <c r="E2626" s="6" t="s">
        <v>1618</v>
      </c>
      <c r="F2626" s="78">
        <v>2.0</v>
      </c>
      <c r="G2626" s="79">
        <v>201.0</v>
      </c>
    </row>
    <row r="2627">
      <c r="A2627" s="6">
        <v>635.0</v>
      </c>
      <c r="B2627" s="76" t="str">
        <f>IFERROR(VLOOKUP($A2627,EVENTO!$A$2:$C$4999,2,FALSE),"")</f>
        <v>ADITIVO DE PRAZO</v>
      </c>
      <c r="C2627" s="76" t="str">
        <f>IFERROR(VLOOKUP($A2627,EVENTO!$A$2:$C$4999,3,FALSE),"")</f>
        <v>MN EMPREENDIMENTOS E SOLUÇÕES ADMINISTRATIVAS EIRELI</v>
      </c>
      <c r="D2627" s="78" t="s">
        <v>1988</v>
      </c>
      <c r="E2627" s="6" t="s">
        <v>1988</v>
      </c>
      <c r="F2627" s="78">
        <v>1.0</v>
      </c>
      <c r="G2627" s="79">
        <v>390.0</v>
      </c>
    </row>
    <row r="2628">
      <c r="A2628" s="6">
        <v>635.0</v>
      </c>
      <c r="B2628" s="76" t="str">
        <f>IFERROR(VLOOKUP($A2628,EVENTO!$A$2:$C$4999,2,FALSE),"")</f>
        <v>ADITIVO DE PRAZO</v>
      </c>
      <c r="C2628" s="76" t="str">
        <f>IFERROR(VLOOKUP($A2628,EVENTO!$A$2:$C$4999,3,FALSE),"")</f>
        <v>MN EMPREENDIMENTOS E SOLUÇÕES ADMINISTRATIVAS EIRELI</v>
      </c>
      <c r="D2628" s="78" t="s">
        <v>1989</v>
      </c>
      <c r="E2628" s="78" t="s">
        <v>1989</v>
      </c>
      <c r="F2628" s="78">
        <v>1.0</v>
      </c>
      <c r="G2628" s="79">
        <v>173.0</v>
      </c>
    </row>
    <row r="2629">
      <c r="A2629" s="6">
        <v>636.0</v>
      </c>
      <c r="B2629" s="108" t="s">
        <v>1324</v>
      </c>
      <c r="C2629" s="76" t="str">
        <f>IFERROR(VLOOKUP($A2629,EVENTO!$A$2:$C$4999,3,FALSE),"")</f>
        <v>MN EMPREENDIMENTOS E SOLUÇÕES ADMINISTRATIVAS EIRELI</v>
      </c>
      <c r="D2629" s="78" t="s">
        <v>1618</v>
      </c>
      <c r="E2629" s="78" t="s">
        <v>1618</v>
      </c>
      <c r="F2629" s="78">
        <v>2.0</v>
      </c>
      <c r="G2629" s="79">
        <v>201.0</v>
      </c>
    </row>
    <row r="2630">
      <c r="A2630" s="6">
        <v>636.0</v>
      </c>
      <c r="B2630" s="76" t="str">
        <f>IFERROR(VLOOKUP($A2630,EVENTO!$A$2:$C$4999,2,FALSE),"")</f>
        <v>ADITIVO DE PRAZO</v>
      </c>
      <c r="C2630" s="76" t="str">
        <f>IFERROR(VLOOKUP($A2630,EVENTO!$A$2:$C$4999,3,FALSE),"")</f>
        <v>MN EMPREENDIMENTOS E SOLUÇÕES ADMINISTRATIVAS EIRELI</v>
      </c>
      <c r="D2630" s="78" t="s">
        <v>1988</v>
      </c>
      <c r="E2630" s="78" t="s">
        <v>1988</v>
      </c>
      <c r="F2630" s="78">
        <v>1.0</v>
      </c>
      <c r="G2630" s="79">
        <v>390.0</v>
      </c>
    </row>
    <row r="2631">
      <c r="A2631" s="6">
        <v>636.0</v>
      </c>
      <c r="B2631" s="76" t="str">
        <f>IFERROR(VLOOKUP($A2631,EVENTO!$A$2:$C$4999,2,FALSE),"")</f>
        <v>ADITIVO DE PRAZO</v>
      </c>
      <c r="C2631" s="76" t="str">
        <f>IFERROR(VLOOKUP($A2631,EVENTO!$A$2:$C$4999,3,FALSE),"")</f>
        <v>MN EMPREENDIMENTOS E SOLUÇÕES ADMINISTRATIVAS EIRELI</v>
      </c>
      <c r="D2631" s="78" t="s">
        <v>1989</v>
      </c>
      <c r="E2631" s="78" t="s">
        <v>1989</v>
      </c>
      <c r="F2631" s="78">
        <v>1.0</v>
      </c>
      <c r="G2631" s="79">
        <v>173.0</v>
      </c>
    </row>
    <row r="2632">
      <c r="A2632" s="6">
        <v>637.0</v>
      </c>
      <c r="B2632" s="76" t="str">
        <f>IFERROR(VLOOKUP($A2632,EVENTO!$A$2:$C$4999,2,FALSE),"")</f>
        <v>ADITIVO DE PRAZO</v>
      </c>
      <c r="C2632" s="76" t="str">
        <f>IFERROR(VLOOKUP($A2632,EVENTO!$A$2:$C$4999,3,FALSE),"")</f>
        <v>MN EMPREENDIMENTOS E SOLUÇÕES ADMINISTRATIVAS EIRELI</v>
      </c>
      <c r="D2632" s="78" t="s">
        <v>1618</v>
      </c>
      <c r="E2632" s="78" t="s">
        <v>1618</v>
      </c>
      <c r="F2632" s="78">
        <v>2.0</v>
      </c>
      <c r="G2632" s="79">
        <v>201.0</v>
      </c>
    </row>
    <row r="2633">
      <c r="A2633" s="6">
        <v>637.0</v>
      </c>
      <c r="B2633" s="76" t="str">
        <f>IFERROR(VLOOKUP($A2633,EVENTO!$A$2:$C$4999,2,FALSE),"")</f>
        <v>ADITIVO DE PRAZO</v>
      </c>
      <c r="C2633" s="76" t="str">
        <f>IFERROR(VLOOKUP($A2633,EVENTO!$A$2:$C$4999,3,FALSE),"")</f>
        <v>MN EMPREENDIMENTOS E SOLUÇÕES ADMINISTRATIVAS EIRELI</v>
      </c>
      <c r="D2633" s="78" t="s">
        <v>1988</v>
      </c>
      <c r="E2633" s="78" t="s">
        <v>1988</v>
      </c>
      <c r="F2633" s="78">
        <v>1.0</v>
      </c>
      <c r="G2633" s="79">
        <v>390.0</v>
      </c>
    </row>
    <row r="2634">
      <c r="A2634" s="6">
        <v>637.0</v>
      </c>
      <c r="B2634" s="76" t="str">
        <f>IFERROR(VLOOKUP($A2634,EVENTO!$A$2:$C$4999,2,FALSE),"")</f>
        <v>ADITIVO DE PRAZO</v>
      </c>
      <c r="C2634" s="76" t="str">
        <f>IFERROR(VLOOKUP($A2634,EVENTO!$A$2:$C$4999,3,FALSE),"")</f>
        <v>MN EMPREENDIMENTOS E SOLUÇÕES ADMINISTRATIVAS EIRELI</v>
      </c>
      <c r="D2634" s="78" t="s">
        <v>1989</v>
      </c>
      <c r="E2634" s="78" t="s">
        <v>1989</v>
      </c>
      <c r="F2634" s="78">
        <v>1.0</v>
      </c>
      <c r="G2634" s="79">
        <v>173.0</v>
      </c>
    </row>
    <row r="2635">
      <c r="A2635" s="6">
        <v>607.0</v>
      </c>
      <c r="B2635" s="76" t="str">
        <f>IFERROR(VLOOKUP($A2635,EVENTO!$A$2:$C$4999,2,FALSE),"")</f>
        <v>CADASTRO</v>
      </c>
      <c r="C2635" s="76" t="str">
        <f>IFERROR(VLOOKUP($A2635,EVENTO!$A$2:$C$4999,3,FALSE),"")</f>
        <v>IDT</v>
      </c>
      <c r="D2635" s="78" t="s">
        <v>1990</v>
      </c>
      <c r="E2635" s="6" t="s">
        <v>1991</v>
      </c>
      <c r="F2635" s="78">
        <v>9.0</v>
      </c>
      <c r="G2635" s="79">
        <v>230.0</v>
      </c>
    </row>
    <row r="2636">
      <c r="A2636" s="6">
        <v>607.0</v>
      </c>
      <c r="B2636" s="76" t="str">
        <f>IFERROR(VLOOKUP($A2636,EVENTO!$A$2:$C$4999,2,FALSE),"")</f>
        <v>CADASTRO</v>
      </c>
      <c r="C2636" s="76" t="str">
        <f>IFERROR(VLOOKUP($A2635,EVENTO!$A$2:$C$4999,3,FALSE),"")</f>
        <v>IDT</v>
      </c>
      <c r="D2636" s="78" t="s">
        <v>1992</v>
      </c>
      <c r="F2636" s="78"/>
      <c r="G2636" s="80"/>
    </row>
    <row r="2637">
      <c r="A2637" s="6">
        <v>639.0</v>
      </c>
      <c r="B2637" s="76" t="str">
        <f>IFERROR(VLOOKUP($A2637,EVENTO!$A$2:$C$4999,2,FALSE),"")</f>
        <v>ADITIVO DE SUPRESSÃO</v>
      </c>
      <c r="C2637" s="76" t="str">
        <f>IFERROR(VLOOKUP($A2637,EVENTO!$A$2:$C$4999,3,FALSE),"")</f>
        <v>PREFEITURA MUNICIPAL DE TAUÁ - SECRETARIA DE GOVERNO</v>
      </c>
      <c r="D2637" s="78" t="s">
        <v>1973</v>
      </c>
      <c r="F2637" s="78">
        <v>2.0</v>
      </c>
      <c r="G2637" s="79">
        <v>264.0</v>
      </c>
    </row>
    <row r="2638">
      <c r="A2638" s="6">
        <v>639.0</v>
      </c>
      <c r="B2638" s="76" t="str">
        <f>IFERROR(VLOOKUP($A2638,EVENTO!$A$2:$C$4999,2,FALSE),"")</f>
        <v>ADITIVO DE SUPRESSÃO</v>
      </c>
      <c r="C2638" s="76" t="str">
        <f>IFERROR(VLOOKUP($A2638,EVENTO!$A$2:$C$4999,3,FALSE),"")</f>
        <v>PREFEITURA MUNICIPAL DE TAUÁ - SECRETARIA DE GOVERNO</v>
      </c>
      <c r="D2638" s="78" t="s">
        <v>1974</v>
      </c>
      <c r="F2638" s="78">
        <v>2.0</v>
      </c>
      <c r="G2638" s="79">
        <v>198.75</v>
      </c>
    </row>
    <row r="2639">
      <c r="A2639" s="6">
        <v>639.0</v>
      </c>
      <c r="B2639" s="76" t="str">
        <f>IFERROR(VLOOKUP($A2639,EVENTO!$A$2:$C$4999,2,FALSE),"")</f>
        <v>ADITIVO DE SUPRESSÃO</v>
      </c>
      <c r="C2639" s="76" t="str">
        <f>IFERROR(VLOOKUP($A2639,EVENTO!$A$2:$C$4999,3,FALSE),"")</f>
        <v>PREFEITURA MUNICIPAL DE TAUÁ - SECRETARIA DE GOVERNO</v>
      </c>
      <c r="D2639" s="78" t="s">
        <v>1647</v>
      </c>
      <c r="E2639" s="6" t="s">
        <v>1619</v>
      </c>
      <c r="F2639" s="78">
        <v>1.0</v>
      </c>
      <c r="G2639" s="79">
        <v>283.5</v>
      </c>
    </row>
    <row r="2640">
      <c r="A2640" s="6">
        <v>639.0</v>
      </c>
      <c r="B2640" s="76" t="str">
        <f>IFERROR(VLOOKUP($A2640,EVENTO!$A$2:$C$4999,2,FALSE),"")</f>
        <v>ADITIVO DE SUPRESSÃO</v>
      </c>
      <c r="C2640" s="76" t="str">
        <f>IFERROR(VLOOKUP($A2640,EVENTO!$A$2:$C$4999,3,FALSE),"")</f>
        <v>PREFEITURA MUNICIPAL DE TAUÁ - SECRETARIA DE GOVERNO</v>
      </c>
      <c r="D2640" s="78" t="s">
        <v>1975</v>
      </c>
      <c r="F2640" s="78">
        <v>5.0</v>
      </c>
      <c r="G2640" s="79">
        <v>155.25</v>
      </c>
    </row>
    <row r="2641">
      <c r="A2641" s="6">
        <v>640.0</v>
      </c>
      <c r="B2641" s="76" t="str">
        <f>IFERROR(VLOOKUP($A2641,EVENTO!$A$2:$C$4999,2,FALSE),"")</f>
        <v>CADASTRO</v>
      </c>
      <c r="C2641" s="76" t="str">
        <f>IFERROR(VLOOKUP($A2641,EVENTO!$A$2:$C$4999,3,FALSE),"")</f>
        <v>PREFEITURA MUNICIPAL DE TAUÁ - SECRETARIA DE DESENVOLVIMENTO RURAL E RECURSOS HIDRICOS</v>
      </c>
      <c r="D2641" s="78" t="s">
        <v>1973</v>
      </c>
      <c r="E2641" s="6" t="s">
        <v>1615</v>
      </c>
      <c r="F2641" s="78">
        <v>4.0</v>
      </c>
      <c r="G2641" s="79">
        <v>352.0</v>
      </c>
    </row>
    <row r="2642">
      <c r="A2642" s="6">
        <v>640.0</v>
      </c>
      <c r="B2642" s="76" t="str">
        <f>IFERROR(VLOOKUP($A2642,EVENTO!$A$2:$C$4999,2,FALSE),"")</f>
        <v>CADASTRO</v>
      </c>
      <c r="C2642" s="76" t="str">
        <f>IFERROR(VLOOKUP($A2642,EVENTO!$A$2:$C$4999,3,FALSE),"")</f>
        <v>PREFEITURA MUNICIPAL DE TAUÁ - SECRETARIA DE DESENVOLVIMENTO RURAL E RECURSOS HIDRICOS</v>
      </c>
      <c r="D2642" s="78" t="s">
        <v>1993</v>
      </c>
      <c r="E2642" s="6" t="s">
        <v>1617</v>
      </c>
      <c r="F2642" s="78">
        <v>2.0</v>
      </c>
      <c r="G2642" s="79">
        <v>265.0</v>
      </c>
    </row>
    <row r="2643">
      <c r="A2643" s="6">
        <v>640.0</v>
      </c>
      <c r="B2643" s="76" t="str">
        <f>IFERROR(VLOOKUP($A2643,EVENTO!$A$2:$C$4999,2,FALSE),"")</f>
        <v>CADASTRO</v>
      </c>
      <c r="C2643" s="76" t="str">
        <f>IFERROR(VLOOKUP($A2643,EVENTO!$A$2:$C$4999,3,FALSE),"")</f>
        <v>PREFEITURA MUNICIPAL DE TAUÁ - SECRETARIA DE DESENVOLVIMENTO RURAL E RECURSOS HIDRICOS</v>
      </c>
      <c r="D2643" s="78" t="s">
        <v>1994</v>
      </c>
      <c r="E2643" s="6" t="s">
        <v>1619</v>
      </c>
      <c r="F2643" s="78">
        <v>4.0</v>
      </c>
      <c r="G2643" s="79">
        <v>207.0</v>
      </c>
    </row>
    <row r="2644">
      <c r="A2644" s="6">
        <v>641.0</v>
      </c>
      <c r="B2644" s="76" t="str">
        <f>IFERROR(VLOOKUP($A2644,EVENTO!$A$2:$C$4999,2,FALSE),"")</f>
        <v>ADITIVO DE SUPRESSÃO</v>
      </c>
      <c r="C2644" s="76" t="str">
        <f>IFERROR(VLOOKUP($A2644,EVENTO!$A$2:$C$4999,3,FALSE),"")</f>
        <v>PREFEITURA MUNICIPAL DE TAUÁ - SECRETARIA DE DESENVOLVIMENTO RURAL E RECURSOS HIDRICOS</v>
      </c>
      <c r="D2644" s="78" t="s">
        <v>1973</v>
      </c>
      <c r="E2644" s="6" t="s">
        <v>1615</v>
      </c>
      <c r="F2644" s="78">
        <v>4.0</v>
      </c>
      <c r="G2644" s="79">
        <v>264.0</v>
      </c>
    </row>
    <row r="2645">
      <c r="A2645" s="6">
        <v>641.0</v>
      </c>
      <c r="B2645" s="76" t="str">
        <f>IFERROR(VLOOKUP($A2645,EVENTO!$A$2:$C$4999,2,FALSE),"")</f>
        <v>ADITIVO DE SUPRESSÃO</v>
      </c>
      <c r="C2645" s="76" t="str">
        <f>IFERROR(VLOOKUP($A2645,EVENTO!$A$2:$C$4999,3,FALSE),"")</f>
        <v>PREFEITURA MUNICIPAL DE TAUÁ - SECRETARIA DE DESENVOLVIMENTO RURAL E RECURSOS HIDRICOS</v>
      </c>
      <c r="D2645" s="78" t="s">
        <v>1993</v>
      </c>
      <c r="E2645" s="6" t="s">
        <v>1617</v>
      </c>
      <c r="F2645" s="78">
        <v>2.0</v>
      </c>
      <c r="G2645" s="79">
        <v>198.75</v>
      </c>
    </row>
    <row r="2646">
      <c r="A2646" s="6">
        <v>641.0</v>
      </c>
      <c r="B2646" s="76" t="str">
        <f>IFERROR(VLOOKUP($A2646,EVENTO!$A$2:$C$4999,2,FALSE),"")</f>
        <v>ADITIVO DE SUPRESSÃO</v>
      </c>
      <c r="C2646" s="76" t="str">
        <f>IFERROR(VLOOKUP($A2646,EVENTO!$A$2:$C$4999,3,FALSE),"")</f>
        <v>PREFEITURA MUNICIPAL DE TAUÁ - SECRETARIA DE DESENVOLVIMENTO RURAL E RECURSOS HIDRICOS</v>
      </c>
      <c r="D2646" s="78" t="s">
        <v>1994</v>
      </c>
      <c r="E2646" s="6" t="s">
        <v>1619</v>
      </c>
      <c r="F2646" s="78">
        <v>4.0</v>
      </c>
      <c r="G2646" s="79">
        <v>155.25</v>
      </c>
    </row>
    <row r="2647">
      <c r="A2647" s="6">
        <v>643.0</v>
      </c>
      <c r="B2647" s="76" t="str">
        <f>IFERROR(VLOOKUP($A2647,EVENTO!$A$2:$C$4999,2,FALSE),"")</f>
        <v>CADASTRO</v>
      </c>
      <c r="C2647" s="76" t="str">
        <f>IFERROR(VLOOKUP($A2647,EVENTO!$A$2:$C$4999,3,FALSE),"")</f>
        <v>PREFEITURA MUNICIPAL DE AQUIRAZ - SECRETARIA DE ADMINISTRAÇÃO E PLANEJAMENTO</v>
      </c>
      <c r="D2647" s="78" t="s">
        <v>1862</v>
      </c>
      <c r="F2647" s="78">
        <v>4.0</v>
      </c>
      <c r="G2647" s="79">
        <v>125.0</v>
      </c>
    </row>
    <row r="2648">
      <c r="A2648" s="6">
        <v>643.0</v>
      </c>
      <c r="B2648" s="76" t="str">
        <f>IFERROR(VLOOKUP($A2648,EVENTO!$A$2:$C$4999,2,FALSE),"")</f>
        <v>CADASTRO</v>
      </c>
      <c r="C2648" s="76" t="str">
        <f>IFERROR(VLOOKUP($A2648,EVENTO!$A$2:$C$4999,3,FALSE),"")</f>
        <v>PREFEITURA MUNICIPAL DE AQUIRAZ - SECRETARIA DE ADMINISTRAÇÃO E PLANEJAMENTO</v>
      </c>
      <c r="D2648" s="78" t="s">
        <v>1995</v>
      </c>
      <c r="F2648" s="78">
        <v>1.0</v>
      </c>
      <c r="G2648" s="79">
        <v>1000.0</v>
      </c>
    </row>
    <row r="2649">
      <c r="A2649" s="6">
        <v>643.0</v>
      </c>
      <c r="B2649" s="76" t="str">
        <f>IFERROR(VLOOKUP($A2649,EVENTO!$A$2:$C$4999,2,FALSE),"")</f>
        <v>CADASTRO</v>
      </c>
      <c r="C2649" s="76" t="str">
        <f>IFERROR(VLOOKUP($A2649,EVENTO!$A$2:$C$4999,3,FALSE),"")</f>
        <v>PREFEITURA MUNICIPAL DE AQUIRAZ - SECRETARIA DE ADMINISTRAÇÃO E PLANEJAMENTO</v>
      </c>
      <c r="D2649" s="78" t="s">
        <v>1996</v>
      </c>
      <c r="F2649" s="78">
        <v>6.0</v>
      </c>
      <c r="G2649" s="79">
        <v>180.0</v>
      </c>
    </row>
    <row r="2650">
      <c r="A2650" s="6">
        <v>643.0</v>
      </c>
      <c r="B2650" s="76" t="str">
        <f>IFERROR(VLOOKUP($A2650,EVENTO!$A$2:$C$4999,2,FALSE),"")</f>
        <v>CADASTRO</v>
      </c>
      <c r="C2650" s="76" t="str">
        <f>IFERROR(VLOOKUP($A2650,EVENTO!$A$2:$C$4999,3,FALSE),"")</f>
        <v>PREFEITURA MUNICIPAL DE AQUIRAZ - SECRETARIA DE ADMINISTRAÇÃO E PLANEJAMENTO</v>
      </c>
      <c r="D2650" s="78" t="s">
        <v>1997</v>
      </c>
      <c r="F2650" s="78">
        <v>8.0</v>
      </c>
      <c r="G2650" s="79">
        <v>175.0</v>
      </c>
    </row>
    <row r="2651">
      <c r="A2651" s="6">
        <v>643.0</v>
      </c>
      <c r="B2651" s="76" t="str">
        <f>IFERROR(VLOOKUP($A2651,EVENTO!$A$2:$C$4999,2,FALSE),"")</f>
        <v>CADASTRO</v>
      </c>
      <c r="C2651" s="76" t="str">
        <f>IFERROR(VLOOKUP($A2651,EVENTO!$A$2:$C$4999,3,FALSE),"")</f>
        <v>PREFEITURA MUNICIPAL DE AQUIRAZ - SECRETARIA DE ADMINISTRAÇÃO E PLANEJAMENTO</v>
      </c>
      <c r="D2651" s="78" t="s">
        <v>1998</v>
      </c>
      <c r="F2651" s="78">
        <v>7.0</v>
      </c>
      <c r="G2651" s="79">
        <v>300.0</v>
      </c>
    </row>
    <row r="2652">
      <c r="A2652" s="6">
        <v>643.0</v>
      </c>
      <c r="B2652" s="76" t="str">
        <f>IFERROR(VLOOKUP($A2652,EVENTO!$A$2:$C$4999,2,FALSE),"")</f>
        <v>CADASTRO</v>
      </c>
      <c r="C2652" s="76" t="str">
        <f>IFERROR(VLOOKUP($A2652,EVENTO!$A$2:$C$4999,3,FALSE),"")</f>
        <v>PREFEITURA MUNICIPAL DE AQUIRAZ - SECRETARIA DE ADMINISTRAÇÃO E PLANEJAMENTO</v>
      </c>
      <c r="D2652" s="78" t="s">
        <v>1999</v>
      </c>
      <c r="F2652" s="78">
        <v>1.0</v>
      </c>
      <c r="G2652" s="79">
        <v>113.0</v>
      </c>
    </row>
    <row r="2653">
      <c r="A2653" s="6">
        <v>643.0</v>
      </c>
      <c r="B2653" s="76" t="str">
        <f>IFERROR(VLOOKUP($A2653,EVENTO!$A$2:$C$4999,2,FALSE),"")</f>
        <v>CADASTRO</v>
      </c>
      <c r="C2653" s="76" t="str">
        <f>IFERROR(VLOOKUP($A2653,EVENTO!$A$2:$C$4999,3,FALSE),"")</f>
        <v>PREFEITURA MUNICIPAL DE AQUIRAZ - SECRETARIA DE ADMINISTRAÇÃO E PLANEJAMENTO</v>
      </c>
      <c r="D2653" s="78" t="s">
        <v>1370</v>
      </c>
      <c r="F2653" s="78">
        <v>4.0</v>
      </c>
      <c r="G2653" s="79">
        <v>226.0</v>
      </c>
    </row>
    <row r="2654">
      <c r="A2654" s="6">
        <v>643.0</v>
      </c>
      <c r="B2654" s="76" t="str">
        <f>IFERROR(VLOOKUP($A2654,EVENTO!$A$2:$C$4999,2,FALSE),"")</f>
        <v>CADASTRO</v>
      </c>
      <c r="C2654" s="76" t="str">
        <f>IFERROR(VLOOKUP($A2654,EVENTO!$A$2:$C$4999,3,FALSE),"")</f>
        <v>PREFEITURA MUNICIPAL DE AQUIRAZ - SECRETARIA DE ADMINISTRAÇÃO E PLANEJAMENTO</v>
      </c>
      <c r="D2654" s="78" t="s">
        <v>2000</v>
      </c>
      <c r="F2654" s="78">
        <v>1.0</v>
      </c>
      <c r="G2654" s="79">
        <v>288.0</v>
      </c>
    </row>
    <row r="2655">
      <c r="A2655" s="6">
        <v>643.0</v>
      </c>
      <c r="B2655" s="76" t="str">
        <f>IFERROR(VLOOKUP($A2655,EVENTO!$A$2:$C$4999,2,FALSE),"")</f>
        <v>CADASTRO</v>
      </c>
      <c r="C2655" s="76" t="str">
        <f>IFERROR(VLOOKUP($A2655,EVENTO!$A$2:$C$4999,3,FALSE),"")</f>
        <v>PREFEITURA MUNICIPAL DE AQUIRAZ - SECRETARIA DE ADMINISTRAÇÃO E PLANEJAMENTO</v>
      </c>
      <c r="D2655" s="78" t="s">
        <v>2001</v>
      </c>
      <c r="F2655" s="78">
        <v>10.0</v>
      </c>
      <c r="G2655" s="79">
        <v>68.0</v>
      </c>
    </row>
    <row r="2656">
      <c r="A2656" s="6">
        <v>643.0</v>
      </c>
      <c r="B2656" s="76" t="str">
        <f>IFERROR(VLOOKUP($A2656,EVENTO!$A$2:$C$4999,2,FALSE),"")</f>
        <v>CADASTRO</v>
      </c>
      <c r="C2656" s="76" t="str">
        <f>IFERROR(VLOOKUP($A2656,EVENTO!$A$2:$C$4999,3,FALSE),"")</f>
        <v>PREFEITURA MUNICIPAL DE AQUIRAZ - SECRETARIA DE ADMINISTRAÇÃO E PLANEJAMENTO</v>
      </c>
      <c r="D2656" s="78" t="s">
        <v>2002</v>
      </c>
      <c r="F2656" s="78">
        <v>1.0</v>
      </c>
      <c r="G2656" s="79">
        <v>199.0</v>
      </c>
    </row>
    <row r="2657">
      <c r="A2657" s="6">
        <v>643.0</v>
      </c>
      <c r="B2657" s="76" t="str">
        <f>IFERROR(VLOOKUP($A2657,EVENTO!$A$2:$C$4999,2,FALSE),"")</f>
        <v>CADASTRO</v>
      </c>
      <c r="C2657" s="76" t="str">
        <f>IFERROR(VLOOKUP($A2657,EVENTO!$A$2:$C$4999,3,FALSE),"")</f>
        <v>PREFEITURA MUNICIPAL DE AQUIRAZ - SECRETARIA DE ADMINISTRAÇÃO E PLANEJAMENTO</v>
      </c>
      <c r="D2657" s="78" t="s">
        <v>2003</v>
      </c>
      <c r="F2657" s="78">
        <v>10.0</v>
      </c>
      <c r="G2657" s="79">
        <v>199.0</v>
      </c>
    </row>
    <row r="2658">
      <c r="A2658" s="6">
        <v>644.0</v>
      </c>
      <c r="B2658" s="76" t="str">
        <f>IFERROR(VLOOKUP($A2658,EVENTO!$A$2:$C$4999,2,FALSE),"")</f>
        <v>CADASTRO</v>
      </c>
      <c r="C2658" s="76" t="str">
        <f>IFERROR(VLOOKUP($A2658,EVENTO!$A$2:$C$4999,3,FALSE),"")</f>
        <v>PREFEITURA MUNICIPAL DE AQUIRAZ - SECRETARIA DE AGRICULTURA, PECUÁRIA, AQUICULTURA, PESCA E RECURSOS HÍDRICOS</v>
      </c>
      <c r="D2658" s="78" t="s">
        <v>2004</v>
      </c>
      <c r="F2658" s="78">
        <v>2.0</v>
      </c>
      <c r="G2658" s="79">
        <v>125.0</v>
      </c>
    </row>
    <row r="2659">
      <c r="A2659" s="6">
        <v>644.0</v>
      </c>
      <c r="B2659" s="76" t="str">
        <f>IFERROR(VLOOKUP($A2659,EVENTO!$A$2:$C$4999,2,FALSE),"")</f>
        <v>CADASTRO</v>
      </c>
      <c r="C2659" s="76" t="str">
        <f>IFERROR(VLOOKUP($A2659,EVENTO!$A$2:$C$4999,3,FALSE),"")</f>
        <v>PREFEITURA MUNICIPAL DE AQUIRAZ - SECRETARIA DE AGRICULTURA, PECUÁRIA, AQUICULTURA, PESCA E RECURSOS HÍDRICOS</v>
      </c>
      <c r="D2659" s="78" t="s">
        <v>1996</v>
      </c>
      <c r="F2659" s="78">
        <v>2.0</v>
      </c>
      <c r="G2659" s="79">
        <v>180.0</v>
      </c>
    </row>
    <row r="2660">
      <c r="A2660" s="6">
        <v>644.0</v>
      </c>
      <c r="B2660" s="76" t="str">
        <f>IFERROR(VLOOKUP($A2660,EVENTO!$A$2:$C$4999,2,FALSE),"")</f>
        <v>CADASTRO</v>
      </c>
      <c r="C2660" s="76" t="str">
        <f>IFERROR(VLOOKUP($A2660,EVENTO!$A$2:$C$4999,3,FALSE),"")</f>
        <v>PREFEITURA MUNICIPAL DE AQUIRAZ - SECRETARIA DE AGRICULTURA, PECUÁRIA, AQUICULTURA, PESCA E RECURSOS HÍDRICOS</v>
      </c>
      <c r="D2660" s="78" t="s">
        <v>1997</v>
      </c>
      <c r="F2660" s="78">
        <v>2.0</v>
      </c>
      <c r="G2660" s="79">
        <v>175.0</v>
      </c>
    </row>
    <row r="2661">
      <c r="A2661" s="6">
        <v>644.0</v>
      </c>
      <c r="B2661" s="76" t="str">
        <f>IFERROR(VLOOKUP($A2661,EVENTO!$A$2:$C$4999,2,FALSE),"")</f>
        <v>CADASTRO</v>
      </c>
      <c r="C2661" s="76" t="str">
        <f>IFERROR(VLOOKUP($A2661,EVENTO!$A$2:$C$4999,3,FALSE),"")</f>
        <v>PREFEITURA MUNICIPAL DE AQUIRAZ - SECRETARIA DE AGRICULTURA, PECUÁRIA, AQUICULTURA, PESCA E RECURSOS HÍDRICOS</v>
      </c>
      <c r="D2661" s="78" t="s">
        <v>2005</v>
      </c>
      <c r="F2661" s="78">
        <v>1.0</v>
      </c>
      <c r="G2661" s="79">
        <v>110.0</v>
      </c>
    </row>
    <row r="2662">
      <c r="A2662" s="6">
        <v>644.0</v>
      </c>
      <c r="B2662" s="76" t="str">
        <f>IFERROR(VLOOKUP($A2662,EVENTO!$A$2:$C$4999,2,FALSE),"")</f>
        <v>CADASTRO</v>
      </c>
      <c r="C2662" s="76" t="str">
        <f>IFERROR(VLOOKUP($A2662,EVENTO!$A$2:$C$4999,3,FALSE),"")</f>
        <v>PREFEITURA MUNICIPAL DE AQUIRAZ - SECRETARIA DE AGRICULTURA, PECUÁRIA, AQUICULTURA, PESCA E RECURSOS HÍDRICOS</v>
      </c>
      <c r="D2662" s="78" t="s">
        <v>1998</v>
      </c>
      <c r="F2662" s="78">
        <v>4.0</v>
      </c>
      <c r="G2662" s="79">
        <v>300.0</v>
      </c>
    </row>
    <row r="2663">
      <c r="A2663" s="6">
        <v>644.0</v>
      </c>
      <c r="B2663" s="76" t="str">
        <f>IFERROR(VLOOKUP($A2663,EVENTO!$A$2:$C$4999,2,FALSE),"")</f>
        <v>CADASTRO</v>
      </c>
      <c r="C2663" s="76" t="str">
        <f>IFERROR(VLOOKUP($A2663,EVENTO!$A$2:$C$4999,3,FALSE),"")</f>
        <v>PREFEITURA MUNICIPAL DE AQUIRAZ - SECRETARIA DE AGRICULTURA, PECUÁRIA, AQUICULTURA, PESCA E RECURSOS HÍDRICOS</v>
      </c>
      <c r="D2663" s="78" t="s">
        <v>1370</v>
      </c>
      <c r="F2663" s="78">
        <v>2.0</v>
      </c>
      <c r="G2663" s="79">
        <v>226.0</v>
      </c>
    </row>
    <row r="2664">
      <c r="A2664" s="6">
        <v>644.0</v>
      </c>
      <c r="B2664" s="76" t="str">
        <f>IFERROR(VLOOKUP($A2664,EVENTO!$A$2:$C$4999,2,FALSE),"")</f>
        <v>CADASTRO</v>
      </c>
      <c r="C2664" s="76" t="str">
        <f>IFERROR(VLOOKUP($A2664,EVENTO!$A$2:$C$4999,3,FALSE),"")</f>
        <v>PREFEITURA MUNICIPAL DE AQUIRAZ - SECRETARIA DE AGRICULTURA, PECUÁRIA, AQUICULTURA, PESCA E RECURSOS HÍDRICOS</v>
      </c>
      <c r="D2664" s="78" t="s">
        <v>2003</v>
      </c>
      <c r="F2664" s="78">
        <v>3.0</v>
      </c>
      <c r="G2664" s="79">
        <v>199.0</v>
      </c>
    </row>
    <row r="2665">
      <c r="A2665" s="6">
        <v>645.0</v>
      </c>
      <c r="B2665" s="76" t="str">
        <f>IFERROR(VLOOKUP($A2665,EVENTO!$A$2:$C$4999,2,FALSE),"")</f>
        <v>CADASTRO</v>
      </c>
      <c r="C2665" s="76" t="str">
        <f>IFERROR(VLOOKUP($A2665,EVENTO!$A$2:$C$4999,3,FALSE),"")</f>
        <v>PREFEITURA MUNICIPAL DE AQUIRAZ - SECRETARIA DO TRABALHO E ASSISTÊNCIA SOCIAL</v>
      </c>
      <c r="D2665" s="78" t="s">
        <v>1862</v>
      </c>
      <c r="F2665" s="78">
        <v>8.0</v>
      </c>
      <c r="G2665" s="79">
        <v>125.0</v>
      </c>
    </row>
    <row r="2666">
      <c r="A2666" s="6">
        <v>645.0</v>
      </c>
      <c r="B2666" s="76" t="str">
        <f>IFERROR(VLOOKUP($A2666,EVENTO!$A$2:$C$4999,2,FALSE),"")</f>
        <v>CADASTRO</v>
      </c>
      <c r="C2666" s="76" t="str">
        <f>IFERROR(VLOOKUP($A2666,EVENTO!$A$2:$C$4999,3,FALSE),"")</f>
        <v>PREFEITURA MUNICIPAL DE AQUIRAZ - SECRETARIA DO TRABALHO E ASSISTÊNCIA SOCIAL</v>
      </c>
      <c r="D2666" s="78" t="s">
        <v>1995</v>
      </c>
      <c r="F2666" s="78">
        <v>1.0</v>
      </c>
      <c r="G2666" s="79">
        <v>1000.0</v>
      </c>
    </row>
    <row r="2667">
      <c r="A2667" s="6">
        <v>645.0</v>
      </c>
      <c r="B2667" s="76" t="str">
        <f>IFERROR(VLOOKUP($A2667,EVENTO!$A$2:$C$4999,2,FALSE),"")</f>
        <v>CADASTRO</v>
      </c>
      <c r="C2667" s="76" t="str">
        <f>IFERROR(VLOOKUP($A2667,EVENTO!$A$2:$C$4999,3,FALSE),"")</f>
        <v>PREFEITURA MUNICIPAL DE AQUIRAZ - SECRETARIA DO TRABALHO E ASSISTÊNCIA SOCIAL</v>
      </c>
      <c r="D2667" s="78" t="s">
        <v>1996</v>
      </c>
      <c r="F2667" s="78">
        <v>15.0</v>
      </c>
      <c r="G2667" s="79">
        <v>180.0</v>
      </c>
    </row>
    <row r="2668">
      <c r="A2668" s="6">
        <v>645.0</v>
      </c>
      <c r="B2668" s="76" t="str">
        <f>IFERROR(VLOOKUP($A2668,EVENTO!$A$2:$C$4999,2,FALSE),"")</f>
        <v>CADASTRO</v>
      </c>
      <c r="C2668" s="76" t="str">
        <f>IFERROR(VLOOKUP($A2668,EVENTO!$A$2:$C$4999,3,FALSE),"")</f>
        <v>PREFEITURA MUNICIPAL DE AQUIRAZ - SECRETARIA DO TRABALHO E ASSISTÊNCIA SOCIAL</v>
      </c>
      <c r="D2668" s="78" t="s">
        <v>1997</v>
      </c>
      <c r="F2668" s="78">
        <v>22.0</v>
      </c>
      <c r="G2668" s="79">
        <v>175.0</v>
      </c>
    </row>
    <row r="2669">
      <c r="A2669" s="6">
        <v>645.0</v>
      </c>
      <c r="B2669" s="76" t="str">
        <f>IFERROR(VLOOKUP($A2669,EVENTO!$A$2:$C$4999,2,FALSE),"")</f>
        <v>CADASTRO</v>
      </c>
      <c r="C2669" s="76" t="str">
        <f>IFERROR(VLOOKUP($A2669,EVENTO!$A$2:$C$4999,3,FALSE),"")</f>
        <v>PREFEITURA MUNICIPAL DE AQUIRAZ - SECRETARIA DO TRABALHO E ASSISTÊNCIA SOCIAL</v>
      </c>
      <c r="D2669" s="78" t="s">
        <v>2005</v>
      </c>
      <c r="F2669" s="78">
        <v>5.0</v>
      </c>
      <c r="G2669" s="79">
        <v>110.0</v>
      </c>
    </row>
    <row r="2670">
      <c r="A2670" s="6">
        <v>645.0</v>
      </c>
      <c r="B2670" s="76" t="str">
        <f>IFERROR(VLOOKUP($A2670,EVENTO!$A$2:$C$4999,2,FALSE),"")</f>
        <v>CADASTRO</v>
      </c>
      <c r="C2670" s="76" t="str">
        <f>IFERROR(VLOOKUP($A2670,EVENTO!$A$2:$C$4999,3,FALSE),"")</f>
        <v>PREFEITURA MUNICIPAL DE AQUIRAZ - SECRETARIA DO TRABALHO E ASSISTÊNCIA SOCIAL</v>
      </c>
      <c r="D2670" s="78" t="s">
        <v>1370</v>
      </c>
      <c r="F2670" s="78">
        <v>4.0</v>
      </c>
      <c r="G2670" s="79">
        <v>226.0</v>
      </c>
    </row>
    <row r="2671">
      <c r="A2671" s="6">
        <v>645.0</v>
      </c>
      <c r="B2671" s="76" t="str">
        <f>IFERROR(VLOOKUP($A2671,EVENTO!$A$2:$C$4999,2,FALSE),"")</f>
        <v>CADASTRO</v>
      </c>
      <c r="C2671" s="76" t="str">
        <f>IFERROR(VLOOKUP($A2671,EVENTO!$A$2:$C$4999,3,FALSE),"")</f>
        <v>PREFEITURA MUNICIPAL DE AQUIRAZ - SECRETARIA DO TRABALHO E ASSISTÊNCIA SOCIAL</v>
      </c>
      <c r="D2671" s="78" t="s">
        <v>1458</v>
      </c>
      <c r="F2671" s="78">
        <v>25.0</v>
      </c>
      <c r="G2671" s="79">
        <v>206.0</v>
      </c>
    </row>
    <row r="2672">
      <c r="A2672" s="6">
        <v>645.0</v>
      </c>
      <c r="B2672" s="76" t="str">
        <f>IFERROR(VLOOKUP($A2672,EVENTO!$A$2:$C$4999,2,FALSE),"")</f>
        <v>CADASTRO</v>
      </c>
      <c r="C2672" s="76" t="str">
        <f>IFERROR(VLOOKUP($A2672,EVENTO!$A$2:$C$4999,3,FALSE),"")</f>
        <v>PREFEITURA MUNICIPAL DE AQUIRAZ - SECRETARIA DO TRABALHO E ASSISTÊNCIA SOCIAL</v>
      </c>
      <c r="D2672" s="78" t="s">
        <v>2006</v>
      </c>
      <c r="F2672" s="78">
        <v>25.0</v>
      </c>
      <c r="G2672" s="79">
        <v>166.0</v>
      </c>
    </row>
    <row r="2673">
      <c r="A2673" s="6">
        <v>645.0</v>
      </c>
      <c r="B2673" s="76" t="str">
        <f>IFERROR(VLOOKUP($A2673,EVENTO!$A$2:$C$4999,2,FALSE),"")</f>
        <v>CADASTRO</v>
      </c>
      <c r="C2673" s="76" t="str">
        <f>IFERROR(VLOOKUP($A2673,EVENTO!$A$2:$C$4999,3,FALSE),"")</f>
        <v>PREFEITURA MUNICIPAL DE AQUIRAZ - SECRETARIA DO TRABALHO E ASSISTÊNCIA SOCIAL</v>
      </c>
      <c r="D2673" s="78" t="s">
        <v>2002</v>
      </c>
      <c r="F2673" s="78">
        <v>2.0</v>
      </c>
      <c r="G2673" s="79">
        <v>199.0</v>
      </c>
    </row>
    <row r="2674">
      <c r="A2674" s="6">
        <v>645.0</v>
      </c>
      <c r="B2674" s="76" t="str">
        <f>IFERROR(VLOOKUP($A2674,EVENTO!$A$2:$C$4999,2,FALSE),"")</f>
        <v>CADASTRO</v>
      </c>
      <c r="C2674" s="76" t="str">
        <f>IFERROR(VLOOKUP($A2674,EVENTO!$A$2:$C$4999,3,FALSE),"")</f>
        <v>PREFEITURA MUNICIPAL DE AQUIRAZ - SECRETARIA DO TRABALHO E ASSISTÊNCIA SOCIAL</v>
      </c>
      <c r="D2674" s="78" t="s">
        <v>2003</v>
      </c>
      <c r="F2674" s="78">
        <v>10.0</v>
      </c>
      <c r="G2674" s="79">
        <v>199.0</v>
      </c>
    </row>
    <row r="2675">
      <c r="A2675" s="6">
        <v>646.0</v>
      </c>
      <c r="B2675" s="76" t="str">
        <f>IFERROR(VLOOKUP($A2675,EVENTO!$A$2:$C$4999,2,FALSE),"")</f>
        <v>CADASTRO</v>
      </c>
      <c r="C2675" s="76" t="str">
        <f>IFERROR(VLOOKUP($A2675,EVENTO!$A$2:$C$4999,3,FALSE),"")</f>
        <v>PREFEITURA MUNICIPAL DE ACARAU - CONTROLADORIA GERAL DO MUNICÍPIO E OUVIDORIA</v>
      </c>
      <c r="D2675" s="78" t="s">
        <v>2007</v>
      </c>
      <c r="F2675" s="78">
        <v>1.0</v>
      </c>
      <c r="G2675" s="79">
        <v>2550.0</v>
      </c>
    </row>
    <row r="2676">
      <c r="A2676" s="6">
        <v>647.0</v>
      </c>
      <c r="B2676" s="76" t="str">
        <f>IFERROR(VLOOKUP($A2676,EVENTO!$A$2:$C$4999,2,FALSE),"")</f>
        <v>CADASTRO</v>
      </c>
      <c r="C2676" s="76" t="str">
        <f>IFERROR(VLOOKUP($A2676,EVENTO!$A$2:$C$4999,3,FALSE),"")</f>
        <v>CONSÓRCIO PÚBLICO DE SAÚDE DO MACIÇO DE BATURITÉ - CPSMB</v>
      </c>
      <c r="D2676" s="78" t="s">
        <v>2007</v>
      </c>
      <c r="F2676" s="78">
        <v>1.0</v>
      </c>
      <c r="G2676" s="79">
        <v>600.0</v>
      </c>
    </row>
    <row r="2677">
      <c r="A2677" s="6">
        <v>648.0</v>
      </c>
      <c r="B2677" s="76" t="str">
        <f>IFERROR(VLOOKUP($A2677,EVENTO!$A$2:$C$4999,2,FALSE),"")</f>
        <v>CADASTRO</v>
      </c>
      <c r="C2677" s="76" t="str">
        <f>IFERROR(VLOOKUP($A2677,EVENTO!$A$2:$C$4999,3,FALSE),"")</f>
        <v>PREFEITURA MUNICIPAL DE AQUIRAZ - CONTROLADORIA GERAL DO MUNICIPIO</v>
      </c>
      <c r="D2677" s="78" t="s">
        <v>1582</v>
      </c>
      <c r="F2677" s="78">
        <v>2.0</v>
      </c>
      <c r="G2677" s="79">
        <v>125.0</v>
      </c>
    </row>
    <row r="2678">
      <c r="A2678" s="6">
        <v>648.0</v>
      </c>
      <c r="B2678" s="76" t="str">
        <f>IFERROR(VLOOKUP($A2678,EVENTO!$A$2:$C$4999,2,FALSE),"")</f>
        <v>CADASTRO</v>
      </c>
      <c r="C2678" s="76" t="str">
        <f>IFERROR(VLOOKUP($A2678,EVENTO!$A$2:$C$4999,3,FALSE),"")</f>
        <v>PREFEITURA MUNICIPAL DE AQUIRAZ - CONTROLADORIA GERAL DO MUNICIPIO</v>
      </c>
      <c r="D2678" s="78" t="s">
        <v>1996</v>
      </c>
      <c r="F2678" s="78">
        <v>3.0</v>
      </c>
      <c r="G2678" s="79">
        <v>180.0</v>
      </c>
    </row>
    <row r="2679">
      <c r="A2679" s="6">
        <v>648.0</v>
      </c>
      <c r="B2679" s="76" t="str">
        <f>IFERROR(VLOOKUP($A2679,EVENTO!$A$2:$C$4999,2,FALSE),"")</f>
        <v>CADASTRO</v>
      </c>
      <c r="C2679" s="76" t="str">
        <f>IFERROR(VLOOKUP($A2679,EVENTO!$A$2:$C$4999,3,FALSE),"")</f>
        <v>PREFEITURA MUNICIPAL DE AQUIRAZ - CONTROLADORIA GERAL DO MUNICIPIO</v>
      </c>
      <c r="D2679" s="78" t="s">
        <v>1997</v>
      </c>
      <c r="F2679" s="78">
        <v>2.0</v>
      </c>
      <c r="G2679" s="79">
        <v>175.0</v>
      </c>
    </row>
    <row r="2680">
      <c r="A2680" s="6">
        <v>648.0</v>
      </c>
      <c r="B2680" s="76" t="str">
        <f>IFERROR(VLOOKUP($A2680,EVENTO!$A$2:$C$4999,2,FALSE),"")</f>
        <v>CADASTRO</v>
      </c>
      <c r="C2680" s="76" t="str">
        <f>IFERROR(VLOOKUP($A2680,EVENTO!$A$2:$C$4999,3,FALSE),"")</f>
        <v>PREFEITURA MUNICIPAL DE AQUIRAZ - CONTROLADORIA GERAL DO MUNICIPIO</v>
      </c>
      <c r="D2680" s="78" t="s">
        <v>2005</v>
      </c>
      <c r="F2680" s="78">
        <v>1.0</v>
      </c>
      <c r="G2680" s="79">
        <v>110.0</v>
      </c>
    </row>
    <row r="2681">
      <c r="A2681" s="6">
        <v>648.0</v>
      </c>
      <c r="B2681" s="76" t="str">
        <f>IFERROR(VLOOKUP($A2681,EVENTO!$A$2:$C$4999,2,FALSE),"")</f>
        <v>CADASTRO</v>
      </c>
      <c r="C2681" s="76" t="str">
        <f>IFERROR(VLOOKUP($A2681,EVENTO!$A$2:$C$4999,3,FALSE),"")</f>
        <v>PREFEITURA MUNICIPAL DE AQUIRAZ - CONTROLADORIA GERAL DO MUNICIPIO</v>
      </c>
      <c r="D2681" s="78" t="s">
        <v>1998</v>
      </c>
      <c r="F2681" s="78">
        <v>4.0</v>
      </c>
      <c r="G2681" s="79">
        <v>300.0</v>
      </c>
    </row>
    <row r="2682">
      <c r="A2682" s="6">
        <v>648.0</v>
      </c>
      <c r="B2682" s="76" t="str">
        <f>IFERROR(VLOOKUP($A2682,EVENTO!$A$2:$C$4999,2,FALSE),"")</f>
        <v>CADASTRO</v>
      </c>
      <c r="C2682" s="76" t="str">
        <f>IFERROR(VLOOKUP($A2682,EVENTO!$A$2:$C$4999,3,FALSE),"")</f>
        <v>PREFEITURA MUNICIPAL DE AQUIRAZ - CONTROLADORIA GERAL DO MUNICIPIO</v>
      </c>
      <c r="D2682" s="78" t="s">
        <v>2001</v>
      </c>
      <c r="F2682" s="78">
        <v>1.0</v>
      </c>
      <c r="G2682" s="79">
        <v>68.0</v>
      </c>
    </row>
    <row r="2683">
      <c r="A2683" s="6">
        <v>650.0</v>
      </c>
      <c r="B2683" s="76" t="str">
        <f>IFERROR(VLOOKUP($A2683,EVENTO!$A$2:$C$4999,2,FALSE),"")</f>
        <v>CADASTRO</v>
      </c>
      <c r="C2683" s="76" t="str">
        <f>IFERROR(VLOOKUP($A2683,EVENTO!$A$2:$C$4999,3,FALSE),"")</f>
        <v>PREFEITURA MUNICIPAL DE AQUIRAZ - SECRETARIA DE CULTURA</v>
      </c>
      <c r="D2683" s="78" t="s">
        <v>1995</v>
      </c>
      <c r="F2683" s="78">
        <v>1.0</v>
      </c>
      <c r="G2683" s="79">
        <v>1000.0</v>
      </c>
    </row>
    <row r="2684">
      <c r="A2684" s="6">
        <v>650.0</v>
      </c>
      <c r="B2684" s="76" t="str">
        <f>IFERROR(VLOOKUP($A2684,EVENTO!$A$2:$C$4999,2,FALSE),"")</f>
        <v>CADASTRO</v>
      </c>
      <c r="C2684" s="76" t="str">
        <f>IFERROR(VLOOKUP($A2684,EVENTO!$A$2:$C$4999,3,FALSE),"")</f>
        <v>PREFEITURA MUNICIPAL DE AQUIRAZ - SECRETARIA DE CULTURA</v>
      </c>
      <c r="D2684" s="78" t="s">
        <v>1996</v>
      </c>
      <c r="F2684" s="78">
        <v>1.0</v>
      </c>
      <c r="G2684" s="79">
        <v>180.0</v>
      </c>
    </row>
    <row r="2685">
      <c r="A2685" s="6">
        <v>650.0</v>
      </c>
      <c r="B2685" s="76" t="str">
        <f>IFERROR(VLOOKUP($A2685,EVENTO!$A$2:$C$4999,2,FALSE),"")</f>
        <v>CADASTRO</v>
      </c>
      <c r="C2685" s="76" t="str">
        <f>IFERROR(VLOOKUP($A2685,EVENTO!$A$2:$C$4999,3,FALSE),"")</f>
        <v>PREFEITURA MUNICIPAL DE AQUIRAZ - SECRETARIA DE CULTURA</v>
      </c>
      <c r="D2685" s="78" t="s">
        <v>2005</v>
      </c>
      <c r="F2685" s="78">
        <v>1.0</v>
      </c>
      <c r="G2685" s="79">
        <v>110.0</v>
      </c>
    </row>
    <row r="2686">
      <c r="A2686" s="6">
        <v>650.0</v>
      </c>
      <c r="B2686" s="76" t="str">
        <f>IFERROR(VLOOKUP($A2686,EVENTO!$A$2:$C$4999,2,FALSE),"")</f>
        <v>CADASTRO</v>
      </c>
      <c r="C2686" s="76" t="str">
        <f>IFERROR(VLOOKUP($A2686,EVENTO!$A$2:$C$4999,3,FALSE),"")</f>
        <v>PREFEITURA MUNICIPAL DE AQUIRAZ - SECRETARIA DE CULTURA</v>
      </c>
      <c r="D2686" s="78" t="s">
        <v>1370</v>
      </c>
      <c r="F2686" s="78">
        <v>3.0</v>
      </c>
      <c r="G2686" s="79">
        <v>226.0</v>
      </c>
    </row>
    <row r="2687">
      <c r="A2687" s="6">
        <v>651.0</v>
      </c>
      <c r="B2687" s="76" t="str">
        <f>IFERROR(VLOOKUP($A2687,EVENTO!$A$2:$C$4999,2,FALSE),"")</f>
        <v>CADASTRO</v>
      </c>
      <c r="C2687" s="76" t="str">
        <f>IFERROR(VLOOKUP($A2687,EVENTO!$A$2:$C$4999,3,FALSE),"")</f>
        <v>CONSÓRCIO PÚBLICO DE SAÚDE DA MICRORREGIÃO DE CAMOCIM-CPSMCAM</v>
      </c>
      <c r="D2687" s="78" t="s">
        <v>2007</v>
      </c>
      <c r="F2687" s="78">
        <v>1.0</v>
      </c>
      <c r="G2687" s="79">
        <v>980.0</v>
      </c>
    </row>
    <row r="2688">
      <c r="A2688" s="6">
        <v>653.0</v>
      </c>
      <c r="B2688" s="76" t="str">
        <f>IFERROR(VLOOKUP($A2688,EVENTO!$A$2:$C$4999,2,FALSE),"")</f>
        <v>CADASTRO</v>
      </c>
      <c r="C2688" s="76" t="str">
        <f>IFERROR(VLOOKUP($A2688,EVENTO!$A$2:$C$4999,3,FALSE),"")</f>
        <v>PREFEITURA MUNICIPAL DE AQUIRAZ - SECRETARIA DE EDUCAÇÃO</v>
      </c>
      <c r="D2688" s="78" t="s">
        <v>1862</v>
      </c>
      <c r="F2688" s="78">
        <v>20.0</v>
      </c>
      <c r="G2688" s="79">
        <v>125.0</v>
      </c>
    </row>
    <row r="2689">
      <c r="A2689" s="6">
        <v>653.0</v>
      </c>
      <c r="B2689" s="76" t="str">
        <f>IFERROR(VLOOKUP($A2689,EVENTO!$A$2:$C$4999,2,FALSE),"")</f>
        <v>CADASTRO</v>
      </c>
      <c r="C2689" s="76" t="str">
        <f>IFERROR(VLOOKUP($A2689,EVENTO!$A$2:$C$4999,3,FALSE),"")</f>
        <v>PREFEITURA MUNICIPAL DE AQUIRAZ - SECRETARIA DE EDUCAÇÃO</v>
      </c>
      <c r="D2689" s="78" t="s">
        <v>1582</v>
      </c>
      <c r="F2689" s="78">
        <v>4.0</v>
      </c>
      <c r="G2689" s="79">
        <v>125.0</v>
      </c>
    </row>
    <row r="2690">
      <c r="A2690" s="6">
        <v>653.0</v>
      </c>
      <c r="B2690" s="76" t="str">
        <f>IFERROR(VLOOKUP($A2690,EVENTO!$A$2:$C$4999,2,FALSE),"")</f>
        <v>CADASTRO</v>
      </c>
      <c r="C2690" s="76" t="str">
        <f>IFERROR(VLOOKUP($A2690,EVENTO!$A$2:$C$4999,3,FALSE),"")</f>
        <v>PREFEITURA MUNICIPAL DE AQUIRAZ - SECRETARIA DE EDUCAÇÃO</v>
      </c>
      <c r="D2690" s="78" t="s">
        <v>1995</v>
      </c>
      <c r="F2690" s="78">
        <v>5.0</v>
      </c>
      <c r="G2690" s="79">
        <v>1000.0</v>
      </c>
    </row>
    <row r="2691">
      <c r="A2691" s="6">
        <v>653.0</v>
      </c>
      <c r="B2691" s="76" t="str">
        <f>IFERROR(VLOOKUP($A2691,EVENTO!$A$2:$C$4999,2,FALSE),"")</f>
        <v>CADASTRO</v>
      </c>
      <c r="C2691" s="76" t="str">
        <f>IFERROR(VLOOKUP($A2691,EVENTO!$A$2:$C$4999,3,FALSE),"")</f>
        <v>PREFEITURA MUNICIPAL DE AQUIRAZ - SECRETARIA DE EDUCAÇÃO</v>
      </c>
      <c r="D2691" s="78" t="s">
        <v>1996</v>
      </c>
      <c r="F2691" s="78">
        <v>32.0</v>
      </c>
      <c r="G2691" s="79">
        <v>180.0</v>
      </c>
    </row>
    <row r="2692">
      <c r="A2692" s="6">
        <v>653.0</v>
      </c>
      <c r="B2692" s="76" t="str">
        <f>IFERROR(VLOOKUP($A2692,EVENTO!$A$2:$C$4999,2,FALSE),"")</f>
        <v>CADASTRO</v>
      </c>
      <c r="C2692" s="76" t="str">
        <f>IFERROR(VLOOKUP($A2692,EVENTO!$A$2:$C$4999,3,FALSE),"")</f>
        <v>PREFEITURA MUNICIPAL DE AQUIRAZ - SECRETARIA DE EDUCAÇÃO</v>
      </c>
      <c r="D2692" s="78" t="s">
        <v>2003</v>
      </c>
      <c r="F2692" s="78">
        <v>5.0</v>
      </c>
      <c r="G2692" s="79">
        <v>199.0</v>
      </c>
    </row>
    <row r="2693">
      <c r="A2693" s="6">
        <v>654.0</v>
      </c>
      <c r="B2693" s="76" t="str">
        <f>IFERROR(VLOOKUP($A2693,EVENTO!$A$2:$C$4999,2,FALSE),"")</f>
        <v>CADASTRO</v>
      </c>
      <c r="C2693" s="76" t="str">
        <f>IFERROR(VLOOKUP($A2693,EVENTO!$A$2:$C$4999,3,FALSE),"")</f>
        <v>PREFEITURA MUNICIPAL DE AQUIRAZ - SECRETARIA DE ESPORTE, JUVENTUDE E LAZER</v>
      </c>
      <c r="D2693" s="78" t="s">
        <v>1862</v>
      </c>
      <c r="F2693" s="78">
        <v>1.0</v>
      </c>
      <c r="G2693" s="79">
        <v>125.0</v>
      </c>
    </row>
    <row r="2694">
      <c r="A2694" s="6">
        <v>654.0</v>
      </c>
      <c r="B2694" s="76" t="str">
        <f>IFERROR(VLOOKUP($A2694,EVENTO!$A$2:$C$4999,2,FALSE),"")</f>
        <v>CADASTRO</v>
      </c>
      <c r="C2694" s="76" t="str">
        <f>IFERROR(VLOOKUP($A2694,EVENTO!$A$2:$C$4999,3,FALSE),"")</f>
        <v>PREFEITURA MUNICIPAL DE AQUIRAZ - SECRETARIA DE ESPORTE, JUVENTUDE E LAZER</v>
      </c>
      <c r="D2694" s="78" t="s">
        <v>1996</v>
      </c>
      <c r="F2694" s="78">
        <v>2.0</v>
      </c>
      <c r="G2694" s="79">
        <v>180.0</v>
      </c>
    </row>
    <row r="2695">
      <c r="A2695" s="6">
        <v>654.0</v>
      </c>
      <c r="B2695" s="76" t="str">
        <f>IFERROR(VLOOKUP($A2695,EVENTO!$A$2:$C$4999,2,FALSE),"")</f>
        <v>CADASTRO</v>
      </c>
      <c r="C2695" s="76" t="str">
        <f>IFERROR(VLOOKUP($A2695,EVENTO!$A$2:$C$4999,3,FALSE),"")</f>
        <v>PREFEITURA MUNICIPAL DE AQUIRAZ - SECRETARIA DE ESPORTE, JUVENTUDE E LAZER</v>
      </c>
      <c r="D2695" s="78" t="s">
        <v>2005</v>
      </c>
      <c r="F2695" s="78">
        <v>1.0</v>
      </c>
      <c r="G2695" s="79">
        <v>110.0</v>
      </c>
    </row>
    <row r="2696">
      <c r="A2696" s="6">
        <v>654.0</v>
      </c>
      <c r="B2696" s="76" t="str">
        <f>IFERROR(VLOOKUP($A2696,EVENTO!$A$2:$C$4999,2,FALSE),"")</f>
        <v>CADASTRO</v>
      </c>
      <c r="C2696" s="76" t="str">
        <f>IFERROR(VLOOKUP($A2696,EVENTO!$A$2:$C$4999,3,FALSE),"")</f>
        <v>PREFEITURA MUNICIPAL DE AQUIRAZ - SECRETARIA DE ESPORTE, JUVENTUDE E LAZER</v>
      </c>
      <c r="D2696" s="78" t="s">
        <v>1998</v>
      </c>
      <c r="F2696" s="78">
        <v>4.0</v>
      </c>
      <c r="G2696" s="79">
        <v>300.0</v>
      </c>
    </row>
    <row r="2697">
      <c r="A2697" s="6">
        <v>654.0</v>
      </c>
      <c r="B2697" s="76" t="str">
        <f>IFERROR(VLOOKUP($A2697,EVENTO!$A$2:$C$4999,2,FALSE),"")</f>
        <v>CADASTRO</v>
      </c>
      <c r="C2697" s="76" t="str">
        <f>IFERROR(VLOOKUP($A2697,EVENTO!$A$2:$C$4999,3,FALSE),"")</f>
        <v>PREFEITURA MUNICIPAL DE AQUIRAZ - SECRETARIA DE ESPORTE, JUVENTUDE E LAZER</v>
      </c>
      <c r="D2697" s="78" t="s">
        <v>1370</v>
      </c>
      <c r="F2697" s="78">
        <v>6.0</v>
      </c>
      <c r="G2697" s="79">
        <v>226.0</v>
      </c>
    </row>
    <row r="2698">
      <c r="A2698" s="6">
        <v>654.0</v>
      </c>
      <c r="B2698" s="76" t="str">
        <f>IFERROR(VLOOKUP($A2698,EVENTO!$A$2:$C$4999,2,FALSE),"")</f>
        <v>CADASTRO</v>
      </c>
      <c r="C2698" s="76" t="str">
        <f>IFERROR(VLOOKUP($A2698,EVENTO!$A$2:$C$4999,3,FALSE),"")</f>
        <v>PREFEITURA MUNICIPAL DE AQUIRAZ - SECRETARIA DE ESPORTE, JUVENTUDE E LAZER</v>
      </c>
      <c r="D2698" s="78" t="s">
        <v>2001</v>
      </c>
      <c r="F2698" s="78">
        <v>4.0</v>
      </c>
      <c r="G2698" s="79">
        <v>68.0</v>
      </c>
    </row>
    <row r="2699">
      <c r="A2699" s="6">
        <v>655.0</v>
      </c>
      <c r="B2699" s="76" t="str">
        <f>IFERROR(VLOOKUP($A2699,EVENTO!$A$2:$C$4999,2,FALSE),"")</f>
        <v>CADASTRO</v>
      </c>
      <c r="C2699" s="76" t="str">
        <f>IFERROR(VLOOKUP($A2699,EVENTO!$A$2:$C$4999,3,FALSE),"")</f>
        <v>PREFEITURA MUNICIPAL DE AQUIRAZ - SECRETARIA DE FINANÇAS</v>
      </c>
      <c r="D2699" s="78" t="s">
        <v>1582</v>
      </c>
      <c r="F2699" s="78">
        <v>5.0</v>
      </c>
      <c r="G2699" s="79">
        <v>125.0</v>
      </c>
    </row>
    <row r="2700">
      <c r="A2700" s="6">
        <v>655.0</v>
      </c>
      <c r="B2700" s="76" t="str">
        <f>IFERROR(VLOOKUP($A2700,EVENTO!$A$2:$C$4999,2,FALSE),"")</f>
        <v>CADASTRO</v>
      </c>
      <c r="C2700" s="76" t="str">
        <f>IFERROR(VLOOKUP($A2700,EVENTO!$A$2:$C$4999,3,FALSE),"")</f>
        <v>PREFEITURA MUNICIPAL DE AQUIRAZ - SECRETARIA DE FINANÇAS</v>
      </c>
      <c r="D2700" s="78" t="s">
        <v>1995</v>
      </c>
      <c r="F2700" s="78">
        <v>1.0</v>
      </c>
      <c r="G2700" s="79">
        <v>1000.0</v>
      </c>
    </row>
    <row r="2701">
      <c r="A2701" s="6">
        <v>655.0</v>
      </c>
      <c r="B2701" s="76" t="str">
        <f>IFERROR(VLOOKUP($A2701,EVENTO!$A$2:$C$4999,2,FALSE),"")</f>
        <v>CADASTRO</v>
      </c>
      <c r="C2701" s="76" t="str">
        <f>IFERROR(VLOOKUP($A2701,EVENTO!$A$2:$C$4999,3,FALSE),"")</f>
        <v>PREFEITURA MUNICIPAL DE AQUIRAZ - SECRETARIA DE FINANÇAS</v>
      </c>
      <c r="D2701" s="78" t="s">
        <v>1996</v>
      </c>
      <c r="F2701" s="78">
        <v>12.0</v>
      </c>
      <c r="G2701" s="79">
        <v>180.0</v>
      </c>
    </row>
    <row r="2702">
      <c r="A2702" s="6">
        <v>655.0</v>
      </c>
      <c r="B2702" s="76" t="str">
        <f>IFERROR(VLOOKUP($A2702,EVENTO!$A$2:$C$4999,2,FALSE),"")</f>
        <v>CADASTRO</v>
      </c>
      <c r="C2702" s="76" t="str">
        <f>IFERROR(VLOOKUP($A2702,EVENTO!$A$2:$C$4999,3,FALSE),"")</f>
        <v>PREFEITURA MUNICIPAL DE AQUIRAZ - SECRETARIA DE FINANÇAS</v>
      </c>
      <c r="D2702" s="78" t="s">
        <v>1997</v>
      </c>
      <c r="F2702" s="78">
        <v>6.0</v>
      </c>
      <c r="G2702" s="79">
        <v>175.0</v>
      </c>
    </row>
    <row r="2703">
      <c r="A2703" s="6">
        <v>655.0</v>
      </c>
      <c r="B2703" s="76" t="str">
        <f>IFERROR(VLOOKUP($A2703,EVENTO!$A$2:$C$4999,2,FALSE),"")</f>
        <v>CADASTRO</v>
      </c>
      <c r="C2703" s="76" t="str">
        <f>IFERROR(VLOOKUP($A2703,EVENTO!$A$2:$C$4999,3,FALSE),"")</f>
        <v>PREFEITURA MUNICIPAL DE AQUIRAZ - SECRETARIA DE FINANÇAS</v>
      </c>
      <c r="D2703" s="78" t="s">
        <v>2005</v>
      </c>
      <c r="F2703" s="78">
        <v>4.0</v>
      </c>
      <c r="G2703" s="79">
        <v>110.0</v>
      </c>
    </row>
    <row r="2704">
      <c r="A2704" s="6">
        <v>655.0</v>
      </c>
      <c r="B2704" s="76" t="str">
        <f>IFERROR(VLOOKUP($A2704,EVENTO!$A$2:$C$4999,2,FALSE),"")</f>
        <v>CADASTRO</v>
      </c>
      <c r="C2704" s="76" t="str">
        <f>IFERROR(VLOOKUP($A2704,EVENTO!$A$2:$C$4999,3,FALSE),"")</f>
        <v>PREFEITURA MUNICIPAL DE AQUIRAZ - SECRETARIA DE FINANÇAS</v>
      </c>
      <c r="D2704" s="78" t="s">
        <v>1998</v>
      </c>
      <c r="F2704" s="78">
        <v>16.0</v>
      </c>
      <c r="G2704" s="79">
        <v>300.0</v>
      </c>
    </row>
    <row r="2705">
      <c r="A2705" s="6">
        <v>655.0</v>
      </c>
      <c r="B2705" s="76" t="str">
        <f>IFERROR(VLOOKUP($A2705,EVENTO!$A$2:$C$4999,2,FALSE),"")</f>
        <v>CADASTRO</v>
      </c>
      <c r="C2705" s="76" t="str">
        <f>IFERROR(VLOOKUP($A2705,EVENTO!$A$2:$C$4999,3,FALSE),"")</f>
        <v>PREFEITURA MUNICIPAL DE AQUIRAZ - SECRETARIA DE FINANÇAS</v>
      </c>
      <c r="D2705" s="78" t="s">
        <v>1370</v>
      </c>
      <c r="F2705" s="78">
        <v>2.0</v>
      </c>
      <c r="G2705" s="79">
        <v>226.0</v>
      </c>
    </row>
    <row r="2706">
      <c r="A2706" s="6">
        <v>655.0</v>
      </c>
      <c r="B2706" s="76" t="str">
        <f>IFERROR(VLOOKUP($A2706,EVENTO!$A$2:$C$4999,2,FALSE),"")</f>
        <v>CADASTRO</v>
      </c>
      <c r="C2706" s="76" t="str">
        <f>IFERROR(VLOOKUP($A2706,EVENTO!$A$2:$C$4999,3,FALSE),"")</f>
        <v>PREFEITURA MUNICIPAL DE AQUIRAZ - SECRETARIA DE FINANÇAS</v>
      </c>
      <c r="D2706" s="78" t="s">
        <v>2001</v>
      </c>
      <c r="F2706" s="78">
        <v>2.0</v>
      </c>
      <c r="G2706" s="79">
        <v>68.0</v>
      </c>
    </row>
    <row r="2707">
      <c r="A2707" s="6">
        <v>655.0</v>
      </c>
      <c r="B2707" s="76" t="str">
        <f>IFERROR(VLOOKUP($A2707,EVENTO!$A$2:$C$4999,2,FALSE),"")</f>
        <v>CADASTRO</v>
      </c>
      <c r="C2707" s="76" t="str">
        <f>IFERROR(VLOOKUP($A2707,EVENTO!$A$2:$C$4999,3,FALSE),"")</f>
        <v>PREFEITURA MUNICIPAL DE AQUIRAZ - SECRETARIA DE FINANÇAS</v>
      </c>
      <c r="D2707" s="78" t="s">
        <v>2003</v>
      </c>
      <c r="F2707" s="78">
        <v>5.0</v>
      </c>
      <c r="G2707" s="79">
        <v>199.0</v>
      </c>
    </row>
    <row r="2708">
      <c r="A2708" s="6">
        <v>656.0</v>
      </c>
      <c r="B2708" s="76" t="str">
        <f>IFERROR(VLOOKUP($A2708,EVENTO!$A$2:$C$4999,2,FALSE),"")</f>
        <v>CADASTRO</v>
      </c>
      <c r="C2708" s="76" t="str">
        <f>IFERROR(VLOOKUP($A2708,EVENTO!$A$2:$C$4999,3,FALSE),"")</f>
        <v>CONSÓRCIO PÚBLICO DE SAÚDE DA MICRORREGIÃO DE CRATO – CPSMC</v>
      </c>
      <c r="D2708" s="78" t="s">
        <v>2008</v>
      </c>
      <c r="F2708" s="78">
        <v>10.0</v>
      </c>
      <c r="G2708" s="79">
        <v>291.5</v>
      </c>
    </row>
    <row r="2709">
      <c r="A2709" s="6">
        <v>657.0</v>
      </c>
      <c r="B2709" s="76" t="str">
        <f>IFERROR(VLOOKUP($A2709,EVENTO!$A$2:$C$4999,2,FALSE),"")</f>
        <v>CADASTRO</v>
      </c>
      <c r="C2709" s="76" t="str">
        <f>IFERROR(VLOOKUP($A2709,EVENTO!$A$2:$C$4999,3,FALSE),"")</f>
        <v>PREFEITURA MUNICIPAL DE AQUIRAZ - GABINETE DO VICE PREFEITO</v>
      </c>
      <c r="D2709" s="78" t="s">
        <v>1996</v>
      </c>
      <c r="F2709" s="78">
        <v>1.0</v>
      </c>
      <c r="G2709" s="79">
        <v>180.0</v>
      </c>
    </row>
    <row r="2710">
      <c r="A2710" s="6">
        <v>657.0</v>
      </c>
      <c r="B2710" s="76" t="str">
        <f>IFERROR(VLOOKUP($A2710,EVENTO!$A$2:$C$4999,2,FALSE),"")</f>
        <v>CADASTRO</v>
      </c>
      <c r="C2710" s="76" t="str">
        <f>IFERROR(VLOOKUP($A2710,EVENTO!$A$2:$C$4999,3,FALSE),"")</f>
        <v>PREFEITURA MUNICIPAL DE AQUIRAZ - GABINETE DO VICE PREFEITO</v>
      </c>
      <c r="D2710" s="78" t="s">
        <v>1998</v>
      </c>
      <c r="F2710" s="78">
        <v>1.0</v>
      </c>
      <c r="G2710" s="79">
        <v>300.0</v>
      </c>
    </row>
    <row r="2711">
      <c r="A2711" s="6">
        <v>657.0</v>
      </c>
      <c r="B2711" s="76" t="str">
        <f>IFERROR(VLOOKUP($A2711,EVENTO!$A$2:$C$4999,2,FALSE),"")</f>
        <v>CADASTRO</v>
      </c>
      <c r="C2711" s="76" t="str">
        <f>IFERROR(VLOOKUP($A2711,EVENTO!$A$2:$C$4999,3,FALSE),"")</f>
        <v>PREFEITURA MUNICIPAL DE AQUIRAZ - GABINETE DO VICE PREFEITO</v>
      </c>
      <c r="D2711" s="78" t="s">
        <v>1370</v>
      </c>
      <c r="F2711" s="78">
        <v>1.0</v>
      </c>
      <c r="G2711" s="79">
        <v>226.0</v>
      </c>
    </row>
    <row r="2712">
      <c r="A2712" s="6">
        <v>657.0</v>
      </c>
      <c r="B2712" s="76" t="str">
        <f>IFERROR(VLOOKUP($A2712,EVENTO!$A$2:$C$4999,2,FALSE),"")</f>
        <v>CADASTRO</v>
      </c>
      <c r="C2712" s="76" t="str">
        <f>IFERROR(VLOOKUP($A2712,EVENTO!$A$2:$C$4999,3,FALSE),"")</f>
        <v>PREFEITURA MUNICIPAL DE AQUIRAZ - GABINETE DO VICE PREFEITO</v>
      </c>
      <c r="D2712" s="78" t="s">
        <v>2001</v>
      </c>
      <c r="F2712" s="78">
        <v>2.0</v>
      </c>
      <c r="G2712" s="79">
        <v>68.0</v>
      </c>
    </row>
    <row r="2713">
      <c r="A2713" s="6">
        <v>658.0</v>
      </c>
      <c r="B2713" s="76" t="str">
        <f>IFERROR(VLOOKUP($A2713,EVENTO!$A$2:$C$4999,2,FALSE),"")</f>
        <v>CADASTRO</v>
      </c>
      <c r="C2713" s="76" t="str">
        <f>IFERROR(VLOOKUP($A2713,EVENTO!$A$2:$C$4999,3,FALSE),"")</f>
        <v>PREFEITURA MUNICIPAL DE AQUIRAZ - SECRETARIA DO GABINETE DO PREFEITO</v>
      </c>
      <c r="D2713" s="78" t="s">
        <v>1582</v>
      </c>
      <c r="F2713" s="78">
        <v>4.0</v>
      </c>
      <c r="G2713" s="79">
        <v>125.0</v>
      </c>
    </row>
    <row r="2714">
      <c r="A2714" s="6">
        <v>658.0</v>
      </c>
      <c r="B2714" s="76" t="str">
        <f>IFERROR(VLOOKUP($A2714,EVENTO!$A$2:$C$4999,2,FALSE),"")</f>
        <v>CADASTRO</v>
      </c>
      <c r="C2714" s="76" t="str">
        <f>IFERROR(VLOOKUP($A2714,EVENTO!$A$2:$C$4999,3,FALSE),"")</f>
        <v>PREFEITURA MUNICIPAL DE AQUIRAZ - SECRETARIA DO GABINETE DO PREFEITO</v>
      </c>
      <c r="D2714" s="78" t="s">
        <v>1995</v>
      </c>
      <c r="F2714" s="78">
        <v>1.0</v>
      </c>
      <c r="G2714" s="79">
        <v>1000.0</v>
      </c>
    </row>
    <row r="2715">
      <c r="A2715" s="6">
        <v>658.0</v>
      </c>
      <c r="B2715" s="76" t="str">
        <f>IFERROR(VLOOKUP($A2715,EVENTO!$A$2:$C$4999,2,FALSE),"")</f>
        <v>CADASTRO</v>
      </c>
      <c r="C2715" s="76" t="str">
        <f>IFERROR(VLOOKUP($A2715,EVENTO!$A$2:$C$4999,3,FALSE),"")</f>
        <v>PREFEITURA MUNICIPAL DE AQUIRAZ - SECRETARIA DO GABINETE DO PREFEITO</v>
      </c>
      <c r="D2715" s="78" t="s">
        <v>1996</v>
      </c>
      <c r="F2715" s="78">
        <v>12.0</v>
      </c>
      <c r="G2715" s="79">
        <v>180.0</v>
      </c>
    </row>
    <row r="2716">
      <c r="A2716" s="6">
        <v>658.0</v>
      </c>
      <c r="B2716" s="76" t="str">
        <f>IFERROR(VLOOKUP($A2716,EVENTO!$A$2:$C$4999,2,FALSE),"")</f>
        <v>CADASTRO</v>
      </c>
      <c r="C2716" s="76" t="str">
        <f>IFERROR(VLOOKUP($A2716,EVENTO!$A$2:$C$4999,3,FALSE),"")</f>
        <v>PREFEITURA MUNICIPAL DE AQUIRAZ - SECRETARIA DO GABINETE DO PREFEITO</v>
      </c>
      <c r="D2716" s="78" t="s">
        <v>1997</v>
      </c>
      <c r="F2716" s="78">
        <v>2.0</v>
      </c>
      <c r="G2716" s="79">
        <v>175.0</v>
      </c>
    </row>
    <row r="2717">
      <c r="A2717" s="6">
        <v>658.0</v>
      </c>
      <c r="B2717" s="76" t="str">
        <f>IFERROR(VLOOKUP($A2717,EVENTO!$A$2:$C$4999,2,FALSE),"")</f>
        <v>CADASTRO</v>
      </c>
      <c r="C2717" s="76" t="str">
        <f>IFERROR(VLOOKUP($A2717,EVENTO!$A$2:$C$4999,3,FALSE),"")</f>
        <v>PREFEITURA MUNICIPAL DE AQUIRAZ - SECRETARIA DO GABINETE DO PREFEITO</v>
      </c>
      <c r="D2717" s="78" t="s">
        <v>1998</v>
      </c>
      <c r="F2717" s="78">
        <v>12.0</v>
      </c>
      <c r="G2717" s="79">
        <v>300.0</v>
      </c>
    </row>
    <row r="2718">
      <c r="A2718" s="6">
        <v>658.0</v>
      </c>
      <c r="B2718" s="76" t="str">
        <f>IFERROR(VLOOKUP($A2718,EVENTO!$A$2:$C$4999,2,FALSE),"")</f>
        <v>CADASTRO</v>
      </c>
      <c r="C2718" s="76" t="str">
        <f>IFERROR(VLOOKUP($A2718,EVENTO!$A$2:$C$4999,3,FALSE),"")</f>
        <v>PREFEITURA MUNICIPAL DE AQUIRAZ - SECRETARIA DO GABINETE DO PREFEITO</v>
      </c>
      <c r="D2718" s="78" t="s">
        <v>1370</v>
      </c>
      <c r="F2718" s="78">
        <v>13.0</v>
      </c>
      <c r="G2718" s="79">
        <v>226.0</v>
      </c>
    </row>
    <row r="2719">
      <c r="A2719" s="6">
        <v>658.0</v>
      </c>
      <c r="B2719" s="76" t="str">
        <f>IFERROR(VLOOKUP($A2719,EVENTO!$A$2:$C$4999,2,FALSE),"")</f>
        <v>CADASTRO</v>
      </c>
      <c r="C2719" s="76" t="str">
        <f>IFERROR(VLOOKUP($A2719,EVENTO!$A$2:$C$4999,3,FALSE),"")</f>
        <v>PREFEITURA MUNICIPAL DE AQUIRAZ - SECRETARIA DO GABINETE DO PREFEITO</v>
      </c>
      <c r="D2719" s="78" t="s">
        <v>2001</v>
      </c>
      <c r="F2719" s="78">
        <v>10.0</v>
      </c>
      <c r="G2719" s="79">
        <v>68.0</v>
      </c>
    </row>
    <row r="2720">
      <c r="A2720" s="6">
        <v>658.0</v>
      </c>
      <c r="B2720" s="76" t="str">
        <f>IFERROR(VLOOKUP($A2720,EVENTO!$A$2:$C$4999,2,FALSE),"")</f>
        <v>CADASTRO</v>
      </c>
      <c r="C2720" s="76" t="str">
        <f>IFERROR(VLOOKUP($A2720,EVENTO!$A$2:$C$4999,3,FALSE),"")</f>
        <v>PREFEITURA MUNICIPAL DE AQUIRAZ - SECRETARIA DO GABINETE DO PREFEITO</v>
      </c>
      <c r="D2720" s="78" t="s">
        <v>2002</v>
      </c>
      <c r="F2720" s="78">
        <v>2.0</v>
      </c>
      <c r="G2720" s="79">
        <v>199.0</v>
      </c>
    </row>
    <row r="2721">
      <c r="A2721" s="6">
        <v>658.0</v>
      </c>
      <c r="B2721" s="76" t="str">
        <f>IFERROR(VLOOKUP($A2721,EVENTO!$A$2:$C$4999,2,FALSE),"")</f>
        <v>CADASTRO</v>
      </c>
      <c r="C2721" s="76" t="str">
        <f>IFERROR(VLOOKUP($A2721,EVENTO!$A$2:$C$4999,3,FALSE),"")</f>
        <v>PREFEITURA MUNICIPAL DE AQUIRAZ - SECRETARIA DO GABINETE DO PREFEITO</v>
      </c>
      <c r="D2721" s="78" t="s">
        <v>2003</v>
      </c>
      <c r="F2721" s="78">
        <v>8.0</v>
      </c>
      <c r="G2721" s="79">
        <v>199.0</v>
      </c>
    </row>
    <row r="2722">
      <c r="A2722" s="6">
        <v>659.0</v>
      </c>
      <c r="B2722" s="76" t="str">
        <f>IFERROR(VLOOKUP($A2722,EVENTO!$A$2:$C$4999,2,FALSE),"")</f>
        <v>CADASTRO</v>
      </c>
      <c r="C2722" s="76" t="str">
        <f>IFERROR(VLOOKUP($A2722,EVENTO!$A$2:$C$4999,3,FALSE),"")</f>
        <v>PREFEITURA MUNICIPAL DE ICÓ - SECRETARIA DO TRABALHO E ASSISTÊNCIA SOCIAL </v>
      </c>
      <c r="D2722" s="78" t="s">
        <v>2007</v>
      </c>
      <c r="F2722" s="78">
        <v>1.0</v>
      </c>
      <c r="G2722" s="79">
        <v>3530.0</v>
      </c>
    </row>
    <row r="2723">
      <c r="A2723" s="6">
        <v>661.0</v>
      </c>
      <c r="B2723" s="76" t="str">
        <f>IFERROR(VLOOKUP($A2723,EVENTO!$A$2:$C$4999,2,FALSE),"")</f>
        <v>CADASTRO</v>
      </c>
      <c r="C2723" s="76" t="str">
        <f>IFERROR(VLOOKUP($A2723,EVENTO!$A$2:$C$4999,3,FALSE),"")</f>
        <v>PREFEITURA MUNICIPAL DE AQUIRAZ - HOSPITAL GERAL MANOEL ASSUNÇÃO PIRES</v>
      </c>
      <c r="D2723" s="78" t="s">
        <v>1862</v>
      </c>
      <c r="F2723" s="78">
        <v>5.0</v>
      </c>
      <c r="G2723" s="79">
        <v>125.0</v>
      </c>
    </row>
    <row r="2724">
      <c r="A2724" s="6">
        <v>661.0</v>
      </c>
      <c r="B2724" s="76" t="str">
        <f>IFERROR(VLOOKUP($A2724,EVENTO!$A$2:$C$4999,2,FALSE),"")</f>
        <v>CADASTRO</v>
      </c>
      <c r="C2724" s="76" t="str">
        <f>IFERROR(VLOOKUP($A2724,EVENTO!$A$2:$C$4999,3,FALSE),"")</f>
        <v>PREFEITURA MUNICIPAL DE AQUIRAZ - HOSPITAL GERAL MANOEL ASSUNÇÃO PIRES</v>
      </c>
      <c r="D2724" s="78" t="s">
        <v>1996</v>
      </c>
      <c r="F2724" s="78">
        <v>2.0</v>
      </c>
      <c r="G2724" s="79">
        <v>180.0</v>
      </c>
    </row>
    <row r="2725">
      <c r="A2725" s="6">
        <v>661.0</v>
      </c>
      <c r="B2725" s="76" t="str">
        <f>IFERROR(VLOOKUP($A2725,EVENTO!$A$2:$C$4999,2,FALSE),"")</f>
        <v>CADASTRO</v>
      </c>
      <c r="C2725" s="76" t="str">
        <f>IFERROR(VLOOKUP($A2725,EVENTO!$A$2:$C$4999,3,FALSE),"")</f>
        <v>PREFEITURA MUNICIPAL DE AQUIRAZ - HOSPITAL GERAL MANOEL ASSUNÇÃO PIRES</v>
      </c>
      <c r="D2725" s="78" t="s">
        <v>2009</v>
      </c>
      <c r="F2725" s="78">
        <v>3.0</v>
      </c>
      <c r="G2725" s="79">
        <v>201.0</v>
      </c>
    </row>
    <row r="2726">
      <c r="A2726" s="6">
        <v>661.0</v>
      </c>
      <c r="B2726" s="76" t="str">
        <f>IFERROR(VLOOKUP($A2726,EVENTO!$A$2:$C$4999,2,FALSE),"")</f>
        <v>CADASTRO</v>
      </c>
      <c r="C2726" s="76" t="str">
        <f>IFERROR(VLOOKUP($A2726,EVENTO!$A$2:$C$4999,3,FALSE),"")</f>
        <v>PREFEITURA MUNICIPAL DE AQUIRAZ - HOSPITAL GERAL MANOEL ASSUNÇÃO PIRES</v>
      </c>
      <c r="D2726" s="78" t="s">
        <v>2002</v>
      </c>
      <c r="F2726" s="78">
        <v>5.0</v>
      </c>
      <c r="G2726" s="79">
        <v>199.0</v>
      </c>
    </row>
    <row r="2727">
      <c r="A2727" s="6">
        <v>664.0</v>
      </c>
      <c r="B2727" s="76" t="str">
        <f>IFERROR(VLOOKUP($A2727,EVENTO!$A$2:$C$4999,2,FALSE),"")</f>
        <v>CADASTRO</v>
      </c>
      <c r="C2727" s="76" t="str">
        <f>IFERROR(VLOOKUP($A2727,EVENTO!$A$2:$C$4999,3,FALSE),"")</f>
        <v>PREFEITURA MUNICIPAL DE AQUIRAZ - SECRETARIA DE MEIO AMBIENTE E DESENVOLVIMENTO URBANO</v>
      </c>
      <c r="D2727" s="78" t="s">
        <v>1582</v>
      </c>
      <c r="F2727" s="78">
        <v>4.0</v>
      </c>
      <c r="G2727" s="79">
        <v>125.0</v>
      </c>
    </row>
    <row r="2728">
      <c r="A2728" s="6">
        <v>664.0</v>
      </c>
      <c r="B2728" s="76" t="str">
        <f>IFERROR(VLOOKUP($A2728,EVENTO!$A$2:$C$4999,2,FALSE),"")</f>
        <v>CADASTRO</v>
      </c>
      <c r="C2728" s="76" t="str">
        <f>IFERROR(VLOOKUP($A2728,EVENTO!$A$2:$C$4999,3,FALSE),"")</f>
        <v>PREFEITURA MUNICIPAL DE AQUIRAZ - SECRETARIA DE MEIO AMBIENTE E DESENVOLVIMENTO URBANO</v>
      </c>
      <c r="D2728" s="78" t="s">
        <v>1995</v>
      </c>
      <c r="F2728" s="78">
        <v>1.0</v>
      </c>
      <c r="G2728" s="79">
        <v>1000.0</v>
      </c>
    </row>
    <row r="2729">
      <c r="A2729" s="6">
        <v>664.0</v>
      </c>
      <c r="B2729" s="76" t="str">
        <f>IFERROR(VLOOKUP($A2729,EVENTO!$A$2:$C$4999,2,FALSE),"")</f>
        <v>CADASTRO</v>
      </c>
      <c r="C2729" s="76" t="str">
        <f>IFERROR(VLOOKUP($A2729,EVENTO!$A$2:$C$4999,3,FALSE),"")</f>
        <v>PREFEITURA MUNICIPAL DE AQUIRAZ - SECRETARIA DE MEIO AMBIENTE E DESENVOLVIMENTO URBANO</v>
      </c>
      <c r="D2729" s="78" t="s">
        <v>1996</v>
      </c>
      <c r="F2729" s="78">
        <v>6.0</v>
      </c>
      <c r="G2729" s="79">
        <v>180.0</v>
      </c>
    </row>
    <row r="2730">
      <c r="A2730" s="6">
        <v>664.0</v>
      </c>
      <c r="B2730" s="76" t="str">
        <f>IFERROR(VLOOKUP($A2730,EVENTO!$A$2:$C$4999,2,FALSE),"")</f>
        <v>CADASTRO</v>
      </c>
      <c r="C2730" s="76" t="str">
        <f>IFERROR(VLOOKUP($A2730,EVENTO!$A$2:$C$4999,3,FALSE),"")</f>
        <v>PREFEITURA MUNICIPAL DE AQUIRAZ - SECRETARIA DE MEIO AMBIENTE E DESENVOLVIMENTO URBANO</v>
      </c>
      <c r="D2730" s="78" t="s">
        <v>1997</v>
      </c>
      <c r="F2730" s="78">
        <v>3.0</v>
      </c>
      <c r="G2730" s="79">
        <v>175.0</v>
      </c>
    </row>
    <row r="2731">
      <c r="A2731" s="6">
        <v>664.0</v>
      </c>
      <c r="B2731" s="76" t="str">
        <f>IFERROR(VLOOKUP($A2731,EVENTO!$A$2:$C$4999,2,FALSE),"")</f>
        <v>CADASTRO</v>
      </c>
      <c r="C2731" s="76" t="str">
        <f>IFERROR(VLOOKUP($A2731,EVENTO!$A$2:$C$4999,3,FALSE),"")</f>
        <v>PREFEITURA MUNICIPAL DE AQUIRAZ - SECRETARIA DE MEIO AMBIENTE E DESENVOLVIMENTO URBANO</v>
      </c>
      <c r="D2731" s="78" t="s">
        <v>2005</v>
      </c>
      <c r="F2731" s="78">
        <v>4.0</v>
      </c>
      <c r="G2731" s="79">
        <v>110.0</v>
      </c>
    </row>
    <row r="2732">
      <c r="A2732" s="6">
        <v>664.0</v>
      </c>
      <c r="B2732" s="76" t="str">
        <f>IFERROR(VLOOKUP($A2732,EVENTO!$A$2:$C$4999,2,FALSE),"")</f>
        <v>CADASTRO</v>
      </c>
      <c r="C2732" s="76" t="str">
        <f>IFERROR(VLOOKUP($A2732,EVENTO!$A$2:$C$4999,3,FALSE),"")</f>
        <v>PREFEITURA MUNICIPAL DE AQUIRAZ - SECRETARIA DE MEIO AMBIENTE E DESENVOLVIMENTO URBANO</v>
      </c>
      <c r="D2732" s="78" t="s">
        <v>1998</v>
      </c>
      <c r="F2732" s="78">
        <v>15.0</v>
      </c>
      <c r="G2732" s="79">
        <v>300.0</v>
      </c>
    </row>
    <row r="2733">
      <c r="A2733" s="6">
        <v>664.0</v>
      </c>
      <c r="B2733" s="76" t="str">
        <f>IFERROR(VLOOKUP($A2733,EVENTO!$A$2:$C$4999,2,FALSE),"")</f>
        <v>CADASTRO</v>
      </c>
      <c r="C2733" s="76" t="str">
        <f>IFERROR(VLOOKUP($A2733,EVENTO!$A$2:$C$4999,3,FALSE),"")</f>
        <v>PREFEITURA MUNICIPAL DE AQUIRAZ - SECRETARIA DE MEIO AMBIENTE E DESENVOLVIMENTO URBANO</v>
      </c>
      <c r="D2733" s="78" t="s">
        <v>2003</v>
      </c>
      <c r="F2733" s="78">
        <v>5.0</v>
      </c>
      <c r="G2733" s="79">
        <v>199.0</v>
      </c>
    </row>
    <row r="2734">
      <c r="A2734" s="6">
        <v>666.0</v>
      </c>
      <c r="B2734" s="76" t="str">
        <f>IFERROR(VLOOKUP($A2734,EVENTO!$A$2:$C$4999,2,FALSE),"")</f>
        <v>CADASTRO</v>
      </c>
      <c r="C2734" s="76" t="str">
        <f>IFERROR(VLOOKUP($A2734,EVENTO!$A$2:$C$4999,3,FALSE),"")</f>
        <v>PREFEITURA MUNICIPAL DE AQUIRAZ - PROCURADORIA GERAL DO MUNICIPIO</v>
      </c>
      <c r="D2734" s="78" t="s">
        <v>1582</v>
      </c>
      <c r="F2734" s="78">
        <v>1.0</v>
      </c>
      <c r="G2734" s="79">
        <v>125.0</v>
      </c>
    </row>
    <row r="2735">
      <c r="A2735" s="6">
        <v>666.0</v>
      </c>
      <c r="B2735" s="76" t="str">
        <f>IFERROR(VLOOKUP($A2735,EVENTO!$A$2:$C$4999,2,FALSE),"")</f>
        <v>CADASTRO</v>
      </c>
      <c r="C2735" s="76" t="str">
        <f>IFERROR(VLOOKUP($A2735,EVENTO!$A$2:$C$4999,3,FALSE),"")</f>
        <v>PREFEITURA MUNICIPAL DE AQUIRAZ - PROCURADORIA GERAL DO MUNICIPIO</v>
      </c>
      <c r="D2735" s="78" t="s">
        <v>1996</v>
      </c>
      <c r="F2735" s="78">
        <v>2.0</v>
      </c>
      <c r="G2735" s="79">
        <v>180.0</v>
      </c>
    </row>
    <row r="2736">
      <c r="A2736" s="6">
        <v>666.0</v>
      </c>
      <c r="B2736" s="76" t="str">
        <f>IFERROR(VLOOKUP($A2736,EVENTO!$A$2:$C$4999,2,FALSE),"")</f>
        <v>CADASTRO</v>
      </c>
      <c r="C2736" s="76" t="str">
        <f>IFERROR(VLOOKUP($A2736,EVENTO!$A$2:$C$4999,3,FALSE),"")</f>
        <v>PREFEITURA MUNICIPAL DE AQUIRAZ - PROCURADORIA GERAL DO MUNICIPIO</v>
      </c>
      <c r="D2736" s="78" t="s">
        <v>1997</v>
      </c>
      <c r="F2736" s="78">
        <v>3.0</v>
      </c>
      <c r="G2736" s="79">
        <v>175.0</v>
      </c>
    </row>
    <row r="2737">
      <c r="A2737" s="6">
        <v>666.0</v>
      </c>
      <c r="B2737" s="76" t="str">
        <f>IFERROR(VLOOKUP($A2737,EVENTO!$A$2:$C$4999,2,FALSE),"")</f>
        <v>CADASTRO</v>
      </c>
      <c r="C2737" s="76" t="str">
        <f>IFERROR(VLOOKUP($A2737,EVENTO!$A$2:$C$4999,3,FALSE),"")</f>
        <v>PREFEITURA MUNICIPAL DE AQUIRAZ - PROCURADORIA GERAL DO MUNICIPIO</v>
      </c>
      <c r="D2737" s="78" t="s">
        <v>2005</v>
      </c>
      <c r="F2737" s="78">
        <v>1.0</v>
      </c>
      <c r="G2737" s="79">
        <v>110.0</v>
      </c>
    </row>
    <row r="2738">
      <c r="A2738" s="6">
        <v>666.0</v>
      </c>
      <c r="B2738" s="76" t="str">
        <f>IFERROR(VLOOKUP($A2738,EVENTO!$A$2:$C$4999,2,FALSE),"")</f>
        <v>CADASTRO</v>
      </c>
      <c r="C2738" s="76" t="str">
        <f>IFERROR(VLOOKUP($A2738,EVENTO!$A$2:$C$4999,3,FALSE),"")</f>
        <v>PREFEITURA MUNICIPAL DE AQUIRAZ - PROCURADORIA GERAL DO MUNICIPIO</v>
      </c>
      <c r="D2738" s="78" t="s">
        <v>1998</v>
      </c>
      <c r="F2738" s="78">
        <v>3.0</v>
      </c>
      <c r="G2738" s="79">
        <v>300.0</v>
      </c>
    </row>
    <row r="2739">
      <c r="A2739" s="6">
        <v>666.0</v>
      </c>
      <c r="B2739" s="76" t="str">
        <f>IFERROR(VLOOKUP($A2739,EVENTO!$A$2:$C$4999,2,FALSE),"")</f>
        <v>CADASTRO</v>
      </c>
      <c r="C2739" s="76" t="str">
        <f>IFERROR(VLOOKUP($A2739,EVENTO!$A$2:$C$4999,3,FALSE),"")</f>
        <v>PREFEITURA MUNICIPAL DE AQUIRAZ - PROCURADORIA GERAL DO MUNICIPIO</v>
      </c>
      <c r="D2739" s="78" t="s">
        <v>1370</v>
      </c>
      <c r="F2739" s="78">
        <v>2.0</v>
      </c>
      <c r="G2739" s="79">
        <v>226.0</v>
      </c>
    </row>
    <row r="2740">
      <c r="A2740" s="6">
        <v>666.0</v>
      </c>
      <c r="B2740" s="76" t="str">
        <f>IFERROR(VLOOKUP($A2740,EVENTO!$A$2:$C$4999,2,FALSE),"")</f>
        <v>CADASTRO</v>
      </c>
      <c r="C2740" s="76" t="str">
        <f>IFERROR(VLOOKUP($A2740,EVENTO!$A$2:$C$4999,3,FALSE),"")</f>
        <v>PREFEITURA MUNICIPAL DE AQUIRAZ - PROCURADORIA GERAL DO MUNICIPIO</v>
      </c>
      <c r="D2740" s="78" t="s">
        <v>2003</v>
      </c>
      <c r="F2740" s="78">
        <v>2.0</v>
      </c>
      <c r="G2740" s="79">
        <v>199.0</v>
      </c>
    </row>
    <row r="2741">
      <c r="A2741" s="6">
        <v>665.0</v>
      </c>
      <c r="B2741" s="76" t="str">
        <f>IFERROR(VLOOKUP($A2741,EVENTO!$A$2:$C$4999,2,FALSE),"")</f>
        <v>CADASTRO</v>
      </c>
      <c r="C2741" s="76" t="str">
        <f>IFERROR(VLOOKUP($A2741,EVENTO!$A$2:$C$4999,3,FALSE),"")</f>
        <v>PREFEITURA MUNICIPAL DE ICÓ - SECRETARIA DE EDUCAÇÃO</v>
      </c>
      <c r="D2741" s="78" t="s">
        <v>2007</v>
      </c>
      <c r="F2741" s="78">
        <v>1.0</v>
      </c>
      <c r="G2741" s="79">
        <v>6740.0</v>
      </c>
    </row>
    <row r="2742">
      <c r="A2742" s="6">
        <v>670.0</v>
      </c>
      <c r="B2742" s="76" t="str">
        <f>IFERROR(VLOOKUP($A2742,EVENTO!$A$2:$C$4999,2,FALSE),"")</f>
        <v>CADASTRO</v>
      </c>
      <c r="C2742" s="76" t="str">
        <f>IFERROR(VLOOKUP($A2742,EVENTO!$A$2:$C$4999,3,FALSE),"")</f>
        <v>PREFEITURA MUNICIPAL DE ICÓ - SECRETARIA DE ADMINISTRAÇÃO E FINANÇAS </v>
      </c>
      <c r="D2742" s="78" t="s">
        <v>2007</v>
      </c>
      <c r="F2742" s="78">
        <v>1.0</v>
      </c>
      <c r="G2742" s="79">
        <v>5650.0</v>
      </c>
    </row>
    <row r="2743">
      <c r="A2743" s="6">
        <v>670.0</v>
      </c>
      <c r="B2743" s="76" t="str">
        <f>IFERROR(VLOOKUP($A2743,EVENTO!$A$2:$C$4999,2,FALSE),"")</f>
        <v>CADASTRO</v>
      </c>
      <c r="C2743" s="76" t="str">
        <f>IFERROR(VLOOKUP($A2743,EVENTO!$A$2:$C$4999,3,FALSE),"")</f>
        <v>PREFEITURA MUNICIPAL DE ICÓ - SECRETARIA DE ADMINISTRAÇÃO E FINANÇAS </v>
      </c>
      <c r="D2743" s="78" t="s">
        <v>2007</v>
      </c>
      <c r="F2743" s="78">
        <v>1.0</v>
      </c>
      <c r="G2743" s="79">
        <v>13530.0</v>
      </c>
    </row>
    <row r="2744">
      <c r="A2744" s="6">
        <v>674.0</v>
      </c>
      <c r="B2744" s="76" t="str">
        <f>IFERROR(VLOOKUP($A2744,EVENTO!$A$2:$C$4999,2,FALSE),"")</f>
        <v>CADASTRO</v>
      </c>
      <c r="C2744" s="76" t="str">
        <f>IFERROR(VLOOKUP($A2744,EVENTO!$A$2:$C$4999,3,FALSE),"")</f>
        <v>PREFEITURA MUNICIPAL DE ICÓ - SERVIÇO AUTÔNOMO DE ÁGUA E ESGOTO – SAAE</v>
      </c>
      <c r="D2744" s="78" t="s">
        <v>2007</v>
      </c>
      <c r="F2744" s="78">
        <v>1.0</v>
      </c>
      <c r="G2744" s="79">
        <v>4600.0</v>
      </c>
    </row>
    <row r="2745">
      <c r="A2745" s="6">
        <v>679.0</v>
      </c>
      <c r="B2745" s="76" t="str">
        <f>IFERROR(VLOOKUP($A2745,EVENTO!$A$2:$C$4999,2,FALSE),"")</f>
        <v>CADASTRO</v>
      </c>
      <c r="C2745" s="76" t="str">
        <f>IFERROR(VLOOKUP($A2745,EVENTO!$A$2:$C$4999,3,FALSE),"")</f>
        <v>PREFEITURA MUNICIPAL DE ICÓ - SECRETARIA DE SAUDE</v>
      </c>
      <c r="D2745" s="78" t="s">
        <v>2007</v>
      </c>
      <c r="F2745" s="78">
        <v>1.0</v>
      </c>
      <c r="G2745" s="79">
        <v>4600.0</v>
      </c>
    </row>
    <row r="2746">
      <c r="A2746" s="6">
        <v>683.0</v>
      </c>
      <c r="B2746" s="76" t="str">
        <f>IFERROR(VLOOKUP($A2746,EVENTO!$A$2:$C$4999,2,FALSE),"")</f>
        <v>CADASTRO</v>
      </c>
      <c r="C2746" s="76" t="str">
        <f>IFERROR(VLOOKUP($A2746,EVENTO!$A$2:$C$4999,3,FALSE),"")</f>
        <v>PREFEITURA MUNICIPAL DE ITATIRA - SECRETARIA DE ADMINISTRACAO E FINANCAS</v>
      </c>
      <c r="D2746" s="78" t="s">
        <v>2007</v>
      </c>
      <c r="F2746" s="78">
        <v>1.0</v>
      </c>
      <c r="G2746" s="79">
        <v>3495.0</v>
      </c>
    </row>
    <row r="2747">
      <c r="A2747" s="6">
        <v>684.0</v>
      </c>
      <c r="B2747" s="76" t="str">
        <f>IFERROR(VLOOKUP($A2747,EVENTO!$A$2:$C$4999,2,FALSE),"")</f>
        <v>CADASTRO</v>
      </c>
      <c r="C2747" s="76" t="str">
        <f>IFERROR(VLOOKUP($A2747,EVENTO!$A$2:$C$4999,3,FALSE),"")</f>
        <v>PREFEITURA MUNICIPAL DE AQUIRAZ - SECRETARIA DE SAÚDE</v>
      </c>
      <c r="D2747" s="78" t="s">
        <v>1862</v>
      </c>
      <c r="F2747" s="78">
        <v>10.0</v>
      </c>
      <c r="G2747" s="79">
        <v>125.0</v>
      </c>
    </row>
    <row r="2748">
      <c r="A2748" s="6">
        <v>684.0</v>
      </c>
      <c r="B2748" s="76" t="str">
        <f>IFERROR(VLOOKUP($A2748,EVENTO!$A$2:$C$4999,2,FALSE),"")</f>
        <v>CADASTRO</v>
      </c>
      <c r="C2748" s="76" t="str">
        <f>IFERROR(VLOOKUP($A2748,EVENTO!$A$2:$C$4999,3,FALSE),"")</f>
        <v>PREFEITURA MUNICIPAL DE AQUIRAZ - SECRETARIA DE SAÚDE</v>
      </c>
      <c r="D2748" s="78" t="s">
        <v>1582</v>
      </c>
      <c r="F2748" s="78">
        <v>150.0</v>
      </c>
      <c r="G2748" s="79">
        <v>125.0</v>
      </c>
    </row>
    <row r="2749">
      <c r="A2749" s="6">
        <v>684.0</v>
      </c>
      <c r="B2749" s="76" t="str">
        <f>IFERROR(VLOOKUP($A2749,EVENTO!$A$2:$C$4999,2,FALSE),"")</f>
        <v>CADASTRO</v>
      </c>
      <c r="C2749" s="76" t="str">
        <f>IFERROR(VLOOKUP($A2749,EVENTO!$A$2:$C$4999,3,FALSE),"")</f>
        <v>PREFEITURA MUNICIPAL DE AQUIRAZ - SECRETARIA DE SAÚDE</v>
      </c>
      <c r="D2749" s="78" t="s">
        <v>1995</v>
      </c>
      <c r="F2749" s="78">
        <v>3.0</v>
      </c>
      <c r="G2749" s="79">
        <v>1000.0</v>
      </c>
    </row>
    <row r="2750">
      <c r="A2750" s="6">
        <v>684.0</v>
      </c>
      <c r="B2750" s="76" t="str">
        <f>IFERROR(VLOOKUP($A2750,EVENTO!$A$2:$C$4999,2,FALSE),"")</f>
        <v>CADASTRO</v>
      </c>
      <c r="C2750" s="76" t="str">
        <f>IFERROR(VLOOKUP($A2750,EVENTO!$A$2:$C$4999,3,FALSE),"")</f>
        <v>PREFEITURA MUNICIPAL DE AQUIRAZ - SECRETARIA DE SAÚDE</v>
      </c>
      <c r="D2750" s="78" t="s">
        <v>1996</v>
      </c>
      <c r="F2750" s="78">
        <v>10.0</v>
      </c>
      <c r="G2750" s="79">
        <v>180.0</v>
      </c>
    </row>
    <row r="2751">
      <c r="A2751" s="6">
        <v>684.0</v>
      </c>
      <c r="B2751" s="76" t="str">
        <f>IFERROR(VLOOKUP($A2751,EVENTO!$A$2:$C$4999,2,FALSE),"")</f>
        <v>CADASTRO</v>
      </c>
      <c r="C2751" s="76" t="str">
        <f>IFERROR(VLOOKUP($A2751,EVENTO!$A$2:$C$4999,3,FALSE),"")</f>
        <v>PREFEITURA MUNICIPAL DE AQUIRAZ - SECRETARIA DE SAÚDE</v>
      </c>
      <c r="D2751" s="78" t="s">
        <v>1997</v>
      </c>
      <c r="F2751" s="78">
        <v>3.0</v>
      </c>
      <c r="G2751" s="79">
        <v>175.0</v>
      </c>
    </row>
    <row r="2752">
      <c r="A2752" s="6">
        <v>684.0</v>
      </c>
      <c r="B2752" s="76" t="str">
        <f>IFERROR(VLOOKUP($A2752,EVENTO!$A$2:$C$4999,2,FALSE),"")</f>
        <v>CADASTRO</v>
      </c>
      <c r="C2752" s="76" t="str">
        <f>IFERROR(VLOOKUP($A2752,EVENTO!$A$2:$C$4999,3,FALSE),"")</f>
        <v>PREFEITURA MUNICIPAL DE AQUIRAZ - SECRETARIA DE SAÚDE</v>
      </c>
      <c r="D2752" s="78" t="s">
        <v>2009</v>
      </c>
      <c r="F2752" s="78">
        <v>12.0</v>
      </c>
      <c r="G2752" s="79">
        <v>201.0</v>
      </c>
    </row>
    <row r="2753">
      <c r="A2753" s="6">
        <v>684.0</v>
      </c>
      <c r="B2753" s="76" t="str">
        <f>IFERROR(VLOOKUP($A2753,EVENTO!$A$2:$C$4999,2,FALSE),"")</f>
        <v>CADASTRO</v>
      </c>
      <c r="C2753" s="76" t="str">
        <f>IFERROR(VLOOKUP($A2753,EVENTO!$A$2:$C$4999,3,FALSE),"")</f>
        <v>PREFEITURA MUNICIPAL DE AQUIRAZ - SECRETARIA DE SAÚDE</v>
      </c>
      <c r="D2753" s="78" t="s">
        <v>2002</v>
      </c>
      <c r="F2753" s="78">
        <v>5.0</v>
      </c>
      <c r="G2753" s="79">
        <v>199.0</v>
      </c>
    </row>
    <row r="2754">
      <c r="A2754" s="6">
        <v>687.0</v>
      </c>
      <c r="B2754" s="76" t="str">
        <f>IFERROR(VLOOKUP($A2754,EVENTO!$A$2:$C$4999,2,FALSE),"")</f>
        <v>CADASTRO</v>
      </c>
      <c r="C2754" s="76" t="str">
        <f>IFERROR(VLOOKUP($A2754,EVENTO!$A$2:$C$4999,3,FALSE),"")</f>
        <v>PREFEITURA MUNICIPAL DE AQUIRAZ - SECRETARIA DE SEGURANÇA PÚBLICA E DEFESA CIVIL (GUARDA CIVIL)</v>
      </c>
      <c r="D2754" s="78" t="s">
        <v>1582</v>
      </c>
      <c r="F2754" s="78">
        <v>1.0</v>
      </c>
      <c r="G2754" s="79">
        <v>125.0</v>
      </c>
    </row>
    <row r="2755">
      <c r="A2755" s="6">
        <v>687.0</v>
      </c>
      <c r="B2755" s="76" t="str">
        <f>IFERROR(VLOOKUP($A2755,EVENTO!$A$2:$C$4999,2,FALSE),"")</f>
        <v>CADASTRO</v>
      </c>
      <c r="C2755" s="76" t="str">
        <f>IFERROR(VLOOKUP($A2755,EVENTO!$A$2:$C$4999,3,FALSE),"")</f>
        <v>PREFEITURA MUNICIPAL DE AQUIRAZ - SECRETARIA DE SEGURANÇA PÚBLICA E DEFESA CIVIL (GUARDA CIVIL)</v>
      </c>
      <c r="D2755" s="78" t="s">
        <v>1995</v>
      </c>
      <c r="F2755" s="78">
        <v>1.0</v>
      </c>
      <c r="G2755" s="79">
        <v>1000.0</v>
      </c>
    </row>
    <row r="2756">
      <c r="A2756" s="6">
        <v>687.0</v>
      </c>
      <c r="B2756" s="76" t="str">
        <f>IFERROR(VLOOKUP($A2756,EVENTO!$A$2:$C$4999,2,FALSE),"")</f>
        <v>CADASTRO</v>
      </c>
      <c r="C2756" s="76" t="str">
        <f>IFERROR(VLOOKUP($A2756,EVENTO!$A$2:$C$4999,3,FALSE),"")</f>
        <v>PREFEITURA MUNICIPAL DE AQUIRAZ - SECRETARIA DE SEGURANÇA PÚBLICA E DEFESA CIVIL (GUARDA CIVIL)</v>
      </c>
      <c r="D2756" s="78" t="s">
        <v>1996</v>
      </c>
      <c r="F2756" s="78">
        <v>1.0</v>
      </c>
      <c r="G2756" s="79">
        <v>180.0</v>
      </c>
    </row>
    <row r="2757">
      <c r="A2757" s="6">
        <v>687.0</v>
      </c>
      <c r="B2757" s="76" t="str">
        <f>IFERROR(VLOOKUP($A2757,EVENTO!$A$2:$C$4999,2,FALSE),"")</f>
        <v>CADASTRO</v>
      </c>
      <c r="C2757" s="76" t="str">
        <f>IFERROR(VLOOKUP($A2757,EVENTO!$A$2:$C$4999,3,FALSE),"")</f>
        <v>PREFEITURA MUNICIPAL DE AQUIRAZ - SECRETARIA DE SEGURANÇA PÚBLICA E DEFESA CIVIL (GUARDA CIVIL)</v>
      </c>
      <c r="D2757" s="78" t="s">
        <v>2005</v>
      </c>
      <c r="F2757" s="78">
        <v>1.0</v>
      </c>
      <c r="G2757" s="79">
        <v>110.0</v>
      </c>
    </row>
    <row r="2758">
      <c r="A2758" s="6">
        <v>687.0</v>
      </c>
      <c r="B2758" s="76" t="str">
        <f>IFERROR(VLOOKUP($A2758,EVENTO!$A$2:$C$4999,2,FALSE),"")</f>
        <v>CADASTRO</v>
      </c>
      <c r="C2758" s="76" t="str">
        <f>IFERROR(VLOOKUP($A2758,EVENTO!$A$2:$C$4999,3,FALSE),"")</f>
        <v>PREFEITURA MUNICIPAL DE AQUIRAZ - SECRETARIA DE SEGURANÇA PÚBLICA E DEFESA CIVIL (GUARDA CIVIL)</v>
      </c>
      <c r="D2758" s="78" t="s">
        <v>1998</v>
      </c>
      <c r="F2758" s="78">
        <v>4.0</v>
      </c>
      <c r="G2758" s="79">
        <v>300.0</v>
      </c>
    </row>
    <row r="2759">
      <c r="A2759" s="6">
        <v>687.0</v>
      </c>
      <c r="B2759" s="76" t="str">
        <f>IFERROR(VLOOKUP($A2759,EVENTO!$A$2:$C$4999,2,FALSE),"")</f>
        <v>CADASTRO</v>
      </c>
      <c r="C2759" s="76" t="str">
        <f>IFERROR(VLOOKUP($A2759,EVENTO!$A$2:$C$4999,3,FALSE),"")</f>
        <v>PREFEITURA MUNICIPAL DE AQUIRAZ - SECRETARIA DE SEGURANÇA PÚBLICA E DEFESA CIVIL (GUARDA CIVIL)</v>
      </c>
      <c r="D2759" s="78" t="s">
        <v>1370</v>
      </c>
      <c r="F2759" s="78">
        <v>3.0</v>
      </c>
      <c r="G2759" s="79">
        <v>226.0</v>
      </c>
    </row>
    <row r="2760">
      <c r="A2760" s="6">
        <v>687.0</v>
      </c>
      <c r="B2760" s="76" t="str">
        <f>IFERROR(VLOOKUP($A2760,EVENTO!$A$2:$C$4999,2,FALSE),"")</f>
        <v>CADASTRO</v>
      </c>
      <c r="C2760" s="76" t="str">
        <f>IFERROR(VLOOKUP($A2760,EVENTO!$A$2:$C$4999,3,FALSE),"")</f>
        <v>PREFEITURA MUNICIPAL DE AQUIRAZ - SECRETARIA DE SEGURANÇA PÚBLICA E DEFESA CIVIL (GUARDA CIVIL)</v>
      </c>
      <c r="D2760" s="78" t="s">
        <v>2001</v>
      </c>
      <c r="F2760" s="78">
        <v>2.0</v>
      </c>
      <c r="G2760" s="79">
        <v>68.0</v>
      </c>
    </row>
    <row r="2761">
      <c r="A2761" s="6">
        <v>687.0</v>
      </c>
      <c r="B2761" s="76" t="str">
        <f>IFERROR(VLOOKUP($A2761,EVENTO!$A$2:$C$4999,2,FALSE),"")</f>
        <v>CADASTRO</v>
      </c>
      <c r="C2761" s="76" t="str">
        <f>IFERROR(VLOOKUP($A2761,EVENTO!$A$2:$C$4999,3,FALSE),"")</f>
        <v>PREFEITURA MUNICIPAL DE AQUIRAZ - SECRETARIA DE SEGURANÇA PÚBLICA E DEFESA CIVIL (GUARDA CIVIL)</v>
      </c>
      <c r="D2761" s="78" t="s">
        <v>2003</v>
      </c>
      <c r="F2761" s="78">
        <v>2.0</v>
      </c>
      <c r="G2761" s="79">
        <v>199.0</v>
      </c>
    </row>
    <row r="2762">
      <c r="A2762" s="6">
        <v>686.0</v>
      </c>
      <c r="B2762" s="76" t="str">
        <f>IFERROR(VLOOKUP($A2762,EVENTO!$A$2:$C$4999,2,FALSE),"")</f>
        <v>CADASTRO</v>
      </c>
      <c r="C2762" s="76" t="str">
        <f>IFERROR(VLOOKUP($A2762,EVENTO!$A$2:$C$4999,3,FALSE),"")</f>
        <v>PREFEITURA MUNICIPAL DE ITATIRA - FUNDO MUNICIPAL DE EDUCAÇÃO</v>
      </c>
      <c r="D2762" s="78" t="s">
        <v>2007</v>
      </c>
      <c r="F2762" s="78">
        <v>1.0</v>
      </c>
      <c r="G2762" s="79">
        <v>5080.0</v>
      </c>
    </row>
    <row r="2763">
      <c r="A2763" s="6">
        <v>689.0</v>
      </c>
      <c r="B2763" s="76" t="str">
        <f>IFERROR(VLOOKUP($A2763,EVENTO!$A$2:$C$4999,2,FALSE),"")</f>
        <v>CADASTRO</v>
      </c>
      <c r="C2763" s="76" t="str">
        <f>IFERROR(VLOOKUP($A2763,EVENTO!$A$2:$C$4999,3,FALSE),"")</f>
        <v>PREFEITURA MUNICIPAL DE AQUIRAZ - SECRETARIA DE SERVIÇOS PÚBLICOS</v>
      </c>
      <c r="D2763" s="78" t="s">
        <v>1862</v>
      </c>
      <c r="F2763" s="78">
        <v>2.0</v>
      </c>
      <c r="G2763" s="79">
        <v>125.0</v>
      </c>
    </row>
    <row r="2764">
      <c r="A2764" s="6">
        <v>689.0</v>
      </c>
      <c r="B2764" s="76" t="str">
        <f>IFERROR(VLOOKUP($A2764,EVENTO!$A$2:$C$4999,2,FALSE),"")</f>
        <v>CADASTRO</v>
      </c>
      <c r="C2764" s="76" t="str">
        <f>IFERROR(VLOOKUP($A2764,EVENTO!$A$2:$C$4999,3,FALSE),"")</f>
        <v>PREFEITURA MUNICIPAL DE AQUIRAZ - SECRETARIA DE SERVIÇOS PÚBLICOS</v>
      </c>
      <c r="D2764" s="78" t="s">
        <v>1995</v>
      </c>
      <c r="F2764" s="78">
        <v>1.0</v>
      </c>
      <c r="G2764" s="79">
        <v>1000.0</v>
      </c>
    </row>
    <row r="2765">
      <c r="A2765" s="6">
        <v>689.0</v>
      </c>
      <c r="B2765" s="76" t="str">
        <f>IFERROR(VLOOKUP($A2765,EVENTO!$A$2:$C$4999,2,FALSE),"")</f>
        <v>CADASTRO</v>
      </c>
      <c r="C2765" s="76" t="str">
        <f>IFERROR(VLOOKUP($A2765,EVENTO!$A$2:$C$4999,3,FALSE),"")</f>
        <v>PREFEITURA MUNICIPAL DE AQUIRAZ - SECRETARIA DE SERVIÇOS PÚBLICOS</v>
      </c>
      <c r="D2765" s="78" t="s">
        <v>1996</v>
      </c>
      <c r="F2765" s="78">
        <v>6.0</v>
      </c>
      <c r="G2765" s="79">
        <v>180.0</v>
      </c>
    </row>
    <row r="2766">
      <c r="A2766" s="6">
        <v>689.0</v>
      </c>
      <c r="B2766" s="76" t="str">
        <f>IFERROR(VLOOKUP($A2766,EVENTO!$A$2:$C$4999,2,FALSE),"")</f>
        <v>CADASTRO</v>
      </c>
      <c r="C2766" s="76" t="str">
        <f>IFERROR(VLOOKUP($A2766,EVENTO!$A$2:$C$4999,3,FALSE),"")</f>
        <v>PREFEITURA MUNICIPAL DE AQUIRAZ - SECRETARIA DE SERVIÇOS PÚBLICOS</v>
      </c>
      <c r="D2766" s="78" t="s">
        <v>1997</v>
      </c>
      <c r="F2766" s="78">
        <v>4.0</v>
      </c>
      <c r="G2766" s="79">
        <v>175.0</v>
      </c>
    </row>
    <row r="2767">
      <c r="A2767" s="6">
        <v>689.0</v>
      </c>
      <c r="B2767" s="76" t="str">
        <f>IFERROR(VLOOKUP($A2767,EVENTO!$A$2:$C$4999,2,FALSE),"")</f>
        <v>CADASTRO</v>
      </c>
      <c r="C2767" s="76" t="str">
        <f>IFERROR(VLOOKUP($A2767,EVENTO!$A$2:$C$4999,3,FALSE),"")</f>
        <v>PREFEITURA MUNICIPAL DE AQUIRAZ - SECRETARIA DE SERVIÇOS PÚBLICOS</v>
      </c>
      <c r="D2767" s="78" t="s">
        <v>2005</v>
      </c>
      <c r="F2767" s="78">
        <v>2.0</v>
      </c>
      <c r="G2767" s="79">
        <v>110.0</v>
      </c>
    </row>
    <row r="2768">
      <c r="A2768" s="6">
        <v>689.0</v>
      </c>
      <c r="B2768" s="76" t="str">
        <f>IFERROR(VLOOKUP($A2768,EVENTO!$A$2:$C$4999,2,FALSE),"")</f>
        <v>CADASTRO</v>
      </c>
      <c r="C2768" s="76" t="str">
        <f>IFERROR(VLOOKUP($A2768,EVENTO!$A$2:$C$4999,3,FALSE),"")</f>
        <v>PREFEITURA MUNICIPAL DE AQUIRAZ - SECRETARIA DE SERVIÇOS PÚBLICOS</v>
      </c>
      <c r="D2768" s="78" t="s">
        <v>1998</v>
      </c>
      <c r="F2768" s="78">
        <v>4.0</v>
      </c>
      <c r="G2768" s="79">
        <v>300.0</v>
      </c>
    </row>
    <row r="2769">
      <c r="A2769" s="6">
        <v>689.0</v>
      </c>
      <c r="B2769" s="76" t="str">
        <f>IFERROR(VLOOKUP($A2769,EVENTO!$A$2:$C$4999,2,FALSE),"")</f>
        <v>CADASTRO</v>
      </c>
      <c r="C2769" s="76" t="str">
        <f>IFERROR(VLOOKUP($A2769,EVENTO!$A$2:$C$4999,3,FALSE),"")</f>
        <v>PREFEITURA MUNICIPAL DE AQUIRAZ - SECRETARIA DE SERVIÇOS PÚBLICOS</v>
      </c>
      <c r="D2769" s="78" t="s">
        <v>1370</v>
      </c>
      <c r="F2769" s="78">
        <v>5.0</v>
      </c>
      <c r="G2769" s="79">
        <v>226.0</v>
      </c>
    </row>
    <row r="2770">
      <c r="A2770" s="6">
        <v>689.0</v>
      </c>
      <c r="B2770" s="76" t="str">
        <f>IFERROR(VLOOKUP($A2770,EVENTO!$A$2:$C$4999,2,FALSE),"")</f>
        <v>CADASTRO</v>
      </c>
      <c r="C2770" s="76" t="str">
        <f>IFERROR(VLOOKUP($A2770,EVENTO!$A$2:$C$4999,3,FALSE),"")</f>
        <v>PREFEITURA MUNICIPAL DE AQUIRAZ - SECRETARIA DE SERVIÇOS PÚBLICOS</v>
      </c>
      <c r="D2770" s="78" t="s">
        <v>1458</v>
      </c>
      <c r="F2770" s="78">
        <v>4.0</v>
      </c>
      <c r="G2770" s="79">
        <v>206.0</v>
      </c>
    </row>
    <row r="2771">
      <c r="A2771" s="6">
        <v>689.0</v>
      </c>
      <c r="B2771" s="76" t="str">
        <f>IFERROR(VLOOKUP($A2771,EVENTO!$A$2:$C$4999,2,FALSE),"")</f>
        <v>CADASTRO</v>
      </c>
      <c r="C2771" s="76" t="str">
        <f>IFERROR(VLOOKUP($A2771,EVENTO!$A$2:$C$4999,3,FALSE),"")</f>
        <v>PREFEITURA MUNICIPAL DE AQUIRAZ - SECRETARIA DE SERVIÇOS PÚBLICOS</v>
      </c>
      <c r="D2771" s="78" t="s">
        <v>2002</v>
      </c>
      <c r="F2771" s="78">
        <v>6.0</v>
      </c>
      <c r="G2771" s="79">
        <v>199.0</v>
      </c>
    </row>
    <row r="2772">
      <c r="A2772" s="6">
        <v>689.0</v>
      </c>
      <c r="B2772" s="76" t="str">
        <f>IFERROR(VLOOKUP($A2772,EVENTO!$A$2:$C$4999,2,FALSE),"")</f>
        <v>CADASTRO</v>
      </c>
      <c r="C2772" s="76" t="str">
        <f>IFERROR(VLOOKUP($A2772,EVENTO!$A$2:$C$4999,3,FALSE),"")</f>
        <v>PREFEITURA MUNICIPAL DE AQUIRAZ - SECRETARIA DE SERVIÇOS PÚBLICOS</v>
      </c>
      <c r="D2772" s="78" t="s">
        <v>2003</v>
      </c>
      <c r="F2772" s="78">
        <v>6.0</v>
      </c>
      <c r="G2772" s="79">
        <v>199.0</v>
      </c>
    </row>
    <row r="2773">
      <c r="A2773" s="6">
        <v>690.0</v>
      </c>
      <c r="B2773" s="76" t="str">
        <f>IFERROR(VLOOKUP($A2773,EVENTO!$A$2:$C$4999,2,FALSE),"")</f>
        <v>CADASTRO</v>
      </c>
      <c r="C2773" s="76" t="str">
        <f>IFERROR(VLOOKUP($A2773,EVENTO!$A$2:$C$4999,3,FALSE),"")</f>
        <v>PREFEITURA MUNICIPAL DE ITATIRA -  FUNDO MUNICIPAL DE SAUDE</v>
      </c>
      <c r="D2773" s="78" t="s">
        <v>2007</v>
      </c>
      <c r="F2773" s="78">
        <v>1.0</v>
      </c>
      <c r="G2773" s="79">
        <v>2050.0</v>
      </c>
    </row>
    <row r="2774">
      <c r="A2774" s="6">
        <v>692.0</v>
      </c>
      <c r="B2774" s="76" t="str">
        <f>IFERROR(VLOOKUP($A2774,EVENTO!$A$2:$C$4999,2,FALSE),"")</f>
        <v>CADASTRO</v>
      </c>
      <c r="C2774" s="76" t="str">
        <f>IFERROR(VLOOKUP($A2774,EVENTO!$A$2:$C$4999,3,FALSE),"")</f>
        <v>PREFEITURA MUNICIPAL DE AQUIRAZ - SECRETARIA MUNICIPAL DE TRÂNSITO E TRANSPORTE URBANO — SMTT</v>
      </c>
      <c r="D2774" s="78" t="s">
        <v>1582</v>
      </c>
      <c r="F2774" s="78">
        <v>2.0</v>
      </c>
      <c r="G2774" s="79">
        <v>125.0</v>
      </c>
    </row>
    <row r="2775">
      <c r="A2775" s="6">
        <v>692.0</v>
      </c>
      <c r="B2775" s="76" t="str">
        <f>IFERROR(VLOOKUP($A2775,EVENTO!$A$2:$C$4999,2,FALSE),"")</f>
        <v>CADASTRO</v>
      </c>
      <c r="C2775" s="76" t="str">
        <f>IFERROR(VLOOKUP($A2775,EVENTO!$A$2:$C$4999,3,FALSE),"")</f>
        <v>PREFEITURA MUNICIPAL DE AQUIRAZ - SECRETARIA MUNICIPAL DE TRÂNSITO E TRANSPORTE URBANO — SMTT</v>
      </c>
      <c r="D2775" s="78" t="s">
        <v>1995</v>
      </c>
      <c r="F2775" s="78">
        <v>1.0</v>
      </c>
      <c r="G2775" s="79">
        <v>1000.0</v>
      </c>
    </row>
    <row r="2776">
      <c r="A2776" s="6">
        <v>692.0</v>
      </c>
      <c r="B2776" s="76" t="str">
        <f>IFERROR(VLOOKUP($A2776,EVENTO!$A$2:$C$4999,2,FALSE),"")</f>
        <v>CADASTRO</v>
      </c>
      <c r="C2776" s="76" t="str">
        <f>IFERROR(VLOOKUP($A2776,EVENTO!$A$2:$C$4999,3,FALSE),"")</f>
        <v>PREFEITURA MUNICIPAL DE AQUIRAZ - SECRETARIA MUNICIPAL DE TRÂNSITO E TRANSPORTE URBANO — SMTT</v>
      </c>
      <c r="D2776" s="78" t="s">
        <v>1996</v>
      </c>
      <c r="F2776" s="78">
        <v>1.0</v>
      </c>
      <c r="G2776" s="79">
        <v>180.0</v>
      </c>
    </row>
    <row r="2777">
      <c r="A2777" s="6">
        <v>692.0</v>
      </c>
      <c r="B2777" s="76" t="str">
        <f>IFERROR(VLOOKUP($A2777,EVENTO!$A$2:$C$4999,2,FALSE),"")</f>
        <v>CADASTRO</v>
      </c>
      <c r="C2777" s="76" t="str">
        <f>IFERROR(VLOOKUP($A2777,EVENTO!$A$2:$C$4999,3,FALSE),"")</f>
        <v>PREFEITURA MUNICIPAL DE AQUIRAZ - SECRETARIA MUNICIPAL DE TRÂNSITO E TRANSPORTE URBANO — SMTT</v>
      </c>
      <c r="D2777" s="78" t="s">
        <v>1997</v>
      </c>
      <c r="F2777" s="78">
        <v>2.0</v>
      </c>
      <c r="G2777" s="79">
        <v>175.0</v>
      </c>
    </row>
    <row r="2778">
      <c r="A2778" s="6">
        <v>692.0</v>
      </c>
      <c r="B2778" s="76" t="str">
        <f>IFERROR(VLOOKUP($A2778,EVENTO!$A$2:$C$4999,2,FALSE),"")</f>
        <v>CADASTRO</v>
      </c>
      <c r="C2778" s="76" t="str">
        <f>IFERROR(VLOOKUP($A2778,EVENTO!$A$2:$C$4999,3,FALSE),"")</f>
        <v>PREFEITURA MUNICIPAL DE AQUIRAZ - SECRETARIA MUNICIPAL DE TRÂNSITO E TRANSPORTE URBANO — SMTT</v>
      </c>
      <c r="D2778" s="78" t="s">
        <v>2005</v>
      </c>
      <c r="F2778" s="78">
        <v>1.0</v>
      </c>
      <c r="G2778" s="79">
        <v>110.0</v>
      </c>
    </row>
    <row r="2779">
      <c r="A2779" s="6">
        <v>692.0</v>
      </c>
      <c r="B2779" s="76" t="str">
        <f>IFERROR(VLOOKUP($A2779,EVENTO!$A$2:$C$4999,2,FALSE),"")</f>
        <v>CADASTRO</v>
      </c>
      <c r="C2779" s="76" t="str">
        <f>IFERROR(VLOOKUP($A2779,EVENTO!$A$2:$C$4999,3,FALSE),"")</f>
        <v>PREFEITURA MUNICIPAL DE AQUIRAZ - SECRETARIA MUNICIPAL DE TRÂNSITO E TRANSPORTE URBANO — SMTT</v>
      </c>
      <c r="D2779" s="78" t="s">
        <v>1998</v>
      </c>
      <c r="F2779" s="78">
        <v>4.0</v>
      </c>
      <c r="G2779" s="79">
        <v>300.0</v>
      </c>
    </row>
    <row r="2780">
      <c r="A2780" s="6">
        <v>692.0</v>
      </c>
      <c r="B2780" s="76" t="str">
        <f>IFERROR(VLOOKUP($A2780,EVENTO!$A$2:$C$4999,2,FALSE),"")</f>
        <v>CADASTRO</v>
      </c>
      <c r="C2780" s="76" t="str">
        <f>IFERROR(VLOOKUP($A2780,EVENTO!$A$2:$C$4999,3,FALSE),"")</f>
        <v>PREFEITURA MUNICIPAL DE AQUIRAZ - SECRETARIA MUNICIPAL DE TRÂNSITO E TRANSPORTE URBANO — SMTT</v>
      </c>
      <c r="D2780" s="78" t="s">
        <v>1370</v>
      </c>
      <c r="F2780" s="78">
        <v>3.0</v>
      </c>
      <c r="G2780" s="79">
        <v>226.0</v>
      </c>
    </row>
    <row r="2781">
      <c r="A2781" s="6">
        <v>692.0</v>
      </c>
      <c r="B2781" s="76" t="str">
        <f>IFERROR(VLOOKUP($A2781,EVENTO!$A$2:$C$4999,2,FALSE),"")</f>
        <v>CADASTRO</v>
      </c>
      <c r="C2781" s="76" t="str">
        <f>IFERROR(VLOOKUP($A2781,EVENTO!$A$2:$C$4999,3,FALSE),"")</f>
        <v>PREFEITURA MUNICIPAL DE AQUIRAZ - SECRETARIA MUNICIPAL DE TRÂNSITO E TRANSPORTE URBANO — SMTT</v>
      </c>
      <c r="D2781" s="78" t="s">
        <v>2001</v>
      </c>
      <c r="F2781" s="78">
        <v>3.0</v>
      </c>
      <c r="G2781" s="79">
        <v>68.0</v>
      </c>
    </row>
    <row r="2782">
      <c r="A2782" s="6">
        <v>693.0</v>
      </c>
      <c r="B2782" s="76" t="str">
        <f>IFERROR(VLOOKUP($A2782,EVENTO!$A$2:$C$4999,2,FALSE),"")</f>
        <v>CADASTRO</v>
      </c>
      <c r="C2782" s="76" t="str">
        <f>IFERROR(VLOOKUP($A2782,EVENTO!$A$2:$C$4999,3,FALSE),"")</f>
        <v>FAMA SOLUCOES EM RECUPERACAO DE CREDITO LTDA - 006/2025</v>
      </c>
      <c r="D2782" s="78" t="s">
        <v>2010</v>
      </c>
      <c r="E2782" s="6" t="s">
        <v>2011</v>
      </c>
      <c r="F2782" s="78">
        <v>2.0</v>
      </c>
      <c r="G2782" s="79">
        <v>215.0</v>
      </c>
    </row>
    <row r="2783">
      <c r="A2783" s="6">
        <v>694.0</v>
      </c>
      <c r="B2783" s="76" t="str">
        <f>IFERROR(VLOOKUP($A2783,EVENTO!$A$2:$C$4999,2,FALSE),"")</f>
        <v>CADASTRO</v>
      </c>
      <c r="C2783" s="76" t="str">
        <f>IFERROR(VLOOKUP($A2783,EVENTO!$A$2:$C$4999,3,FALSE),"")</f>
        <v>PREFEITURA. MUNICIPAL DE AQUIRAZ - SECRETARIA DE TURISMO</v>
      </c>
      <c r="D2783" s="78" t="s">
        <v>1995</v>
      </c>
      <c r="F2783" s="78">
        <v>1.0</v>
      </c>
      <c r="G2783" s="79">
        <v>1000.0</v>
      </c>
    </row>
    <row r="2784">
      <c r="A2784" s="6">
        <v>694.0</v>
      </c>
      <c r="B2784" s="76" t="str">
        <f>IFERROR(VLOOKUP($A2784,EVENTO!$A$2:$C$4999,2,FALSE),"")</f>
        <v>CADASTRO</v>
      </c>
      <c r="C2784" s="76" t="str">
        <f>IFERROR(VLOOKUP($A2784,EVENTO!$A$2:$C$4999,3,FALSE),"")</f>
        <v>PREFEITURA. MUNICIPAL DE AQUIRAZ - SECRETARIA DE TURISMO</v>
      </c>
      <c r="D2784" s="78" t="s">
        <v>1996</v>
      </c>
      <c r="F2784" s="78">
        <v>1.0</v>
      </c>
      <c r="G2784" s="79">
        <v>180.0</v>
      </c>
    </row>
    <row r="2785">
      <c r="A2785" s="6">
        <v>694.0</v>
      </c>
      <c r="B2785" s="76" t="str">
        <f>IFERROR(VLOOKUP($A2785,EVENTO!$A$2:$C$4999,2,FALSE),"")</f>
        <v>CADASTRO</v>
      </c>
      <c r="C2785" s="76" t="str">
        <f>IFERROR(VLOOKUP($A2785,EVENTO!$A$2:$C$4999,3,FALSE),"")</f>
        <v>PREFEITURA. MUNICIPAL DE AQUIRAZ - SECRETARIA DE TURISMO</v>
      </c>
      <c r="D2785" s="78" t="s">
        <v>1998</v>
      </c>
      <c r="F2785" s="78">
        <v>2.0</v>
      </c>
      <c r="G2785" s="79">
        <v>300.0</v>
      </c>
    </row>
    <row r="2786">
      <c r="A2786" s="6">
        <v>694.0</v>
      </c>
      <c r="B2786" s="76" t="str">
        <f>IFERROR(VLOOKUP($A2786,EVENTO!$A$2:$C$4999,2,FALSE),"")</f>
        <v>CADASTRO</v>
      </c>
      <c r="C2786" s="76" t="str">
        <f>IFERROR(VLOOKUP($A2786,EVENTO!$A$2:$C$4999,3,FALSE),"")</f>
        <v>PREFEITURA. MUNICIPAL DE AQUIRAZ - SECRETARIA DE TURISMO</v>
      </c>
      <c r="D2786" s="78" t="s">
        <v>2001</v>
      </c>
      <c r="F2786" s="78">
        <v>8.0</v>
      </c>
      <c r="G2786" s="79">
        <v>68.0</v>
      </c>
    </row>
    <row r="2787">
      <c r="A2787" s="6">
        <v>695.0</v>
      </c>
      <c r="B2787" s="76" t="str">
        <f>IFERROR(VLOOKUP($A2787,EVENTO!$A$2:$C$4999,2,FALSE),"")</f>
        <v>ADITIVO DE QUANTIDADE</v>
      </c>
      <c r="C2787" s="76" t="str">
        <f>IFERROR(VLOOKUP($A2787,EVENTO!$A$2:$C$4999,3,FALSE),"")</f>
        <v>FAMA SOLUCOES EM RECUPERACAO DE CREDITO LTDA - 006/2025</v>
      </c>
      <c r="D2787" s="78" t="s">
        <v>2010</v>
      </c>
      <c r="E2787" s="6" t="s">
        <v>2012</v>
      </c>
      <c r="F2787" s="78">
        <v>1.0</v>
      </c>
      <c r="G2787" s="79">
        <v>215.0</v>
      </c>
    </row>
    <row r="2788">
      <c r="A2788" s="6">
        <v>696.0</v>
      </c>
      <c r="B2788" s="76" t="str">
        <f>IFERROR(VLOOKUP($A2788,EVENTO!$A$2:$C$4999,2,FALSE),"")</f>
        <v>CADASTRO</v>
      </c>
      <c r="C2788" s="76" t="str">
        <f>IFERROR(VLOOKUP($A2788,EVENTO!$A$2:$C$4999,3,FALSE),"")</f>
        <v>PREFEITURA MUNICIPAL DE CAMOCIM - SAÚDE - 2025.10.08.001</v>
      </c>
      <c r="D2788" s="78" t="s">
        <v>2013</v>
      </c>
      <c r="F2788" s="78">
        <v>52.0</v>
      </c>
      <c r="G2788" s="79">
        <v>155.62</v>
      </c>
    </row>
    <row r="2789">
      <c r="A2789" s="6">
        <v>696.0</v>
      </c>
      <c r="B2789" s="76" t="str">
        <f>IFERROR(VLOOKUP($A2789,EVENTO!$A$2:$C$4999,2,FALSE),"")</f>
        <v>CADASTRO</v>
      </c>
      <c r="C2789" s="76" t="str">
        <f>IFERROR(VLOOKUP($A2789,EVENTO!$A$2:$C$4999,3,FALSE),"")</f>
        <v>PREFEITURA MUNICIPAL DE CAMOCIM - SAÚDE - 2025.10.08.001</v>
      </c>
      <c r="D2789" s="78" t="s">
        <v>2014</v>
      </c>
      <c r="F2789" s="78">
        <v>22.0</v>
      </c>
      <c r="G2789" s="79">
        <v>103.62</v>
      </c>
    </row>
    <row r="2790">
      <c r="A2790" s="6">
        <v>697.0</v>
      </c>
      <c r="B2790" s="76" t="str">
        <f>IFERROR(VLOOKUP($A2790,EVENTO!$A$2:$C$4999,2,FALSE),"")</f>
        <v>CADASTRO</v>
      </c>
      <c r="C2790" s="76" t="str">
        <f>IFERROR(VLOOKUP($A2790,EVENTO!$A$2:$C$4999,3,FALSE),"")</f>
        <v>CLAREAR COMÉRCIO E SERVIÇOS DE MÃO DE OBRA LTDA,</v>
      </c>
      <c r="D2790" s="78" t="s">
        <v>2015</v>
      </c>
      <c r="E2790" s="6" t="s">
        <v>2016</v>
      </c>
      <c r="F2790" s="78">
        <v>1.0</v>
      </c>
      <c r="G2790" s="79">
        <v>170.0</v>
      </c>
    </row>
    <row r="2791">
      <c r="A2791" s="6">
        <v>697.0</v>
      </c>
      <c r="B2791" s="76" t="str">
        <f>IFERROR(VLOOKUP($A2791,EVENTO!$A$2:$C$4999,2,FALSE),"")</f>
        <v>CADASTRO</v>
      </c>
      <c r="C2791" s="76" t="str">
        <f>IFERROR(VLOOKUP($A2791,EVENTO!$A$2:$C$4999,3,FALSE),"")</f>
        <v>CLAREAR COMÉRCIO E SERVIÇOS DE MÃO DE OBRA LTDA,</v>
      </c>
      <c r="D2791" s="78" t="s">
        <v>2017</v>
      </c>
      <c r="E2791" s="6" t="s">
        <v>2018</v>
      </c>
      <c r="F2791" s="78">
        <v>2.0</v>
      </c>
      <c r="G2791" s="79">
        <v>227.0</v>
      </c>
    </row>
    <row r="2792">
      <c r="A2792" s="6">
        <v>698.0</v>
      </c>
      <c r="B2792" s="76" t="str">
        <f>IFERROR(VLOOKUP($A2792,EVENTO!$A$2:$C$4999,2,FALSE),"")</f>
        <v>ADITIVO DE SUPRESSÃO E QUANTIDADE</v>
      </c>
      <c r="C2792" s="76" t="str">
        <f>IFERROR(VLOOKUP($A2792,EVENTO!$A$2:$C$4999,3,FALSE),"")</f>
        <v>CLAREAR COMÉRCIO E SERVIÇOS DE MÃO DE OBRA LTDA,</v>
      </c>
      <c r="D2792" s="78" t="s">
        <v>2019</v>
      </c>
      <c r="E2792" s="6" t="s">
        <v>2016</v>
      </c>
      <c r="F2792" s="78">
        <v>1.0</v>
      </c>
      <c r="G2792" s="79">
        <v>170.0</v>
      </c>
    </row>
    <row r="2793">
      <c r="A2793" s="6">
        <v>698.0</v>
      </c>
      <c r="B2793" s="76" t="str">
        <f>IFERROR(VLOOKUP($A2793,EVENTO!$A$2:$C$4999,2,FALSE),"")</f>
        <v>ADITIVO DE SUPRESSÃO E QUANTIDADE</v>
      </c>
      <c r="C2793" s="76" t="str">
        <f>IFERROR(VLOOKUP($A2793,EVENTO!$A$2:$C$4999,3,FALSE),"")</f>
        <v>CLAREAR COMÉRCIO E SERVIÇOS DE MÃO DE OBRA LTDA,</v>
      </c>
      <c r="D2793" s="78" t="s">
        <v>2020</v>
      </c>
      <c r="E2793" s="6" t="s">
        <v>2021</v>
      </c>
      <c r="F2793" s="78">
        <v>1.0</v>
      </c>
      <c r="G2793" s="79">
        <v>254.0</v>
      </c>
    </row>
    <row r="2794">
      <c r="A2794" s="6">
        <v>698.0</v>
      </c>
      <c r="B2794" s="76" t="str">
        <f>IFERROR(VLOOKUP($A2794,EVENTO!$A$2:$C$4999,2,FALSE),"")</f>
        <v>ADITIVO DE SUPRESSÃO E QUANTIDADE</v>
      </c>
      <c r="C2794" s="76" t="str">
        <f>IFERROR(VLOOKUP($A2794,EVENTO!$A$2:$C$4999,3,FALSE),"")</f>
        <v>CLAREAR COMÉRCIO E SERVIÇOS DE MÃO DE OBRA LTDA,</v>
      </c>
      <c r="D2794" s="78" t="s">
        <v>2022</v>
      </c>
      <c r="E2794" s="6" t="s">
        <v>2018</v>
      </c>
      <c r="F2794" s="78">
        <v>2.0</v>
      </c>
      <c r="G2794" s="79">
        <v>227.0</v>
      </c>
    </row>
    <row r="2795">
      <c r="A2795" s="6">
        <v>699.0</v>
      </c>
      <c r="B2795" s="76" t="str">
        <f>IFERROR(VLOOKUP($A2795,EVENTO!$A$2:$C$4999,2,FALSE),"")</f>
        <v>ADITIVO DE PRAZO</v>
      </c>
      <c r="C2795" s="76" t="str">
        <f>IFERROR(VLOOKUP($A2795,EVENTO!$A$2:$C$4999,3,FALSE),"")</f>
        <v>CLAREAR COMÉRCIO E SERVIÇOS DE MÃO DE OBRA LTDA,</v>
      </c>
      <c r="D2795" s="78" t="s">
        <v>2023</v>
      </c>
      <c r="E2795" s="6" t="s">
        <v>2021</v>
      </c>
      <c r="F2795" s="78">
        <v>1.0</v>
      </c>
      <c r="G2795" s="79">
        <v>254.0</v>
      </c>
    </row>
    <row r="2796">
      <c r="A2796" s="6">
        <v>699.0</v>
      </c>
      <c r="B2796" s="76" t="str">
        <f>IFERROR(VLOOKUP($A2796,EVENTO!$A$2:$C$4999,2,FALSE),"")</f>
        <v>ADITIVO DE PRAZO</v>
      </c>
      <c r="C2796" s="76" t="str">
        <f>IFERROR(VLOOKUP($A2796,EVENTO!$A$2:$C$4999,3,FALSE),"")</f>
        <v>CLAREAR COMÉRCIO E SERVIÇOS DE MÃO DE OBRA LTDA,</v>
      </c>
      <c r="D2796" s="78" t="s">
        <v>2017</v>
      </c>
      <c r="E2796" s="6" t="s">
        <v>2018</v>
      </c>
      <c r="F2796" s="78">
        <v>2.0</v>
      </c>
      <c r="G2796" s="79">
        <v>227.0</v>
      </c>
    </row>
    <row r="2797">
      <c r="A2797" s="6">
        <v>700.0</v>
      </c>
      <c r="B2797" s="76" t="str">
        <f>IFERROR(VLOOKUP($A2797,EVENTO!$A$2:$C$4999,2,FALSE),"")</f>
        <v>CADASTRO</v>
      </c>
      <c r="C2797" s="76" t="str">
        <f>IFERROR(VLOOKUP($A2797,EVENTO!$A$2:$C$4999,3,FALSE),"")</f>
        <v>JOANA D ARC CLAUDIO BRASIL DODO,</v>
      </c>
      <c r="D2797" s="78" t="s">
        <v>1964</v>
      </c>
      <c r="E2797" s="6" t="s">
        <v>2024</v>
      </c>
      <c r="F2797" s="78">
        <v>2.0</v>
      </c>
      <c r="G2797" s="79">
        <v>179.0</v>
      </c>
    </row>
    <row r="2798">
      <c r="A2798" s="6">
        <v>700.0</v>
      </c>
      <c r="B2798" s="76" t="str">
        <f>IFERROR(VLOOKUP($A2798,EVENTO!$A$2:$C$4999,2,FALSE),"")</f>
        <v>CADASTRO</v>
      </c>
      <c r="C2798" s="76" t="str">
        <f>IFERROR(VLOOKUP($A2798,EVENTO!$A$2:$C$4999,3,FALSE),"")</f>
        <v>JOANA D ARC CLAUDIO BRASIL DODO,</v>
      </c>
      <c r="D2798" s="78" t="s">
        <v>2025</v>
      </c>
      <c r="E2798" s="6" t="s">
        <v>2026</v>
      </c>
      <c r="F2798" s="78">
        <v>2.0</v>
      </c>
      <c r="G2798" s="79">
        <v>199.0</v>
      </c>
    </row>
    <row r="2799">
      <c r="A2799" s="6">
        <v>701.0</v>
      </c>
      <c r="B2799" s="76" t="str">
        <f>IFERROR(VLOOKUP($A2799,EVENTO!$A$2:$C$4999,2,FALSE),"")</f>
        <v>CADASTRO</v>
      </c>
      <c r="C2799" s="76" t="str">
        <f>IFERROR(VLOOKUP($A2799,EVENTO!$A$2:$C$4999,3,FALSE),"")</f>
        <v>CÉLEBRE CONTABILIDADE E ASSESSORIA S/S LTDA,</v>
      </c>
      <c r="D2799" s="78" t="s">
        <v>2027</v>
      </c>
      <c r="E2799" s="6" t="s">
        <v>2027</v>
      </c>
      <c r="F2799" s="78">
        <v>1.0</v>
      </c>
      <c r="G2799" s="79">
        <v>209.0</v>
      </c>
    </row>
    <row r="2800">
      <c r="A2800" s="6">
        <v>702.0</v>
      </c>
      <c r="B2800" s="76" t="str">
        <f>IFERROR(VLOOKUP($A2800,EVENTO!$A$2:$C$4999,2,FALSE),"")</f>
        <v>ADITIVO DE PRAZO</v>
      </c>
      <c r="C2800" s="76" t="str">
        <f>IFERROR(VLOOKUP($A2800,EVENTO!$A$2:$C$4999,3,FALSE),"")</f>
        <v>CÉLEBRE CONTABILIDADE E ASSESSORIA S/S LTDA,</v>
      </c>
      <c r="D2800" s="78" t="s">
        <v>2027</v>
      </c>
      <c r="E2800" s="6" t="s">
        <v>2027</v>
      </c>
      <c r="F2800" s="78">
        <v>1.0</v>
      </c>
      <c r="G2800" s="79">
        <v>209.0</v>
      </c>
    </row>
    <row r="2801">
      <c r="A2801" s="6">
        <v>703.0</v>
      </c>
      <c r="B2801" s="76" t="str">
        <f>IFERROR(VLOOKUP($A2801,EVENTO!$A$2:$C$4999,2,FALSE),"")</f>
        <v>CADASTRO</v>
      </c>
      <c r="C2801" s="76" t="str">
        <f>IFERROR(VLOOKUP($A2801,EVENTO!$A$2:$C$4999,3,FALSE),"")</f>
        <v>R 2 LOGISTICA E TRANSPORTES LTDA,</v>
      </c>
      <c r="D2801" s="78" t="s">
        <v>2027</v>
      </c>
      <c r="E2801" s="78" t="s">
        <v>2027</v>
      </c>
      <c r="F2801" s="78">
        <v>1.0</v>
      </c>
      <c r="G2801" s="79">
        <v>149.0</v>
      </c>
    </row>
    <row r="2802">
      <c r="A2802" s="6">
        <v>704.0</v>
      </c>
      <c r="B2802" s="76" t="str">
        <f>IFERROR(VLOOKUP($A2802,EVENTO!$A$2:$C$4999,2,FALSE),"")</f>
        <v>CADASTRO</v>
      </c>
      <c r="C2802" s="76" t="str">
        <f>IFERROR(VLOOKUP($A2802,EVENTO!$A$2:$C$4999,3,FALSE),"")</f>
        <v>COMPANHIA DE INFRAESTRUTURA, TECNOLOGIA E INOVACAO(CITI),</v>
      </c>
      <c r="D2802" s="78" t="s">
        <v>1594</v>
      </c>
      <c r="E2802" s="6" t="s">
        <v>2028</v>
      </c>
      <c r="F2802" s="78">
        <v>5.0</v>
      </c>
      <c r="G2802" s="79">
        <v>298.0</v>
      </c>
    </row>
    <row r="2803">
      <c r="A2803" s="6">
        <v>704.0</v>
      </c>
      <c r="B2803" s="76" t="str">
        <f>IFERROR(VLOOKUP($A2803,EVENTO!$A$2:$C$4999,2,FALSE),"")</f>
        <v>CADASTRO</v>
      </c>
      <c r="C2803" s="76" t="str">
        <f>IFERROR(VLOOKUP($A2803,EVENTO!$A$2:$C$4999,3,FALSE),"")</f>
        <v>COMPANHIA DE INFRAESTRUTURA, TECNOLOGIA E INOVACAO(CITI),</v>
      </c>
      <c r="D2803" s="78" t="s">
        <v>2029</v>
      </c>
      <c r="E2803" s="6" t="s">
        <v>2030</v>
      </c>
      <c r="F2803" s="78">
        <v>5.0</v>
      </c>
      <c r="G2803" s="79">
        <v>30.0</v>
      </c>
    </row>
    <row r="2804">
      <c r="A2804" s="6">
        <v>705.0</v>
      </c>
      <c r="B2804" s="76" t="str">
        <f>IFERROR(VLOOKUP($A2804,EVENTO!$A$2:$C$4999,2,FALSE),"")</f>
        <v>ADITIVO DE SUPRESSÃO E QUANTIDADE</v>
      </c>
      <c r="C2804" s="76" t="str">
        <f>IFERROR(VLOOKUP($A2804,EVENTO!$A$2:$C$4999,3,FALSE),"")</f>
        <v>COMPANHIA DE INFRAESTRUTURA, TECNOLOGIA E INOVACAO(CITI),</v>
      </c>
      <c r="D2804" s="78" t="s">
        <v>2031</v>
      </c>
      <c r="E2804" s="6" t="s">
        <v>2032</v>
      </c>
      <c r="F2804" s="78">
        <v>5.0</v>
      </c>
      <c r="G2804" s="79">
        <v>298.0</v>
      </c>
    </row>
    <row r="2805">
      <c r="A2805" s="6">
        <v>705.0</v>
      </c>
      <c r="B2805" s="76" t="str">
        <f>IFERROR(VLOOKUP($A2805,EVENTO!$A$2:$C$4999,2,FALSE),"")</f>
        <v>ADITIVO DE SUPRESSÃO E QUANTIDADE</v>
      </c>
      <c r="C2805" s="76" t="str">
        <f>IFERROR(VLOOKUP($A2805,EVENTO!$A$2:$C$4999,3,FALSE),"")</f>
        <v>COMPANHIA DE INFRAESTRUTURA, TECNOLOGIA E INOVACAO(CITI),</v>
      </c>
      <c r="D2805" s="78" t="s">
        <v>2033</v>
      </c>
      <c r="E2805" s="78" t="s">
        <v>2029</v>
      </c>
      <c r="F2805" s="78">
        <v>5.0</v>
      </c>
      <c r="G2805" s="79">
        <v>30.0</v>
      </c>
    </row>
    <row r="2806">
      <c r="A2806" s="6">
        <v>705.0</v>
      </c>
      <c r="B2806" s="76" t="str">
        <f>IFERROR(VLOOKUP($A2806,EVENTO!$A$2:$C$4999,2,FALSE),"")</f>
        <v>ADITIVO DE SUPRESSÃO E QUANTIDADE</v>
      </c>
      <c r="C2806" s="76" t="str">
        <f>IFERROR(VLOOKUP($A2806,EVENTO!$A$2:$C$4999,3,FALSE),"")</f>
        <v>COMPANHIA DE INFRAESTRUTURA, TECNOLOGIA E INOVACAO(CITI),</v>
      </c>
      <c r="D2806" s="78" t="s">
        <v>2034</v>
      </c>
      <c r="E2806" s="6" t="s">
        <v>2035</v>
      </c>
      <c r="F2806" s="78">
        <v>1.0</v>
      </c>
      <c r="G2806" s="79">
        <v>183.0</v>
      </c>
    </row>
    <row r="2807">
      <c r="A2807" s="6">
        <v>705.0</v>
      </c>
      <c r="B2807" s="76" t="str">
        <f>IFERROR(VLOOKUP($A2807,EVENTO!$A$2:$C$4999,2,FALSE),"")</f>
        <v>ADITIVO DE SUPRESSÃO E QUANTIDADE</v>
      </c>
      <c r="C2807" s="76" t="str">
        <f>IFERROR(VLOOKUP($A2807,EVENTO!$A$2:$C$4999,3,FALSE),"")</f>
        <v>COMPANHIA DE INFRAESTRUTURA, TECNOLOGIA E INOVACAO(CITI),</v>
      </c>
      <c r="D2807" s="78" t="s">
        <v>2036</v>
      </c>
      <c r="E2807" s="6" t="s">
        <v>2036</v>
      </c>
      <c r="F2807" s="78">
        <v>3.0</v>
      </c>
      <c r="G2807" s="79">
        <v>112.0</v>
      </c>
    </row>
    <row r="2808">
      <c r="A2808" s="6">
        <v>706.0</v>
      </c>
      <c r="B2808" s="76" t="str">
        <f>IFERROR(VLOOKUP($A2808,EVENTO!$A$2:$C$4999,2,FALSE),"")</f>
        <v>CADASTRO</v>
      </c>
      <c r="C2808" s="76" t="str">
        <f>IFERROR(VLOOKUP($A2808,EVENTO!$A$2:$C$4999,3,FALSE),"")</f>
        <v>ACG CONSTRUÇÕES E CONSERVAÇÃO AMBIENTAL LTDA,</v>
      </c>
      <c r="D2808" s="78" t="s">
        <v>1964</v>
      </c>
      <c r="E2808" s="6" t="s">
        <v>2037</v>
      </c>
      <c r="F2808" s="78">
        <v>2.0</v>
      </c>
      <c r="G2808" s="79">
        <v>210.0</v>
      </c>
    </row>
    <row r="2809">
      <c r="A2809" s="6">
        <v>706.0</v>
      </c>
      <c r="B2809" s="76" t="str">
        <f>IFERROR(VLOOKUP($A2809,EVENTO!$A$2:$C$4999,2,FALSE),"")</f>
        <v>CADASTRO</v>
      </c>
      <c r="C2809" s="76" t="str">
        <f>IFERROR(VLOOKUP($A2809,EVENTO!$A$2:$C$4999,3,FALSE),"")</f>
        <v>ACG CONSTRUÇÕES E CONSERVAÇÃO AMBIENTAL LTDA,</v>
      </c>
      <c r="D2809" s="78" t="s">
        <v>2038</v>
      </c>
      <c r="E2809" s="6" t="s">
        <v>2039</v>
      </c>
      <c r="F2809" s="78">
        <v>1.0</v>
      </c>
      <c r="G2809" s="79">
        <v>250.0</v>
      </c>
    </row>
    <row r="2810">
      <c r="A2810" s="6">
        <v>706.0</v>
      </c>
      <c r="B2810" s="76" t="str">
        <f>IFERROR(VLOOKUP($A2810,EVENTO!$A$2:$C$4999,2,FALSE),"")</f>
        <v>CADASTRO</v>
      </c>
      <c r="C2810" s="76" t="str">
        <f>IFERROR(VLOOKUP($A2810,EVENTO!$A$2:$C$4999,3,FALSE),"")</f>
        <v>ACG CONSTRUÇÕES E CONSERVAÇÃO AMBIENTAL LTDA,</v>
      </c>
      <c r="D2810" s="78" t="s">
        <v>2040</v>
      </c>
      <c r="E2810" s="6" t="s">
        <v>2041</v>
      </c>
      <c r="F2810" s="78">
        <v>2.0</v>
      </c>
      <c r="G2810" s="79">
        <v>51.0</v>
      </c>
    </row>
    <row r="2811">
      <c r="A2811" s="6">
        <v>706.0</v>
      </c>
      <c r="B2811" s="76" t="str">
        <f>IFERROR(VLOOKUP($A2811,EVENTO!$A$2:$C$4999,2,FALSE),"")</f>
        <v>CADASTRO</v>
      </c>
      <c r="C2811" s="76" t="str">
        <f>IFERROR(VLOOKUP($A2811,EVENTO!$A$2:$C$4999,3,FALSE),"")</f>
        <v>ACG CONSTRUÇÕES E CONSERVAÇÃO AMBIENTAL LTDA,</v>
      </c>
      <c r="D2811" s="78" t="s">
        <v>2042</v>
      </c>
      <c r="E2811" s="6" t="s">
        <v>2043</v>
      </c>
      <c r="F2811" s="78">
        <v>1.0</v>
      </c>
      <c r="G2811" s="79">
        <v>130.0</v>
      </c>
    </row>
    <row r="2812">
      <c r="A2812" s="6">
        <v>706.0</v>
      </c>
      <c r="B2812" s="76" t="str">
        <f>IFERROR(VLOOKUP($A2812,EVENTO!$A$2:$C$4999,2,FALSE),"")</f>
        <v>CADASTRO</v>
      </c>
      <c r="C2812" s="76" t="str">
        <f>IFERROR(VLOOKUP($A2812,EVENTO!$A$2:$C$4999,3,FALSE),"")</f>
        <v>ACG CONSTRUÇÕES E CONSERVAÇÃO AMBIENTAL LTDA,</v>
      </c>
      <c r="D2812" s="78" t="s">
        <v>2044</v>
      </c>
      <c r="E2812" s="6" t="s">
        <v>2045</v>
      </c>
      <c r="F2812" s="78">
        <v>2.0</v>
      </c>
      <c r="G2812" s="79">
        <v>115.0</v>
      </c>
    </row>
    <row r="2813">
      <c r="A2813" s="6">
        <v>707.0</v>
      </c>
      <c r="B2813" s="76" t="str">
        <f>IFERROR(VLOOKUP($A2813,EVENTO!$A$2:$C$4999,2,FALSE),"")</f>
        <v>CADASTRO</v>
      </c>
      <c r="C2813" s="76" t="str">
        <f>IFERROR(VLOOKUP($A2813,EVENTO!$A$2:$C$4999,3,FALSE),"")</f>
        <v>ESCRITORIO DE REPRESENTAÇÃO DO MINISTÉRIO DAS RELAÇÕES EXTERIORES</v>
      </c>
      <c r="D2813" s="78" t="s">
        <v>2046</v>
      </c>
      <c r="E2813" s="6" t="s">
        <v>2047</v>
      </c>
      <c r="F2813" s="78">
        <v>1.0</v>
      </c>
      <c r="G2813" s="79">
        <v>419.0</v>
      </c>
    </row>
    <row r="2814">
      <c r="A2814" s="6">
        <v>707.0</v>
      </c>
      <c r="B2814" s="76" t="str">
        <f>IFERROR(VLOOKUP($A2814,EVENTO!$A$2:$C$4999,2,FALSE),"")</f>
        <v>CADASTRO</v>
      </c>
      <c r="C2814" s="76" t="str">
        <f>IFERROR(VLOOKUP($A2814,EVENTO!$A$2:$C$4999,3,FALSE),"")</f>
        <v>ESCRITORIO DE REPRESENTAÇÃO DO MINISTÉRIO DAS RELAÇÕES EXTERIORES</v>
      </c>
      <c r="D2814" s="78" t="s">
        <v>2048</v>
      </c>
      <c r="E2814" s="6" t="s">
        <v>1877</v>
      </c>
      <c r="F2814" s="78">
        <v>1.0</v>
      </c>
      <c r="G2814" s="79">
        <v>409.0</v>
      </c>
    </row>
    <row r="2815">
      <c r="A2815" s="6">
        <v>707.0</v>
      </c>
      <c r="B2815" s="76" t="str">
        <f>IFERROR(VLOOKUP($A2815,EVENTO!$A$2:$C$4999,2,FALSE),"")</f>
        <v>CADASTRO</v>
      </c>
      <c r="C2815" s="76" t="str">
        <f>IFERROR(VLOOKUP($A2815,EVENTO!$A$2:$C$4999,3,FALSE),"")</f>
        <v>ESCRITORIO DE REPRESENTAÇÃO DO MINISTÉRIO DAS RELAÇÕES EXTERIORES</v>
      </c>
      <c r="D2815" s="78" t="s">
        <v>2049</v>
      </c>
      <c r="E2815" s="6" t="s">
        <v>2050</v>
      </c>
      <c r="F2815" s="78">
        <v>2.0</v>
      </c>
      <c r="G2815" s="79">
        <v>142.0</v>
      </c>
    </row>
    <row r="2816">
      <c r="A2816" s="6">
        <v>708.0</v>
      </c>
      <c r="B2816" s="76" t="str">
        <f>IFERROR(VLOOKUP($A2816,EVENTO!$A$2:$C$4999,2,FALSE),"")</f>
        <v>CADASTRO</v>
      </c>
      <c r="C2816" s="76" t="str">
        <f>IFERROR(VLOOKUP($A2816,EVENTO!$A$2:$C$4999,3,FALSE),"")</f>
        <v>GOVERNO MUNICIPAL DE URUOCA - FUNDEB- FUNDO DES.DA EDUCACAO BASICA E VAL MAGIST</v>
      </c>
      <c r="D2816" s="78" t="s">
        <v>2051</v>
      </c>
      <c r="E2816" s="6" t="s">
        <v>2052</v>
      </c>
      <c r="F2816" s="78">
        <v>6.0</v>
      </c>
      <c r="G2816" s="79">
        <v>174.15</v>
      </c>
    </row>
    <row r="2817">
      <c r="A2817" s="6">
        <v>709.0</v>
      </c>
      <c r="B2817" s="76" t="str">
        <f>IFERROR(VLOOKUP($A2817,EVENTO!$A$2:$C$4999,2,FALSE),"")</f>
        <v>ADITIVO MODIFICAÇÃO DE ITEM</v>
      </c>
      <c r="C2817" s="76" t="str">
        <f>IFERROR(VLOOKUP($A2817,EVENTO!$A$2:$C$4999,3,FALSE),"")</f>
        <v>GOVERNO MUNICIPAL DE URUOCA - FUNDEB- FUNDO DES.DA EDUCACAO BASICA E VAL MAGIST</v>
      </c>
      <c r="D2817" s="78" t="s">
        <v>2051</v>
      </c>
      <c r="E2817" s="6" t="s">
        <v>2053</v>
      </c>
      <c r="F2817" s="78">
        <v>6.0</v>
      </c>
      <c r="G2817" s="79">
        <v>174.15</v>
      </c>
    </row>
    <row r="2818">
      <c r="A2818" s="6">
        <v>710.0</v>
      </c>
      <c r="B2818" s="76" t="str">
        <f>IFERROR(VLOOKUP($A2818,EVENTO!$A$2:$C$4999,2,FALSE),"")</f>
        <v>CADASTRO</v>
      </c>
      <c r="C2818" s="76" t="str">
        <f>IFERROR(VLOOKUP($A2818,EVENTO!$A$2:$C$4999,3,FALSE),"")</f>
        <v>GOVERNO MUNICIPAL DE URUOCA - FUNDO MUNICIPAL DE ASSISTENCIA SOCIAL E CIDADANIA</v>
      </c>
      <c r="D2818" s="78" t="s">
        <v>2051</v>
      </c>
      <c r="E2818" s="6" t="s">
        <v>2052</v>
      </c>
      <c r="F2818" s="78">
        <v>1.0</v>
      </c>
      <c r="G2818" s="79">
        <v>174.15</v>
      </c>
    </row>
    <row r="2819">
      <c r="A2819" s="6">
        <v>710.0</v>
      </c>
      <c r="B2819" s="76" t="str">
        <f>IFERROR(VLOOKUP($A2819,EVENTO!$A$2:$C$4999,2,FALSE),"")</f>
        <v>CADASTRO</v>
      </c>
      <c r="C2819" s="76" t="str">
        <f>IFERROR(VLOOKUP($A2819,EVENTO!$A$2:$C$4999,3,FALSE),"")</f>
        <v>GOVERNO MUNICIPAL DE URUOCA - FUNDO MUNICIPAL DE ASSISTENCIA SOCIAL E CIDADANIA</v>
      </c>
      <c r="D2819" s="78" t="s">
        <v>2054</v>
      </c>
      <c r="E2819" s="6" t="s">
        <v>2055</v>
      </c>
      <c r="F2819" s="78">
        <v>1.0</v>
      </c>
      <c r="G2819" s="79">
        <v>181.6</v>
      </c>
    </row>
    <row r="2820">
      <c r="A2820" s="6">
        <v>711.0</v>
      </c>
      <c r="B2820" s="76" t="str">
        <f>IFERROR(VLOOKUP($A2820,EVENTO!$A$2:$C$4999,2,FALSE),"")</f>
        <v>ADITIVO DE REAJUSTE E QUANTIDADE</v>
      </c>
      <c r="C2820" s="76" t="str">
        <f>IFERROR(VLOOKUP($A2820,EVENTO!$A$2:$C$4999,3,FALSE),"")</f>
        <v>GOVERNO MUNICIPAL DE URUOCA - FUNDO MUNICIPAL DE ASSISTENCIA SOCIAL E CIDADANIA</v>
      </c>
      <c r="D2820" s="78" t="s">
        <v>2051</v>
      </c>
      <c r="E2820" s="6" t="s">
        <v>2053</v>
      </c>
      <c r="F2820" s="78">
        <v>1.0</v>
      </c>
      <c r="G2820" s="79">
        <v>174.15</v>
      </c>
    </row>
    <row r="2821">
      <c r="A2821" s="6">
        <v>711.0</v>
      </c>
      <c r="B2821" s="76" t="str">
        <f>IFERROR(VLOOKUP($A2821,EVENTO!$A$2:$C$4999,2,FALSE),"")</f>
        <v>ADITIVO DE REAJUSTE E QUANTIDADE</v>
      </c>
      <c r="C2821" s="76" t="str">
        <f>IFERROR(VLOOKUP($A2821,EVENTO!$A$2:$C$4999,3,FALSE),"")</f>
        <v>GOVERNO MUNICIPAL DE URUOCA - FUNDO MUNICIPAL DE ASSISTENCIA SOCIAL E CIDADANIA</v>
      </c>
      <c r="D2821" s="78" t="s">
        <v>2054</v>
      </c>
      <c r="E2821" s="6" t="s">
        <v>2056</v>
      </c>
      <c r="F2821" s="78">
        <v>1.0</v>
      </c>
      <c r="G2821" s="79">
        <v>181.6</v>
      </c>
    </row>
    <row r="2822">
      <c r="A2822" s="6">
        <v>712.0</v>
      </c>
      <c r="B2822" s="76" t="str">
        <f>IFERROR(VLOOKUP($A2822,EVENTO!$A$2:$C$4999,2,FALSE),"")</f>
        <v>CADASTRO</v>
      </c>
      <c r="C2822" s="76" t="str">
        <f>IFERROR(VLOOKUP($A2822,EVENTO!$A$2:$C$4999,3,FALSE),"")</f>
        <v> PREFEITURA MUNICIPAL DE URUOCA - GESTÃO DE CONTRATO </v>
      </c>
      <c r="D2822" s="78" t="s">
        <v>2051</v>
      </c>
      <c r="E2822" s="6" t="s">
        <v>2052</v>
      </c>
      <c r="F2822" s="78">
        <v>2.0</v>
      </c>
      <c r="G2822" s="79">
        <v>215.75</v>
      </c>
    </row>
    <row r="2823">
      <c r="A2823" s="6">
        <v>713.0</v>
      </c>
      <c r="B2823" s="76" t="str">
        <f>IFERROR(VLOOKUP($A2823,EVENTO!$A$2:$C$4999,2,FALSE),"")</f>
        <v>ADITIVO MODIFICAÇÃO DE ITEM</v>
      </c>
      <c r="C2823" s="76" t="str">
        <f>IFERROR(VLOOKUP($A2823,EVENTO!$A$2:$C$4999,3,FALSE),"")</f>
        <v> PREFEITURA MUNICIPAL DE URUOCA - GESTÃO DE CONTRATO </v>
      </c>
      <c r="D2823" s="78" t="s">
        <v>2051</v>
      </c>
      <c r="E2823" s="6" t="s">
        <v>2053</v>
      </c>
      <c r="F2823" s="78">
        <v>2.0</v>
      </c>
      <c r="G2823" s="79">
        <v>215.75</v>
      </c>
    </row>
    <row r="2824">
      <c r="A2824" s="6">
        <v>714.0</v>
      </c>
      <c r="B2824" s="76" t="str">
        <f>IFERROR(VLOOKUP($A2824,EVENTO!$A$2:$C$4999,2,FALSE),"")</f>
        <v>CADASTRO</v>
      </c>
      <c r="C2824" s="76" t="str">
        <f>IFERROR(VLOOKUP($A2824,EVENTO!$A$2:$C$4999,3,FALSE),"")</f>
        <v>GOVERNO MUNICIPAL DE URUOCA - FUNDO MUNICIPAL DE SAÚDE </v>
      </c>
      <c r="D2824" s="78" t="s">
        <v>2051</v>
      </c>
      <c r="E2824" s="6" t="s">
        <v>2052</v>
      </c>
      <c r="F2824" s="78">
        <v>3.0</v>
      </c>
      <c r="G2824" s="79">
        <v>215.75</v>
      </c>
    </row>
    <row r="2825">
      <c r="A2825" s="6">
        <v>715.0</v>
      </c>
      <c r="B2825" s="76" t="str">
        <f>IFERROR(VLOOKUP($A2825,EVENTO!$A$2:$C$4999,2,FALSE),"")</f>
        <v>ADITIVO MODIFICAÇÃO DE ITEM</v>
      </c>
      <c r="C2825" s="76" t="str">
        <f>IFERROR(VLOOKUP($A2825,EVENTO!$A$2:$C$4999,3,FALSE),"")</f>
        <v>GOVERNO MUNICIPAL DE URUOCA - FUNDO MUNICIPAL DE SAÚDE </v>
      </c>
      <c r="D2825" s="78" t="s">
        <v>2051</v>
      </c>
      <c r="E2825" s="6" t="s">
        <v>2053</v>
      </c>
      <c r="F2825" s="78">
        <v>3.0</v>
      </c>
      <c r="G2825" s="79">
        <v>215.75</v>
      </c>
    </row>
    <row r="2826">
      <c r="A2826" s="6">
        <v>716.0</v>
      </c>
      <c r="B2826" s="76" t="str">
        <f>IFERROR(VLOOKUP($A2826,EVENTO!$A$2:$C$4999,2,FALSE),"")</f>
        <v>CADASTRO</v>
      </c>
      <c r="C2826" s="76" t="str">
        <f>IFERROR(VLOOKUP($A2826,EVENTO!$A$2:$C$4999,3,FALSE),"")</f>
        <v>GOVERNO MUNICIPAL DE URUOCA - FUNDO MUNICIPAL DE EDUCAÇÃO </v>
      </c>
      <c r="D2826" s="78" t="s">
        <v>2051</v>
      </c>
      <c r="E2826" s="6" t="s">
        <v>2052</v>
      </c>
      <c r="F2826" s="78">
        <v>10.0</v>
      </c>
      <c r="G2826" s="79">
        <v>215.75</v>
      </c>
    </row>
    <row r="2827">
      <c r="A2827" s="6">
        <v>716.0</v>
      </c>
      <c r="B2827" s="76" t="str">
        <f>IFERROR(VLOOKUP($A2827,EVENTO!$A$2:$C$4999,2,FALSE),"")</f>
        <v>CADASTRO</v>
      </c>
      <c r="C2827" s="76" t="str">
        <f>IFERROR(VLOOKUP($A2827,EVENTO!$A$2:$C$4999,3,FALSE),"")</f>
        <v>GOVERNO MUNICIPAL DE URUOCA - FUNDO MUNICIPAL DE EDUCAÇÃO </v>
      </c>
      <c r="D2827" s="78" t="s">
        <v>2054</v>
      </c>
      <c r="E2827" s="6" t="s">
        <v>2055</v>
      </c>
      <c r="F2827" s="78">
        <v>2.0</v>
      </c>
      <c r="G2827" s="79">
        <v>181.6</v>
      </c>
    </row>
    <row r="2828">
      <c r="A2828" s="6">
        <v>717.0</v>
      </c>
      <c r="B2828" s="76" t="str">
        <f>IFERROR(VLOOKUP($A2828,EVENTO!$A$2:$C$4999,2,FALSE),"")</f>
        <v>ADITIVO MODIFICAÇÃO DE ITEM</v>
      </c>
      <c r="C2828" s="76" t="str">
        <f>IFERROR(VLOOKUP($A2828,EVENTO!$A$2:$C$4999,3,FALSE),"")</f>
        <v>GOVERNO MUNICIPAL DE URUOCA - FUNDO MUNICIPAL DE EDUCAÇÃO </v>
      </c>
      <c r="D2828" s="78" t="s">
        <v>2051</v>
      </c>
      <c r="E2828" s="6" t="s">
        <v>2053</v>
      </c>
      <c r="F2828" s="78">
        <v>10.0</v>
      </c>
      <c r="G2828" s="79">
        <v>215.75</v>
      </c>
    </row>
    <row r="2829">
      <c r="A2829" s="6">
        <v>717.0</v>
      </c>
      <c r="B2829" s="76" t="str">
        <f>IFERROR(VLOOKUP($A2829,EVENTO!$A$2:$C$4999,2,FALSE),"")</f>
        <v>ADITIVO MODIFICAÇÃO DE ITEM</v>
      </c>
      <c r="C2829" s="76" t="str">
        <f>IFERROR(VLOOKUP($A2829,EVENTO!$A$2:$C$4999,3,FALSE),"")</f>
        <v>GOVERNO MUNICIPAL DE URUOCA - FUNDO MUNICIPAL DE EDUCAÇÃO </v>
      </c>
      <c r="D2829" s="78" t="s">
        <v>2054</v>
      </c>
      <c r="E2829" s="6" t="s">
        <v>2056</v>
      </c>
      <c r="F2829" s="78">
        <v>2.0</v>
      </c>
      <c r="G2829" s="79">
        <v>181.6</v>
      </c>
    </row>
    <row r="2830">
      <c r="A2830" s="6">
        <v>720.0</v>
      </c>
      <c r="B2830" s="76" t="str">
        <f>IFERROR(VLOOKUP($A2830,EVENTO!$A$2:$C$4999,2,FALSE),"")</f>
        <v>CADASTRO</v>
      </c>
      <c r="C2830" s="76" t="str">
        <f>IFERROR(VLOOKUP($A2830,EVENTO!$A$2:$C$4999,3,FALSE),"")</f>
        <v>GOVER DO ESTADO DO CEARÁ - SECRETARIA DA PROTEÇÃO ANIMAL – SEPA</v>
      </c>
      <c r="D2830" s="78" t="s">
        <v>2057</v>
      </c>
      <c r="E2830" s="6" t="s">
        <v>2058</v>
      </c>
      <c r="F2830" s="78">
        <v>16.0</v>
      </c>
      <c r="G2830" s="79">
        <v>184.38</v>
      </c>
    </row>
    <row r="2831">
      <c r="A2831" s="6">
        <v>720.0</v>
      </c>
      <c r="B2831" s="76" t="str">
        <f>IFERROR(VLOOKUP($A2831,EVENTO!$A$2:$C$4999,2,FALSE),"")</f>
        <v>CADASTRO</v>
      </c>
      <c r="C2831" s="76" t="str">
        <f>IFERROR(VLOOKUP($A2831,EVENTO!$A$2:$C$4999,3,FALSE),"")</f>
        <v>GOVER DO ESTADO DO CEARÁ - SECRETARIA DA PROTEÇÃO ANIMAL – SEPA</v>
      </c>
      <c r="D2831" s="78" t="s">
        <v>2059</v>
      </c>
      <c r="E2831" s="6" t="s">
        <v>2060</v>
      </c>
      <c r="F2831" s="78">
        <v>3.0</v>
      </c>
      <c r="G2831" s="79">
        <v>120.2</v>
      </c>
    </row>
    <row r="2832">
      <c r="A2832" s="6">
        <v>721.0</v>
      </c>
      <c r="B2832" s="76" t="str">
        <f>IFERROR(VLOOKUP($A2832,EVENTO!$A$2:$C$4999,2,FALSE),"")</f>
        <v>CADASTRO</v>
      </c>
      <c r="C2832" s="76" t="str">
        <f>IFERROR(VLOOKUP($A2832,EVENTO!$A$2:$C$4999,3,FALSE),"")</f>
        <v>ASSOCIACAO DE PROTECAO E ASSISTENCIA A MAT E INFANCIA - ISV - Contrato 1</v>
      </c>
      <c r="D2832" s="78" t="s">
        <v>2061</v>
      </c>
      <c r="E2832" s="6" t="s">
        <v>2062</v>
      </c>
      <c r="F2832" s="78">
        <v>21.0</v>
      </c>
      <c r="G2832" s="79">
        <v>137.21</v>
      </c>
    </row>
    <row r="2833">
      <c r="A2833" s="6">
        <v>721.0</v>
      </c>
      <c r="B2833" s="76" t="str">
        <f>IFERROR(VLOOKUP($A2833,EVENTO!$A$2:$C$4999,2,FALSE),"")</f>
        <v>CADASTRO</v>
      </c>
      <c r="C2833" s="76" t="str">
        <f>IFERROR(VLOOKUP($A2833,EVENTO!$A$2:$C$4999,3,FALSE),"")</f>
        <v>ASSOCIACAO DE PROTECAO E ASSISTENCIA A MAT E INFANCIA - ISV - Contrato 1</v>
      </c>
      <c r="D2833" s="78" t="s">
        <v>2063</v>
      </c>
      <c r="E2833" s="6" t="s">
        <v>2064</v>
      </c>
      <c r="F2833" s="78">
        <v>2.0</v>
      </c>
      <c r="G2833" s="79">
        <v>169.2</v>
      </c>
    </row>
    <row r="2834">
      <c r="A2834" s="6">
        <v>721.0</v>
      </c>
      <c r="B2834" s="76" t="str">
        <f>IFERROR(VLOOKUP($A2834,EVENTO!$A$2:$C$4999,2,FALSE),"")</f>
        <v>CADASTRO</v>
      </c>
      <c r="C2834" s="76" t="str">
        <f>IFERROR(VLOOKUP($A2834,EVENTO!$A$2:$C$4999,3,FALSE),"")</f>
        <v>ASSOCIACAO DE PROTECAO E ASSISTENCIA A MAT E INFANCIA - ISV - Contrato 1</v>
      </c>
      <c r="D2834" s="78" t="s">
        <v>2065</v>
      </c>
      <c r="E2834" s="6" t="s">
        <v>2064</v>
      </c>
      <c r="F2834" s="78">
        <v>2.0</v>
      </c>
      <c r="G2834" s="79">
        <v>203.21</v>
      </c>
    </row>
    <row r="2835">
      <c r="A2835" s="6">
        <v>721.0</v>
      </c>
      <c r="B2835" s="76" t="str">
        <f>IFERROR(VLOOKUP($A2835,EVENTO!$A$2:$C$4999,2,FALSE),"")</f>
        <v>CADASTRO</v>
      </c>
      <c r="C2835" s="76" t="str">
        <f>IFERROR(VLOOKUP($A2835,EVENTO!$A$2:$C$4999,3,FALSE),"")</f>
        <v>ASSOCIACAO DE PROTECAO E ASSISTENCIA A MAT E INFANCIA - ISV - Contrato 1</v>
      </c>
      <c r="D2835" s="78" t="s">
        <v>2066</v>
      </c>
      <c r="E2835" s="6" t="s">
        <v>2067</v>
      </c>
      <c r="F2835" s="78">
        <v>4.0</v>
      </c>
      <c r="G2835" s="79">
        <v>129.0</v>
      </c>
    </row>
    <row r="2836">
      <c r="A2836" s="6">
        <v>721.0</v>
      </c>
      <c r="B2836" s="76" t="str">
        <f>IFERROR(VLOOKUP($A2836,EVENTO!$A$2:$C$4999,2,FALSE),"")</f>
        <v>CADASTRO</v>
      </c>
      <c r="C2836" s="76" t="str">
        <f>IFERROR(VLOOKUP($A2836,EVENTO!$A$2:$C$4999,3,FALSE),"")</f>
        <v>ASSOCIACAO DE PROTECAO E ASSISTENCIA A MAT E INFANCIA - ISV - Contrato 1</v>
      </c>
      <c r="D2836" s="78" t="s">
        <v>1996</v>
      </c>
      <c r="E2836" s="6" t="s">
        <v>2068</v>
      </c>
      <c r="F2836" s="78">
        <v>12.0</v>
      </c>
      <c r="G2836" s="79">
        <v>280.0</v>
      </c>
    </row>
    <row r="2837">
      <c r="A2837" s="6">
        <v>722.0</v>
      </c>
      <c r="B2837" s="76" t="str">
        <f>IFERROR(VLOOKUP($A2837,EVENTO!$A$2:$C$4999,2,FALSE),"")</f>
        <v>CADASTRO</v>
      </c>
      <c r="C2837" s="76" t="str">
        <f>IFERROR(VLOOKUP($A2837,EVENTO!$A$2:$C$4999,3,FALSE),"")</f>
        <v>ASSOCIACAO DE PROTECAO E ASSISTENCIA A MAT E INFANCIA - ISV - (Contrato 2 substituiu o Contrato 1)</v>
      </c>
      <c r="D2837" s="78" t="s">
        <v>2061</v>
      </c>
      <c r="E2837" s="6" t="s">
        <v>2062</v>
      </c>
      <c r="F2837" s="78">
        <v>21.0</v>
      </c>
      <c r="G2837" s="79">
        <v>137.21</v>
      </c>
    </row>
    <row r="2838">
      <c r="A2838" s="6">
        <v>722.0</v>
      </c>
      <c r="B2838" s="76" t="str">
        <f>IFERROR(VLOOKUP($A2838,EVENTO!$A$2:$C$4999,2,FALSE),"")</f>
        <v>CADASTRO</v>
      </c>
      <c r="C2838" s="76" t="str">
        <f>IFERROR(VLOOKUP($A2838,EVENTO!$A$2:$C$4999,3,FALSE),"")</f>
        <v>ASSOCIACAO DE PROTECAO E ASSISTENCIA A MAT E INFANCIA - ISV - (Contrato 2 substituiu o Contrato 1)</v>
      </c>
      <c r="D2838" s="78" t="s">
        <v>2063</v>
      </c>
      <c r="E2838" s="6" t="s">
        <v>2064</v>
      </c>
      <c r="F2838" s="78">
        <v>2.0</v>
      </c>
      <c r="G2838" s="79">
        <v>169.2</v>
      </c>
    </row>
    <row r="2839">
      <c r="A2839" s="6">
        <v>722.0</v>
      </c>
      <c r="B2839" s="76" t="str">
        <f>IFERROR(VLOOKUP($A2839,EVENTO!$A$2:$C$4999,2,FALSE),"")</f>
        <v>CADASTRO</v>
      </c>
      <c r="C2839" s="76" t="str">
        <f>IFERROR(VLOOKUP($A2839,EVENTO!$A$2:$C$4999,3,FALSE),"")</f>
        <v>ASSOCIACAO DE PROTECAO E ASSISTENCIA A MAT E INFANCIA - ISV - (Contrato 2 substituiu o Contrato 1)</v>
      </c>
      <c r="D2839" s="78" t="s">
        <v>2065</v>
      </c>
      <c r="E2839" s="6" t="s">
        <v>2064</v>
      </c>
      <c r="F2839" s="78">
        <v>4.0</v>
      </c>
      <c r="G2839" s="79">
        <v>203.21</v>
      </c>
    </row>
    <row r="2840">
      <c r="A2840" s="6">
        <v>722.0</v>
      </c>
      <c r="B2840" s="76" t="str">
        <f>IFERROR(VLOOKUP($A2840,EVENTO!$A$2:$C$4999,2,FALSE),"")</f>
        <v>CADASTRO</v>
      </c>
      <c r="C2840" s="76" t="str">
        <f>IFERROR(VLOOKUP($A2840,EVENTO!$A$2:$C$4999,3,FALSE),"")</f>
        <v>ASSOCIACAO DE PROTECAO E ASSISTENCIA A MAT E INFANCIA - ISV - (Contrato 2 substituiu o Contrato 1)</v>
      </c>
      <c r="D2840" s="78" t="s">
        <v>2066</v>
      </c>
      <c r="E2840" s="6" t="s">
        <v>2067</v>
      </c>
      <c r="F2840" s="78">
        <v>4.0</v>
      </c>
      <c r="G2840" s="79">
        <v>129.0</v>
      </c>
    </row>
    <row r="2841">
      <c r="A2841" s="6">
        <v>722.0</v>
      </c>
      <c r="B2841" s="76" t="str">
        <f>IFERROR(VLOOKUP($A2841,EVENTO!$A$2:$C$4999,2,FALSE),"")</f>
        <v>CADASTRO</v>
      </c>
      <c r="C2841" s="76" t="str">
        <f>IFERROR(VLOOKUP($A2841,EVENTO!$A$2:$C$4999,3,FALSE),"")</f>
        <v>ASSOCIACAO DE PROTECAO E ASSISTENCIA A MAT E INFANCIA - ISV - (Contrato 2 substituiu o Contrato 1)</v>
      </c>
      <c r="D2841" s="78" t="s">
        <v>1996</v>
      </c>
      <c r="E2841" s="6" t="s">
        <v>2068</v>
      </c>
      <c r="F2841" s="78">
        <v>12.0</v>
      </c>
      <c r="G2841" s="79">
        <v>280.0</v>
      </c>
    </row>
    <row r="2842">
      <c r="A2842" s="6">
        <v>722.0</v>
      </c>
      <c r="B2842" s="76" t="str">
        <f>IFERROR(VLOOKUP($A2842,EVENTO!$A$2:$C$4999,2,FALSE),"")</f>
        <v>CADASTRO</v>
      </c>
      <c r="C2842" s="76" t="str">
        <f>IFERROR(VLOOKUP($A2842,EVENTO!$A$2:$C$4999,3,FALSE),"")</f>
        <v>ASSOCIACAO DE PROTECAO E ASSISTENCIA A MAT E INFANCIA - ISV - (Contrato 2 substituiu o Contrato 1)</v>
      </c>
      <c r="D2842" s="78" t="s">
        <v>2069</v>
      </c>
      <c r="E2842" s="6" t="s">
        <v>2070</v>
      </c>
      <c r="F2842" s="78">
        <v>5.0</v>
      </c>
      <c r="G2842" s="79">
        <v>148.11</v>
      </c>
    </row>
    <row r="2843">
      <c r="A2843" s="6">
        <v>723.0</v>
      </c>
      <c r="B2843" s="76" t="str">
        <f>IFERROR(VLOOKUP($A2843,EVENTO!$A$2:$C$4999,2,FALSE),"")</f>
        <v>ADITIVO DE PRAZO</v>
      </c>
      <c r="C2843" s="76" t="str">
        <f>IFERROR(VLOOKUP($A2843,EVENTO!$A$2:$C$4999,3,FALSE),"")</f>
        <v>ASSOCIACAO DE PROTECAO E ASSISTENCIA A MAT E INFANCIA - ISV - (Contrato 2 substituiu o Contrato 1)</v>
      </c>
      <c r="D2843" s="78" t="s">
        <v>2061</v>
      </c>
      <c r="E2843" s="6" t="s">
        <v>2062</v>
      </c>
      <c r="F2843" s="78">
        <v>21.0</v>
      </c>
      <c r="G2843" s="79">
        <v>137.21</v>
      </c>
    </row>
    <row r="2844">
      <c r="A2844" s="6">
        <v>723.0</v>
      </c>
      <c r="B2844" s="76" t="str">
        <f>IFERROR(VLOOKUP($A2844,EVENTO!$A$2:$C$4999,2,FALSE),"")</f>
        <v>ADITIVO DE PRAZO</v>
      </c>
      <c r="C2844" s="76" t="str">
        <f>IFERROR(VLOOKUP($A2844,EVENTO!$A$2:$C$4999,3,FALSE),"")</f>
        <v>ASSOCIACAO DE PROTECAO E ASSISTENCIA A MAT E INFANCIA - ISV - (Contrato 2 substituiu o Contrato 1)</v>
      </c>
      <c r="D2844" s="78" t="s">
        <v>2063</v>
      </c>
      <c r="E2844" s="6" t="s">
        <v>2064</v>
      </c>
      <c r="F2844" s="78">
        <v>2.0</v>
      </c>
      <c r="G2844" s="79">
        <v>169.2</v>
      </c>
    </row>
    <row r="2845">
      <c r="A2845" s="6">
        <v>723.0</v>
      </c>
      <c r="B2845" s="76" t="str">
        <f>IFERROR(VLOOKUP($A2845,EVENTO!$A$2:$C$4999,2,FALSE),"")</f>
        <v>ADITIVO DE PRAZO</v>
      </c>
      <c r="C2845" s="76" t="str">
        <f>IFERROR(VLOOKUP($A2845,EVENTO!$A$2:$C$4999,3,FALSE),"")</f>
        <v>ASSOCIACAO DE PROTECAO E ASSISTENCIA A MAT E INFANCIA - ISV - (Contrato 2 substituiu o Contrato 1)</v>
      </c>
      <c r="D2845" s="78" t="s">
        <v>2065</v>
      </c>
      <c r="E2845" s="6" t="s">
        <v>2064</v>
      </c>
      <c r="F2845" s="78">
        <v>4.0</v>
      </c>
      <c r="G2845" s="79">
        <v>203.21</v>
      </c>
    </row>
    <row r="2846">
      <c r="A2846" s="6">
        <v>723.0</v>
      </c>
      <c r="B2846" s="76" t="str">
        <f>IFERROR(VLOOKUP($A2846,EVENTO!$A$2:$C$4999,2,FALSE),"")</f>
        <v>ADITIVO DE PRAZO</v>
      </c>
      <c r="C2846" s="76" t="str">
        <f>IFERROR(VLOOKUP($A2846,EVENTO!$A$2:$C$4999,3,FALSE),"")</f>
        <v>ASSOCIACAO DE PROTECAO E ASSISTENCIA A MAT E INFANCIA - ISV - (Contrato 2 substituiu o Contrato 1)</v>
      </c>
      <c r="D2846" s="78" t="s">
        <v>2066</v>
      </c>
      <c r="E2846" s="6" t="s">
        <v>2067</v>
      </c>
      <c r="F2846" s="78">
        <v>4.0</v>
      </c>
      <c r="G2846" s="79">
        <v>129.0</v>
      </c>
    </row>
    <row r="2847">
      <c r="A2847" s="6">
        <v>723.0</v>
      </c>
      <c r="B2847" s="76" t="str">
        <f>IFERROR(VLOOKUP($A2847,EVENTO!$A$2:$C$4999,2,FALSE),"")</f>
        <v>ADITIVO DE PRAZO</v>
      </c>
      <c r="C2847" s="76" t="str">
        <f>IFERROR(VLOOKUP($A2847,EVENTO!$A$2:$C$4999,3,FALSE),"")</f>
        <v>ASSOCIACAO DE PROTECAO E ASSISTENCIA A MAT E INFANCIA - ISV - (Contrato 2 substituiu o Contrato 1)</v>
      </c>
      <c r="D2847" s="78" t="s">
        <v>1996</v>
      </c>
      <c r="E2847" s="6" t="s">
        <v>2068</v>
      </c>
      <c r="F2847" s="78">
        <v>12.0</v>
      </c>
      <c r="G2847" s="79">
        <v>280.0</v>
      </c>
    </row>
    <row r="2848">
      <c r="A2848" s="6">
        <v>723.0</v>
      </c>
      <c r="B2848" s="76" t="str">
        <f>IFERROR(VLOOKUP($A2848,EVENTO!$A$2:$C$4999,2,FALSE),"")</f>
        <v>ADITIVO DE PRAZO</v>
      </c>
      <c r="C2848" s="76" t="str">
        <f>IFERROR(VLOOKUP($A2848,EVENTO!$A$2:$C$4999,3,FALSE),"")</f>
        <v>ASSOCIACAO DE PROTECAO E ASSISTENCIA A MAT E INFANCIA - ISV - (Contrato 2 substituiu o Contrato 1)</v>
      </c>
      <c r="D2848" s="78" t="s">
        <v>2069</v>
      </c>
      <c r="E2848" s="6" t="s">
        <v>2070</v>
      </c>
      <c r="F2848" s="78">
        <v>5.0</v>
      </c>
      <c r="G2848" s="79">
        <v>148.11</v>
      </c>
    </row>
    <row r="2849">
      <c r="A2849" s="6">
        <v>724.0</v>
      </c>
      <c r="B2849" s="76" t="str">
        <f>IFERROR(VLOOKUP($A2849,EVENTO!$A$2:$C$4999,2,FALSE),"")</f>
        <v>CADASTRO</v>
      </c>
      <c r="C2849" s="76" t="str">
        <f>IFERROR(VLOOKUP($A2849,EVENTO!$A$2:$C$4999,3,FALSE),"")</f>
        <v>CONSELHO REGIONAL DE CONTABILIDADE DO CEARÁ,</v>
      </c>
      <c r="D2849" s="78" t="s">
        <v>2071</v>
      </c>
      <c r="E2849" s="6" t="s">
        <v>2072</v>
      </c>
      <c r="F2849" s="78">
        <v>1.0</v>
      </c>
      <c r="G2849" s="79">
        <v>189.99</v>
      </c>
    </row>
    <row r="2850">
      <c r="A2850" s="6">
        <v>724.0</v>
      </c>
      <c r="B2850" s="76" t="str">
        <f>IFERROR(VLOOKUP($A2850,EVENTO!$A$2:$C$4999,2,FALSE),"")</f>
        <v>CADASTRO</v>
      </c>
      <c r="C2850" s="76" t="str">
        <f>IFERROR(VLOOKUP($A2850,EVENTO!$A$2:$C$4999,3,FALSE),"")</f>
        <v>CONSELHO REGIONAL DE CONTABILIDADE DO CEARÁ,</v>
      </c>
      <c r="D2850" s="78" t="s">
        <v>2073</v>
      </c>
      <c r="E2850" s="6" t="s">
        <v>2074</v>
      </c>
      <c r="F2850" s="78">
        <v>8.0</v>
      </c>
      <c r="G2850" s="79">
        <v>110.25</v>
      </c>
    </row>
    <row r="2851">
      <c r="A2851" s="6">
        <v>724.0</v>
      </c>
      <c r="B2851" s="76" t="str">
        <f>IFERROR(VLOOKUP($A2851,EVENTO!$A$2:$C$4999,2,FALSE),"")</f>
        <v>CADASTRO</v>
      </c>
      <c r="C2851" s="76" t="str">
        <f>IFERROR(VLOOKUP($A2851,EVENTO!$A$2:$C$4999,3,FALSE),"")</f>
        <v>CONSELHO REGIONAL DE CONTABILIDADE DO CEARÁ,</v>
      </c>
      <c r="D2851" s="78" t="s">
        <v>2075</v>
      </c>
      <c r="E2851" s="6" t="s">
        <v>2076</v>
      </c>
      <c r="F2851" s="78">
        <v>3.0</v>
      </c>
      <c r="G2851" s="79">
        <v>136.5</v>
      </c>
    </row>
    <row r="2852">
      <c r="A2852" s="6">
        <v>724.0</v>
      </c>
      <c r="B2852" s="76" t="str">
        <f>IFERROR(VLOOKUP($A2852,EVENTO!$A$2:$C$4999,2,FALSE),"")</f>
        <v>CADASTRO</v>
      </c>
      <c r="C2852" s="76" t="str">
        <f>IFERROR(VLOOKUP($A2852,EVENTO!$A$2:$C$4999,3,FALSE),"")</f>
        <v>CONSELHO REGIONAL DE CONTABILIDADE DO CEARÁ,</v>
      </c>
      <c r="D2852" s="78" t="s">
        <v>2077</v>
      </c>
      <c r="E2852" s="6" t="s">
        <v>2078</v>
      </c>
      <c r="F2852" s="78">
        <v>4.0</v>
      </c>
      <c r="G2852" s="79">
        <v>137.83</v>
      </c>
    </row>
    <row r="2853">
      <c r="A2853" s="6">
        <v>725.0</v>
      </c>
      <c r="B2853" s="76" t="str">
        <f>IFERROR(VLOOKUP($A2853,EVENTO!$A$2:$C$4999,2,FALSE),"")</f>
        <v>ADITIVO DE PRAZO</v>
      </c>
      <c r="C2853" s="50" t="str">
        <f>IFERROR(VLOOKUP($A2853,EVENTO!$A$2:$C$4999,3,FALSE),"")</f>
        <v>MUNICÍPIO DE CRATO - SECRETARIA DE EDUCAÇÃO</v>
      </c>
      <c r="D2853" s="78" t="s">
        <v>2079</v>
      </c>
      <c r="E2853" s="6" t="s">
        <v>2080</v>
      </c>
      <c r="F2853" s="78">
        <v>1.0</v>
      </c>
      <c r="G2853" s="79">
        <v>1766.66</v>
      </c>
    </row>
    <row r="2854">
      <c r="A2854" s="6">
        <v>726.0</v>
      </c>
      <c r="B2854" s="76" t="str">
        <f>IFERROR(VLOOKUP($A2854,EVENTO!$A$2:$C$4999,2,FALSE),"")</f>
        <v>CADASTRO</v>
      </c>
      <c r="C2854" s="76" t="str">
        <f>IFERROR(VLOOKUP($A2854,EVENTO!$A$2:$C$4999,3,FALSE),"")</f>
        <v>PREFEITURA MUNICIPAL DE FORTALEZA - SECRETARIA MUNICIPAL DO ESPORTE E LAZER </v>
      </c>
      <c r="D2854" s="78" t="s">
        <v>2081</v>
      </c>
      <c r="E2854" s="6" t="s">
        <v>2082</v>
      </c>
      <c r="F2854" s="78">
        <v>2.0</v>
      </c>
      <c r="G2854" s="79">
        <v>600.0</v>
      </c>
    </row>
    <row r="2855">
      <c r="A2855" s="6">
        <v>726.0</v>
      </c>
      <c r="B2855" s="76" t="str">
        <f>IFERROR(VLOOKUP($A2855,EVENTO!$A$2:$C$4999,2,FALSE),"")</f>
        <v>CADASTRO</v>
      </c>
      <c r="C2855" s="76" t="str">
        <f>IFERROR(VLOOKUP($A2855,EVENTO!$A$2:$C$4999,3,FALSE),"")</f>
        <v>PREFEITURA MUNICIPAL DE FORTALEZA - SECRETARIA MUNICIPAL DO ESPORTE E LAZER </v>
      </c>
      <c r="D2855" s="78" t="s">
        <v>2083</v>
      </c>
      <c r="E2855" s="6" t="s">
        <v>2084</v>
      </c>
      <c r="F2855" s="78">
        <v>4.0</v>
      </c>
      <c r="G2855" s="79">
        <v>240.0</v>
      </c>
    </row>
    <row r="2856">
      <c r="A2856" s="6">
        <v>727.0</v>
      </c>
      <c r="B2856" s="76" t="str">
        <f>IFERROR(VLOOKUP($A2856,EVENTO!$A$2:$C$4999,2,FALSE),"")</f>
        <v>CADASTRO</v>
      </c>
      <c r="C2856" s="76" t="str">
        <f>IFERROR(VLOOKUP($A2856,EVENTO!$A$2:$C$4999,3,FALSE),"")</f>
        <v>MULTINTEGRADA LTDA</v>
      </c>
      <c r="D2856" s="78" t="s">
        <v>2085</v>
      </c>
      <c r="E2856" s="6" t="s">
        <v>2086</v>
      </c>
      <c r="F2856" s="78">
        <v>160.0</v>
      </c>
      <c r="G2856" s="79">
        <v>96.0</v>
      </c>
    </row>
    <row r="2857">
      <c r="A2857" s="6">
        <v>727.0</v>
      </c>
      <c r="B2857" s="76" t="str">
        <f>IFERROR(VLOOKUP($A2857,EVENTO!$A$2:$C$4999,2,FALSE),"")</f>
        <v>CADASTRO</v>
      </c>
      <c r="C2857" s="76" t="str">
        <f>IFERROR(VLOOKUP($A2857,EVENTO!$A$2:$C$4999,3,FALSE),"")</f>
        <v>MULTINTEGRADA LTDA</v>
      </c>
      <c r="D2857" s="78" t="s">
        <v>2087</v>
      </c>
      <c r="E2857" s="6" t="s">
        <v>2088</v>
      </c>
      <c r="F2857" s="78">
        <v>130.0</v>
      </c>
      <c r="G2857" s="79">
        <v>149.0</v>
      </c>
    </row>
    <row r="2858">
      <c r="A2858" s="6">
        <v>727.0</v>
      </c>
      <c r="B2858" s="76" t="str">
        <f>IFERROR(VLOOKUP($A2858,EVENTO!$A$2:$C$4999,2,FALSE),"")</f>
        <v>CADASTRO</v>
      </c>
      <c r="C2858" s="76" t="str">
        <f>IFERROR(VLOOKUP($A2858,EVENTO!$A$2:$C$4999,3,FALSE),"")</f>
        <v>MULTINTEGRADA LTDA</v>
      </c>
      <c r="D2858" s="78" t="s">
        <v>2089</v>
      </c>
      <c r="E2858" s="6" t="s">
        <v>2090</v>
      </c>
      <c r="F2858" s="78">
        <v>40.0</v>
      </c>
      <c r="G2858" s="79">
        <v>47.0</v>
      </c>
    </row>
    <row r="2859">
      <c r="A2859" s="6">
        <v>727.0</v>
      </c>
      <c r="B2859" s="76" t="str">
        <f>IFERROR(VLOOKUP($A2859,EVENTO!$A$2:$C$4999,2,FALSE),"")</f>
        <v>CADASTRO</v>
      </c>
      <c r="C2859" s="76" t="str">
        <f>IFERROR(VLOOKUP($A2859,EVENTO!$A$2:$C$4999,3,FALSE),"")</f>
        <v>MULTINTEGRADA LTDA</v>
      </c>
      <c r="D2859" s="78" t="s">
        <v>2091</v>
      </c>
      <c r="E2859" s="6" t="s">
        <v>2092</v>
      </c>
      <c r="F2859" s="78">
        <v>144.0</v>
      </c>
      <c r="G2859" s="79">
        <v>41.0</v>
      </c>
    </row>
    <row r="2860">
      <c r="A2860" s="6">
        <v>727.0</v>
      </c>
      <c r="B2860" s="76" t="str">
        <f>IFERROR(VLOOKUP($A2860,EVENTO!$A$2:$C$4999,2,FALSE),"")</f>
        <v>CADASTRO</v>
      </c>
      <c r="C2860" s="76" t="str">
        <f>IFERROR(VLOOKUP($A2860,EVENTO!$A$2:$C$4999,3,FALSE),"")</f>
        <v>MULTINTEGRADA LTDA</v>
      </c>
      <c r="D2860" s="78" t="s">
        <v>2093</v>
      </c>
      <c r="E2860" s="6" t="s">
        <v>2094</v>
      </c>
      <c r="F2860" s="78">
        <v>60.0</v>
      </c>
      <c r="G2860" s="79">
        <v>104.0</v>
      </c>
    </row>
    <row r="2861">
      <c r="A2861" s="6">
        <v>727.0</v>
      </c>
      <c r="B2861" s="76" t="str">
        <f>IFERROR(VLOOKUP($A2861,EVENTO!$A$2:$C$4999,2,FALSE),"")</f>
        <v>CADASTRO</v>
      </c>
      <c r="C2861" s="76" t="str">
        <f>IFERROR(VLOOKUP($A2861,EVENTO!$A$2:$C$4999,3,FALSE),"")</f>
        <v>MULTINTEGRADA LTDA</v>
      </c>
      <c r="D2861" s="78" t="s">
        <v>2095</v>
      </c>
      <c r="E2861" s="6" t="s">
        <v>2096</v>
      </c>
      <c r="F2861" s="78">
        <v>90.0</v>
      </c>
      <c r="G2861" s="79">
        <v>180.0</v>
      </c>
    </row>
    <row r="2862">
      <c r="A2862" s="6">
        <v>728.0</v>
      </c>
      <c r="B2862" s="76" t="str">
        <f>IFERROR(VLOOKUP($A2862,EVENTO!$A$2:$C$4999,2,FALSE),"")</f>
        <v>CADASTRO</v>
      </c>
      <c r="C2862" s="76" t="str">
        <f>IFERROR(VLOOKUP($A2862,EVENTO!$A$2:$C$4999,3,FALSE),"")</f>
        <v>SUPERINTENDÊNCIA DE OBRAS DO PLANO DE DESENVOLVIMENTO DO ESTADO - SUPLAN</v>
      </c>
      <c r="D2862" s="78" t="s">
        <v>2097</v>
      </c>
      <c r="E2862" s="6" t="s">
        <v>2098</v>
      </c>
      <c r="F2862" s="78">
        <v>1.0</v>
      </c>
      <c r="G2862" s="79">
        <v>199.0</v>
      </c>
    </row>
    <row r="2863">
      <c r="A2863" s="6">
        <v>729.0</v>
      </c>
      <c r="B2863" s="76" t="str">
        <f>IFERROR(VLOOKUP($A2863,EVENTO!$A$2:$C$4999,2,FALSE),"")</f>
        <v>ADITIVO DE QUANTIDADE</v>
      </c>
      <c r="C2863" s="76" t="str">
        <f>IFERROR(VLOOKUP($A2863,EVENTO!$A$2:$C$4999,3,FALSE),"")</f>
        <v>MULTINTEGRADA LTDA</v>
      </c>
      <c r="D2863" s="78" t="s">
        <v>2099</v>
      </c>
      <c r="E2863" s="6" t="s">
        <v>2100</v>
      </c>
      <c r="F2863" s="78">
        <v>62.0</v>
      </c>
      <c r="G2863" s="79">
        <v>96.0</v>
      </c>
    </row>
    <row r="2864">
      <c r="A2864" s="6">
        <v>729.0</v>
      </c>
      <c r="B2864" s="76" t="str">
        <f>IFERROR(VLOOKUP($A2864,EVENTO!$A$2:$C$4999,2,FALSE),"")</f>
        <v>ADITIVO DE QUANTIDADE</v>
      </c>
      <c r="C2864" s="76" t="str">
        <f>IFERROR(VLOOKUP($A2864,EVENTO!$A$2:$C$4999,3,FALSE),"")</f>
        <v>MULTINTEGRADA LTDA</v>
      </c>
      <c r="D2864" s="78" t="s">
        <v>2091</v>
      </c>
      <c r="E2864" s="6" t="s">
        <v>2101</v>
      </c>
      <c r="F2864" s="78">
        <v>46.0</v>
      </c>
      <c r="G2864" s="79">
        <v>41.0</v>
      </c>
    </row>
    <row r="2865">
      <c r="A2865" s="6">
        <v>729.0</v>
      </c>
      <c r="B2865" s="76" t="str">
        <f>IFERROR(VLOOKUP($A2865,EVENTO!$A$2:$C$4999,2,FALSE),"")</f>
        <v>ADITIVO DE QUANTIDADE</v>
      </c>
      <c r="C2865" s="76" t="str">
        <f>IFERROR(VLOOKUP($A2865,EVENTO!$A$2:$C$4999,3,FALSE),"")</f>
        <v>MULTINTEGRADA LTDA</v>
      </c>
      <c r="D2865" s="78" t="s">
        <v>2093</v>
      </c>
      <c r="E2865" s="6" t="s">
        <v>2094</v>
      </c>
      <c r="F2865" s="78">
        <v>39.0</v>
      </c>
      <c r="G2865" s="79">
        <v>104.0</v>
      </c>
    </row>
    <row r="2866">
      <c r="A2866" s="6">
        <v>730.0</v>
      </c>
      <c r="B2866" s="76" t="str">
        <f>IFERROR(VLOOKUP($A2866,EVENTO!$A$2:$C$4999,2,FALSE),"")</f>
        <v>ADITIVO DE QUANTIDADE</v>
      </c>
      <c r="C2866" s="76" t="str">
        <f>IFERROR(VLOOKUP($A2866,EVENTO!$A$2:$C$4999,3,FALSE),"")</f>
        <v>MULTINTEGRADA LTDA</v>
      </c>
      <c r="D2866" s="78" t="s">
        <v>2102</v>
      </c>
      <c r="E2866" s="6" t="s">
        <v>2100</v>
      </c>
      <c r="F2866" s="78">
        <v>228.0</v>
      </c>
      <c r="G2866" s="79">
        <v>96.0</v>
      </c>
    </row>
    <row r="2867">
      <c r="A2867" s="6">
        <v>730.0</v>
      </c>
      <c r="B2867" s="76" t="str">
        <f>IFERROR(VLOOKUP($A2867,EVENTO!$A$2:$C$4999,2,FALSE),"")</f>
        <v>ADITIVO DE QUANTIDADE</v>
      </c>
      <c r="C2867" s="76" t="str">
        <f>IFERROR(VLOOKUP($A2867,EVENTO!$A$2:$C$4999,3,FALSE),"")</f>
        <v>MULTINTEGRADA LTDA</v>
      </c>
      <c r="D2867" s="78" t="s">
        <v>2103</v>
      </c>
      <c r="E2867" s="6" t="s">
        <v>2090</v>
      </c>
      <c r="F2867" s="78">
        <v>228.0</v>
      </c>
      <c r="G2867" s="79">
        <v>47.0</v>
      </c>
    </row>
    <row r="2868">
      <c r="A2868" s="6">
        <v>730.0</v>
      </c>
      <c r="B2868" s="76" t="str">
        <f>IFERROR(VLOOKUP($A2868,EVENTO!$A$2:$C$4999,2,FALSE),"")</f>
        <v>ADITIVO DE QUANTIDADE</v>
      </c>
      <c r="C2868" s="76" t="str">
        <f>IFERROR(VLOOKUP($A2868,EVENTO!$A$2:$C$4999,3,FALSE),"")</f>
        <v>MULTINTEGRADA LTDA</v>
      </c>
      <c r="D2868" s="78" t="s">
        <v>2091</v>
      </c>
      <c r="E2868" s="6" t="s">
        <v>2101</v>
      </c>
      <c r="F2868" s="78">
        <v>50.0</v>
      </c>
      <c r="G2868" s="79">
        <v>41.0</v>
      </c>
    </row>
    <row r="2869">
      <c r="A2869" s="6">
        <v>730.0</v>
      </c>
      <c r="B2869" s="76" t="str">
        <f>IFERROR(VLOOKUP($A2869,EVENTO!$A$2:$C$4999,2,FALSE),"")</f>
        <v>ADITIVO DE QUANTIDADE</v>
      </c>
      <c r="C2869" s="76" t="str">
        <f>IFERROR(VLOOKUP($A2869,EVENTO!$A$2:$C$4999,3,FALSE),"")</f>
        <v>MULTINTEGRADA LTDA</v>
      </c>
      <c r="D2869" s="78" t="s">
        <v>2093</v>
      </c>
      <c r="E2869" s="6" t="s">
        <v>2094</v>
      </c>
      <c r="F2869" s="78">
        <v>150.0</v>
      </c>
      <c r="G2869" s="79">
        <v>104.0</v>
      </c>
    </row>
    <row r="2870">
      <c r="A2870" s="6">
        <v>731.0</v>
      </c>
      <c r="B2870" s="76" t="str">
        <f>IFERROR(VLOOKUP($A2870,EVENTO!$A$2:$C$4999,2,FALSE),"")</f>
        <v>ADITIVO DE PRAZO</v>
      </c>
      <c r="C2870" s="76" t="str">
        <f>IFERROR(VLOOKUP($A2870,EVENTO!$A$2:$C$4999,3,FALSE),"")</f>
        <v>MULTINTEGRADA LTDA</v>
      </c>
      <c r="D2870" s="78" t="s">
        <v>2085</v>
      </c>
      <c r="E2870" s="6" t="s">
        <v>2086</v>
      </c>
      <c r="F2870" s="78">
        <v>450.0</v>
      </c>
      <c r="G2870" s="79">
        <v>96.0</v>
      </c>
    </row>
    <row r="2871">
      <c r="A2871" s="6">
        <v>731.0</v>
      </c>
      <c r="B2871" s="76" t="str">
        <f>IFERROR(VLOOKUP($A2871,EVENTO!$A$2:$C$4999,2,FALSE),"")</f>
        <v>ADITIVO DE PRAZO</v>
      </c>
      <c r="C2871" s="76" t="str">
        <f>IFERROR(VLOOKUP($A2871,EVENTO!$A$2:$C$4999,3,FALSE),"")</f>
        <v>MULTINTEGRADA LTDA</v>
      </c>
      <c r="D2871" s="78" t="s">
        <v>2087</v>
      </c>
      <c r="E2871" s="6" t="s">
        <v>2088</v>
      </c>
      <c r="F2871" s="78">
        <v>130.0</v>
      </c>
      <c r="G2871" s="79">
        <v>149.0</v>
      </c>
    </row>
    <row r="2872">
      <c r="A2872" s="6">
        <v>731.0</v>
      </c>
      <c r="B2872" s="76" t="str">
        <f>IFERROR(VLOOKUP($A2872,EVENTO!$A$2:$C$4999,2,FALSE),"")</f>
        <v>ADITIVO DE PRAZO</v>
      </c>
      <c r="C2872" s="76" t="str">
        <f>IFERROR(VLOOKUP($A2872,EVENTO!$A$2:$C$4999,3,FALSE),"")</f>
        <v>MULTINTEGRADA LTDA</v>
      </c>
      <c r="D2872" s="78" t="s">
        <v>2103</v>
      </c>
      <c r="E2872" s="6" t="s">
        <v>2090</v>
      </c>
      <c r="F2872" s="78">
        <v>268.0</v>
      </c>
      <c r="G2872" s="79">
        <v>47.0</v>
      </c>
    </row>
    <row r="2873">
      <c r="A2873" s="6">
        <v>731.0</v>
      </c>
      <c r="B2873" s="76" t="str">
        <f>IFERROR(VLOOKUP($A2873,EVENTO!$A$2:$C$4999,2,FALSE),"")</f>
        <v>ADITIVO DE PRAZO</v>
      </c>
      <c r="C2873" s="76" t="str">
        <f>IFERROR(VLOOKUP($A2873,EVENTO!$A$2:$C$4999,3,FALSE),"")</f>
        <v>MULTINTEGRADA LTDA</v>
      </c>
      <c r="D2873" s="78" t="s">
        <v>2091</v>
      </c>
      <c r="E2873" s="6" t="s">
        <v>2101</v>
      </c>
      <c r="F2873" s="78">
        <v>240.0</v>
      </c>
      <c r="G2873" s="79">
        <v>41.0</v>
      </c>
    </row>
    <row r="2874">
      <c r="A2874" s="6">
        <v>731.0</v>
      </c>
      <c r="B2874" s="76" t="str">
        <f>IFERROR(VLOOKUP($A2874,EVENTO!$A$2:$C$4999,2,FALSE),"")</f>
        <v>ADITIVO DE PRAZO</v>
      </c>
      <c r="C2874" s="76" t="str">
        <f>IFERROR(VLOOKUP($A2874,EVENTO!$A$2:$C$4999,3,FALSE),"")</f>
        <v>MULTINTEGRADA LTDA</v>
      </c>
      <c r="D2874" s="78" t="s">
        <v>2093</v>
      </c>
      <c r="E2874" s="6" t="s">
        <v>2094</v>
      </c>
      <c r="F2874" s="78">
        <v>249.0</v>
      </c>
      <c r="G2874" s="79">
        <v>104.0</v>
      </c>
    </row>
    <row r="2875">
      <c r="A2875" s="6">
        <v>731.0</v>
      </c>
      <c r="B2875" s="76" t="str">
        <f>IFERROR(VLOOKUP($A2875,EVENTO!$A$2:$C$4999,2,FALSE),"")</f>
        <v>ADITIVO DE PRAZO</v>
      </c>
      <c r="C2875" s="76" t="str">
        <f>IFERROR(VLOOKUP($A2875,EVENTO!$A$2:$C$4999,3,FALSE),"")</f>
        <v>MULTINTEGRADA LTDA</v>
      </c>
      <c r="D2875" s="78" t="s">
        <v>2083</v>
      </c>
      <c r="E2875" s="6" t="s">
        <v>2096</v>
      </c>
      <c r="F2875" s="78">
        <v>90.0</v>
      </c>
      <c r="G2875" s="79">
        <v>180.0</v>
      </c>
    </row>
    <row r="2876">
      <c r="A2876" s="6">
        <v>732.0</v>
      </c>
      <c r="B2876" s="76" t="str">
        <f>IFERROR(VLOOKUP($A2876,EVENTO!$A$2:$C$4999,2,FALSE),"")</f>
        <v>ADITIVO DE PRAZO</v>
      </c>
      <c r="C2876" s="76" t="str">
        <f>IFERROR(VLOOKUP($A2876,EVENTO!$A$2:$C$4999,3,FALSE),"")</f>
        <v>MUNICIPIO DE GRANJA - CÂMARA MUNICIPAL DE GRANJA </v>
      </c>
      <c r="D2876" s="78" t="s">
        <v>2104</v>
      </c>
      <c r="E2876" s="6" t="s">
        <v>2105</v>
      </c>
      <c r="F2876" s="78">
        <v>2.0</v>
      </c>
      <c r="G2876" s="79">
        <v>280.0</v>
      </c>
    </row>
    <row r="2877">
      <c r="A2877" s="6">
        <v>544.0</v>
      </c>
      <c r="B2877" s="76" t="str">
        <f>IFERROR(VLOOKUP($A2877,EVENTO!$A$2:$C$4999,2,FALSE),"")</f>
        <v>ADITIVO DE REAJUSTE E QUANTIDADE</v>
      </c>
      <c r="C2877" s="109" t="str">
        <f>IFERROR(VLOOKUP($A2877,EVENTO!$A$2:$C$4999,3,FALSE),"")</f>
        <v>CREF</v>
      </c>
      <c r="D2877" s="78" t="s">
        <v>1863</v>
      </c>
      <c r="E2877" s="6" t="s">
        <v>1873</v>
      </c>
      <c r="F2877" s="78">
        <v>1.0</v>
      </c>
      <c r="G2877" s="78"/>
    </row>
    <row r="2878">
      <c r="A2878" s="6">
        <v>544.0</v>
      </c>
      <c r="B2878" s="76" t="str">
        <f>IFERROR(VLOOKUP($A2878,EVENTO!$A$2:$C$4999,2,FALSE),"")</f>
        <v>ADITIVO DE REAJUSTE E QUANTIDADE</v>
      </c>
      <c r="C2878" s="109" t="str">
        <f>IFERROR(VLOOKUP($A2878,EVENTO!$A$2:$C$4999,3,FALSE),"")</f>
        <v>CREF</v>
      </c>
      <c r="D2878" s="78" t="s">
        <v>1861</v>
      </c>
      <c r="E2878" s="6" t="s">
        <v>1585</v>
      </c>
      <c r="F2878" s="78">
        <v>2.0</v>
      </c>
      <c r="G2878" s="78"/>
    </row>
    <row r="2879">
      <c r="A2879" s="6">
        <v>544.0</v>
      </c>
      <c r="B2879" s="76" t="str">
        <f>IFERROR(VLOOKUP($A2879,EVENTO!$A$2:$C$4999,2,FALSE),"")</f>
        <v>ADITIVO DE REAJUSTE E QUANTIDADE</v>
      </c>
      <c r="C2879" s="76" t="str">
        <f>IFERROR(VLOOKUP($A2879,EVENTO!$A$2:$C$4999,3,FALSE),"")</f>
        <v>CREF</v>
      </c>
      <c r="D2879" s="78" t="s">
        <v>1863</v>
      </c>
      <c r="E2879" s="6" t="s">
        <v>2106</v>
      </c>
      <c r="F2879" s="78">
        <v>1.0</v>
      </c>
      <c r="G2879" s="80"/>
    </row>
    <row r="2880">
      <c r="A2880" s="11"/>
      <c r="B2880" s="76" t="str">
        <f>IFERROR(VLOOKUP($A2880,EVENTO!$A$2:$C$4999,2,FALSE),"")</f>
        <v/>
      </c>
      <c r="C2880" s="76" t="str">
        <f>IFERROR(VLOOKUP($A2880,EVENTO!$A$2:$C$4999,3,FALSE),"")</f>
        <v/>
      </c>
      <c r="D2880" s="77"/>
      <c r="F2880" s="78"/>
      <c r="G2880" s="80"/>
    </row>
    <row r="2881">
      <c r="A2881" s="11"/>
      <c r="B2881" s="76" t="str">
        <f>IFERROR(VLOOKUP($A2881,EVENTO!$A$2:$C$4999,2,FALSE),"")</f>
        <v/>
      </c>
      <c r="C2881" s="76" t="str">
        <f>IFERROR(VLOOKUP($A2881,EVENTO!$A$2:$C$4999,3,FALSE),"")</f>
        <v/>
      </c>
      <c r="D2881" s="77"/>
      <c r="F2881" s="78"/>
      <c r="G2881" s="80"/>
    </row>
    <row r="2882">
      <c r="A2882" s="11"/>
      <c r="B2882" s="76" t="str">
        <f>IFERROR(VLOOKUP($A2882,EVENTO!$A$2:$C$4999,2,FALSE),"")</f>
        <v/>
      </c>
      <c r="C2882" s="76" t="str">
        <f>IFERROR(VLOOKUP($A2882,EVENTO!$A$2:$C$4999,3,FALSE),"")</f>
        <v/>
      </c>
      <c r="D2882" s="77"/>
      <c r="F2882" s="78"/>
      <c r="G2882" s="80"/>
    </row>
    <row r="2883">
      <c r="A2883" s="11"/>
      <c r="B2883" s="76" t="str">
        <f>IFERROR(VLOOKUP($A2883,EVENTO!$A$2:$C$4999,2,FALSE),"")</f>
        <v/>
      </c>
      <c r="C2883" s="76" t="str">
        <f>IFERROR(VLOOKUP($A2883,EVENTO!$A$2:$C$4999,3,FALSE),"")</f>
        <v/>
      </c>
      <c r="D2883" s="77"/>
      <c r="F2883" s="78"/>
      <c r="G2883" s="80"/>
    </row>
    <row r="2884">
      <c r="A2884" s="11"/>
      <c r="B2884" s="76"/>
      <c r="C2884" s="76" t="str">
        <f>IFERROR(VLOOKUP($A2884,EVENTO!$A$2:$C$4999,3,FALSE),"")</f>
        <v/>
      </c>
      <c r="D2884" s="77"/>
      <c r="F2884" s="78"/>
      <c r="G2884" s="80"/>
    </row>
    <row r="2885">
      <c r="A2885" s="11"/>
      <c r="B2885" s="76"/>
      <c r="C2885" s="76" t="str">
        <f>IFERROR(VLOOKUP($A2885,EVENTO!$A$2:$C$4999,3,FALSE),"")</f>
        <v/>
      </c>
      <c r="D2885" s="77"/>
      <c r="F2885" s="78"/>
      <c r="G2885" s="80"/>
    </row>
    <row r="2886">
      <c r="A2886" s="11"/>
      <c r="B2886" s="76"/>
      <c r="C2886" s="76" t="str">
        <f>IFERROR(VLOOKUP($A2886,EVENTO!$A$2:$C$4999,3,FALSE),"")</f>
        <v/>
      </c>
      <c r="D2886" s="77"/>
      <c r="F2886" s="78"/>
      <c r="G2886" s="80"/>
    </row>
    <row r="2887">
      <c r="A2887" s="11"/>
      <c r="B2887" s="76"/>
      <c r="C2887" s="76" t="str">
        <f>IFERROR(VLOOKUP($A2887,EVENTO!$A$2:$C$4999,3,FALSE),"")</f>
        <v/>
      </c>
      <c r="D2887" s="77"/>
      <c r="F2887" s="78"/>
      <c r="G2887" s="80"/>
    </row>
    <row r="2888">
      <c r="A2888" s="11"/>
      <c r="B2888" s="76"/>
      <c r="C2888" s="76" t="str">
        <f>IFERROR(VLOOKUP($A2888,EVENTO!$A$2:$C$4999,3,FALSE),"")</f>
        <v/>
      </c>
      <c r="D2888" s="77"/>
      <c r="F2888" s="78"/>
      <c r="G2888" s="80"/>
    </row>
    <row r="2889">
      <c r="A2889" s="11"/>
      <c r="B2889" s="76"/>
      <c r="C2889" s="76" t="str">
        <f>IFERROR(VLOOKUP($A2889,EVENTO!$A$2:$C$4999,3,FALSE),"")</f>
        <v/>
      </c>
      <c r="D2889" s="77"/>
      <c r="F2889" s="78"/>
      <c r="G2889" s="80"/>
    </row>
    <row r="2890">
      <c r="A2890" s="11"/>
      <c r="B2890" s="76"/>
      <c r="C2890" s="76" t="str">
        <f>IFERROR(VLOOKUP($A2890,EVENTO!$A$2:$C$4999,3,FALSE),"")</f>
        <v/>
      </c>
      <c r="D2890" s="77"/>
      <c r="F2890" s="78"/>
      <c r="G2890" s="80"/>
    </row>
    <row r="2891">
      <c r="A2891" s="11"/>
      <c r="B2891" s="76"/>
      <c r="C2891" s="76" t="str">
        <f>IFERROR(VLOOKUP($A2891,EVENTO!$A$2:$C$4999,3,FALSE),"")</f>
        <v/>
      </c>
      <c r="D2891" s="77"/>
      <c r="F2891" s="78"/>
      <c r="G2891" s="80"/>
    </row>
    <row r="2892">
      <c r="A2892" s="11"/>
      <c r="B2892" s="76"/>
      <c r="C2892" s="76" t="str">
        <f>IFERROR(VLOOKUP($A2892,EVENTO!$A$2:$C$4999,3,FALSE),"")</f>
        <v/>
      </c>
      <c r="D2892" s="77"/>
      <c r="F2892" s="78"/>
      <c r="G2892" s="80"/>
    </row>
    <row r="2893">
      <c r="A2893" s="11"/>
      <c r="B2893" s="76"/>
      <c r="C2893" s="76" t="str">
        <f>IFERROR(VLOOKUP($A2893,EVENTO!$A$2:$C$4999,3,FALSE),"")</f>
        <v/>
      </c>
      <c r="D2893" s="77"/>
      <c r="F2893" s="78"/>
      <c r="G2893" s="80"/>
    </row>
    <row r="2894">
      <c r="A2894" s="11"/>
      <c r="B2894" s="76"/>
      <c r="C2894" s="76" t="str">
        <f>IFERROR(VLOOKUP($A2894,EVENTO!$A$2:$C$4999,3,FALSE),"")</f>
        <v/>
      </c>
      <c r="D2894" s="77"/>
      <c r="F2894" s="78"/>
      <c r="G2894" s="80"/>
    </row>
    <row r="2895">
      <c r="A2895" s="11"/>
      <c r="B2895" s="76"/>
      <c r="C2895" s="76" t="str">
        <f>IFERROR(VLOOKUP($A2895,EVENTO!$A$2:$C$4999,3,FALSE),"")</f>
        <v/>
      </c>
      <c r="D2895" s="77"/>
      <c r="F2895" s="78"/>
      <c r="G2895" s="80"/>
    </row>
    <row r="2896">
      <c r="A2896" s="11"/>
      <c r="B2896" s="76"/>
      <c r="C2896" s="76" t="str">
        <f>IFERROR(VLOOKUP($A2896,EVENTO!$A$2:$C$4999,3,FALSE),"")</f>
        <v/>
      </c>
      <c r="D2896" s="77"/>
      <c r="F2896" s="78"/>
      <c r="G2896" s="80"/>
    </row>
    <row r="2897">
      <c r="A2897" s="11"/>
      <c r="B2897" s="76"/>
      <c r="C2897" s="76" t="str">
        <f>IFERROR(VLOOKUP($A2897,EVENTO!$A$2:$C$4999,3,FALSE),"")</f>
        <v/>
      </c>
      <c r="D2897" s="77"/>
      <c r="F2897" s="78"/>
      <c r="G2897" s="80"/>
    </row>
    <row r="2898">
      <c r="A2898" s="11"/>
      <c r="B2898" s="76"/>
      <c r="C2898" s="76" t="str">
        <f>IFERROR(VLOOKUP($A2898,EVENTO!$A$2:$C$4999,3,FALSE),"")</f>
        <v/>
      </c>
      <c r="D2898" s="77"/>
      <c r="F2898" s="78"/>
      <c r="G2898" s="80"/>
    </row>
    <row r="2899">
      <c r="A2899" s="11"/>
      <c r="B2899" s="76"/>
      <c r="C2899" s="76" t="str">
        <f>IFERROR(VLOOKUP($A2899,EVENTO!$A$2:$C$4999,3,FALSE),"")</f>
        <v/>
      </c>
      <c r="D2899" s="77"/>
      <c r="F2899" s="78"/>
      <c r="G2899" s="80"/>
    </row>
    <row r="2900">
      <c r="A2900" s="11"/>
      <c r="B2900" s="76"/>
      <c r="C2900" s="76" t="str">
        <f>IFERROR(VLOOKUP($A2900,EVENTO!$A$2:$C$4999,3,FALSE),"")</f>
        <v/>
      </c>
      <c r="D2900" s="77"/>
      <c r="F2900" s="78"/>
      <c r="G2900" s="80"/>
    </row>
    <row r="2901">
      <c r="A2901" s="11"/>
      <c r="B2901" s="76"/>
      <c r="C2901" s="76" t="str">
        <f>IFERROR(VLOOKUP($A2901,EVENTO!$A$2:$C$4999,3,FALSE),"")</f>
        <v/>
      </c>
      <c r="D2901" s="77"/>
      <c r="F2901" s="78"/>
      <c r="G2901" s="80"/>
    </row>
    <row r="2902">
      <c r="A2902" s="11"/>
      <c r="B2902" s="76"/>
      <c r="C2902" s="76" t="str">
        <f>IFERROR(VLOOKUP($A2902,EVENTO!$A$2:$C$4999,3,FALSE),"")</f>
        <v/>
      </c>
      <c r="D2902" s="77"/>
      <c r="F2902" s="78"/>
      <c r="G2902" s="80"/>
    </row>
    <row r="2903">
      <c r="A2903" s="11"/>
      <c r="B2903" s="76"/>
      <c r="C2903" s="76" t="str">
        <f>IFERROR(VLOOKUP($A2903,EVENTO!$A$2:$C$4999,3,FALSE),"")</f>
        <v/>
      </c>
      <c r="D2903" s="77"/>
      <c r="F2903" s="78"/>
      <c r="G2903" s="80"/>
    </row>
    <row r="2904">
      <c r="A2904" s="11"/>
      <c r="B2904" s="76"/>
      <c r="C2904" s="76" t="str">
        <f>IFERROR(VLOOKUP($A2904,EVENTO!$A$2:$C$4999,3,FALSE),"")</f>
        <v/>
      </c>
      <c r="D2904" s="77"/>
      <c r="F2904" s="78"/>
      <c r="G2904" s="80"/>
    </row>
    <row r="2905">
      <c r="A2905" s="11"/>
      <c r="B2905" s="76"/>
      <c r="C2905" s="76" t="str">
        <f>IFERROR(VLOOKUP($A2905,EVENTO!$A$2:$C$4999,3,FALSE),"")</f>
        <v/>
      </c>
      <c r="D2905" s="77"/>
      <c r="F2905" s="78"/>
      <c r="G2905" s="80"/>
    </row>
    <row r="2906">
      <c r="A2906" s="11"/>
      <c r="B2906" s="76"/>
      <c r="C2906" s="76" t="str">
        <f>IFERROR(VLOOKUP($A2906,EVENTO!$A$2:$C$4999,3,FALSE),"")</f>
        <v/>
      </c>
      <c r="D2906" s="77"/>
      <c r="F2906" s="78"/>
      <c r="G2906" s="80"/>
    </row>
    <row r="2907">
      <c r="A2907" s="11"/>
      <c r="B2907" s="76"/>
      <c r="C2907" s="76" t="str">
        <f>IFERROR(VLOOKUP($A2907,EVENTO!$A$2:$C$4999,3,FALSE),"")</f>
        <v/>
      </c>
      <c r="D2907" s="77"/>
      <c r="F2907" s="78"/>
      <c r="G2907" s="80"/>
    </row>
    <row r="2908">
      <c r="A2908" s="11"/>
      <c r="B2908" s="76"/>
      <c r="C2908" s="76" t="str">
        <f>IFERROR(VLOOKUP($A2908,EVENTO!$A$2:$C$4999,3,FALSE),"")</f>
        <v/>
      </c>
      <c r="D2908" s="77"/>
      <c r="F2908" s="78"/>
      <c r="G2908" s="80"/>
    </row>
    <row r="2909">
      <c r="A2909" s="11"/>
      <c r="B2909" s="76"/>
      <c r="C2909" s="76" t="str">
        <f>IFERROR(VLOOKUP($A2909,EVENTO!$A$2:$C$4999,3,FALSE),"")</f>
        <v/>
      </c>
      <c r="D2909" s="77"/>
      <c r="F2909" s="78"/>
      <c r="G2909" s="80"/>
    </row>
    <row r="2910">
      <c r="A2910" s="11"/>
      <c r="B2910" s="76"/>
      <c r="C2910" s="76" t="str">
        <f>IFERROR(VLOOKUP($A2910,EVENTO!$A$2:$C$4999,3,FALSE),"")</f>
        <v/>
      </c>
      <c r="D2910" s="77"/>
      <c r="F2910" s="78"/>
      <c r="G2910" s="80"/>
    </row>
    <row r="2911">
      <c r="A2911" s="11"/>
      <c r="B2911" s="76"/>
      <c r="C2911" s="76" t="str">
        <f>IFERROR(VLOOKUP($A2911,EVENTO!$A$2:$C$4999,3,FALSE),"")</f>
        <v/>
      </c>
      <c r="D2911" s="77"/>
      <c r="F2911" s="78"/>
      <c r="G2911" s="80"/>
    </row>
    <row r="2912">
      <c r="A2912" s="11"/>
      <c r="B2912" s="76"/>
      <c r="C2912" s="76" t="str">
        <f>IFERROR(VLOOKUP($A2912,EVENTO!$A$2:$C$4999,3,FALSE),"")</f>
        <v/>
      </c>
      <c r="D2912" s="77"/>
      <c r="F2912" s="78"/>
      <c r="G2912" s="80"/>
    </row>
    <row r="2913">
      <c r="A2913" s="11"/>
      <c r="B2913" s="76"/>
      <c r="C2913" s="76" t="str">
        <f>IFERROR(VLOOKUP($A2913,EVENTO!$A$2:$C$4999,3,FALSE),"")</f>
        <v/>
      </c>
      <c r="D2913" s="77"/>
      <c r="F2913" s="78"/>
      <c r="G2913" s="80"/>
    </row>
    <row r="2914">
      <c r="A2914" s="11"/>
      <c r="B2914" s="76"/>
      <c r="C2914" s="76" t="str">
        <f>IFERROR(VLOOKUP($A2914,EVENTO!$A$2:$C$4999,3,FALSE),"")</f>
        <v/>
      </c>
      <c r="D2914" s="77"/>
      <c r="F2914" s="78"/>
      <c r="G2914" s="80"/>
    </row>
    <row r="2915">
      <c r="A2915" s="11"/>
      <c r="B2915" s="76"/>
      <c r="C2915" s="76" t="str">
        <f>IFERROR(VLOOKUP($A2915,EVENTO!$A$2:$C$4999,3,FALSE),"")</f>
        <v/>
      </c>
      <c r="D2915" s="77"/>
      <c r="F2915" s="78"/>
      <c r="G2915" s="80"/>
    </row>
    <row r="2916">
      <c r="A2916" s="11"/>
      <c r="B2916" s="76"/>
      <c r="C2916" s="76" t="str">
        <f>IFERROR(VLOOKUP($A2916,EVENTO!$A$2:$C$4999,3,FALSE),"")</f>
        <v/>
      </c>
      <c r="D2916" s="77"/>
      <c r="F2916" s="78"/>
      <c r="G2916" s="80"/>
    </row>
    <row r="2917">
      <c r="A2917" s="11"/>
      <c r="B2917" s="76"/>
      <c r="C2917" s="76" t="str">
        <f>IFERROR(VLOOKUP($A2917,EVENTO!$A$2:$C$4999,3,FALSE),"")</f>
        <v/>
      </c>
      <c r="D2917" s="77"/>
      <c r="F2917" s="78"/>
      <c r="G2917" s="80"/>
    </row>
    <row r="2918">
      <c r="A2918" s="11"/>
      <c r="B2918" s="76"/>
      <c r="C2918" s="76" t="str">
        <f>IFERROR(VLOOKUP($A2918,EVENTO!$A$2:$C$4999,3,FALSE),"")</f>
        <v/>
      </c>
      <c r="D2918" s="77"/>
      <c r="F2918" s="78"/>
      <c r="G2918" s="80"/>
    </row>
    <row r="2919">
      <c r="A2919" s="11"/>
      <c r="B2919" s="76"/>
      <c r="C2919" s="76" t="str">
        <f>IFERROR(VLOOKUP($A2919,EVENTO!$A$2:$C$4999,3,FALSE),"")</f>
        <v/>
      </c>
      <c r="D2919" s="77"/>
      <c r="F2919" s="78"/>
      <c r="G2919" s="80"/>
    </row>
    <row r="2920">
      <c r="A2920" s="11"/>
      <c r="B2920" s="76"/>
      <c r="C2920" s="76" t="str">
        <f>IFERROR(VLOOKUP($A2920,EVENTO!$A$2:$C$4999,3,FALSE),"")</f>
        <v/>
      </c>
      <c r="D2920" s="77"/>
      <c r="F2920" s="78"/>
      <c r="G2920" s="80"/>
    </row>
    <row r="2921">
      <c r="A2921" s="11"/>
      <c r="B2921" s="76"/>
      <c r="C2921" s="76" t="str">
        <f>IFERROR(VLOOKUP($A2921,EVENTO!$A$2:$C$4999,3,FALSE),"")</f>
        <v/>
      </c>
      <c r="D2921" s="77"/>
      <c r="F2921" s="78"/>
      <c r="G2921" s="80"/>
    </row>
    <row r="2922">
      <c r="A2922" s="11"/>
      <c r="B2922" s="76"/>
      <c r="C2922" s="76" t="str">
        <f>IFERROR(VLOOKUP($A2922,EVENTO!$A$2:$C$4999,3,FALSE),"")</f>
        <v/>
      </c>
      <c r="D2922" s="77"/>
      <c r="F2922" s="78"/>
      <c r="G2922" s="80"/>
    </row>
    <row r="2923">
      <c r="A2923" s="11"/>
      <c r="B2923" s="76"/>
      <c r="C2923" s="76" t="str">
        <f>IFERROR(VLOOKUP($A2923,EVENTO!$A$2:$C$4999,3,FALSE),"")</f>
        <v/>
      </c>
      <c r="D2923" s="77"/>
      <c r="F2923" s="78"/>
      <c r="G2923" s="80"/>
    </row>
    <row r="2924">
      <c r="A2924" s="11"/>
      <c r="B2924" s="76"/>
      <c r="C2924" s="76" t="str">
        <f>IFERROR(VLOOKUP($A2924,EVENTO!$A$2:$C$4999,3,FALSE),"")</f>
        <v/>
      </c>
      <c r="D2924" s="77"/>
      <c r="F2924" s="78"/>
      <c r="G2924" s="80"/>
    </row>
    <row r="2925">
      <c r="A2925" s="11"/>
      <c r="B2925" s="76"/>
      <c r="C2925" s="76" t="str">
        <f>IFERROR(VLOOKUP($A2925,EVENTO!$A$2:$C$4999,3,FALSE),"")</f>
        <v/>
      </c>
      <c r="D2925" s="77"/>
      <c r="F2925" s="78"/>
      <c r="G2925" s="80"/>
    </row>
    <row r="2926">
      <c r="A2926" s="11"/>
      <c r="B2926" s="76"/>
      <c r="C2926" s="76" t="str">
        <f>IFERROR(VLOOKUP($A2926,EVENTO!$A$2:$C$4999,3,FALSE),"")</f>
        <v/>
      </c>
      <c r="D2926" s="77"/>
      <c r="F2926" s="78"/>
      <c r="G2926" s="80"/>
    </row>
    <row r="2927">
      <c r="A2927" s="11"/>
      <c r="B2927" s="76"/>
      <c r="C2927" s="76" t="str">
        <f>IFERROR(VLOOKUP($A2927,EVENTO!$A$2:$C$4999,3,FALSE),"")</f>
        <v/>
      </c>
      <c r="D2927" s="77"/>
      <c r="F2927" s="78"/>
      <c r="G2927" s="80"/>
    </row>
    <row r="2928">
      <c r="A2928" s="11"/>
      <c r="B2928" s="76"/>
      <c r="C2928" s="76" t="str">
        <f>IFERROR(VLOOKUP($A2928,EVENTO!$A$2:$C$4999,3,FALSE),"")</f>
        <v/>
      </c>
      <c r="D2928" s="77"/>
      <c r="F2928" s="78"/>
      <c r="G2928" s="80"/>
    </row>
    <row r="2929">
      <c r="A2929" s="11"/>
      <c r="B2929" s="76"/>
      <c r="C2929" s="76" t="str">
        <f>IFERROR(VLOOKUP($A2929,EVENTO!$A$2:$C$4999,3,FALSE),"")</f>
        <v/>
      </c>
      <c r="D2929" s="77"/>
      <c r="F2929" s="78"/>
      <c r="G2929" s="80"/>
    </row>
    <row r="2930">
      <c r="A2930" s="11"/>
      <c r="B2930" s="76"/>
      <c r="C2930" s="76" t="str">
        <f>IFERROR(VLOOKUP($A2930,EVENTO!$A$2:$C$4999,3,FALSE),"")</f>
        <v/>
      </c>
      <c r="D2930" s="77"/>
      <c r="F2930" s="78"/>
      <c r="G2930" s="80"/>
    </row>
    <row r="2931">
      <c r="A2931" s="11"/>
      <c r="B2931" s="76"/>
      <c r="C2931" s="76" t="str">
        <f>IFERROR(VLOOKUP($A2931,EVENTO!$A$2:$C$4999,3,FALSE),"")</f>
        <v/>
      </c>
      <c r="D2931" s="77"/>
      <c r="F2931" s="78"/>
      <c r="G2931" s="80"/>
    </row>
    <row r="2932">
      <c r="A2932" s="11"/>
      <c r="B2932" s="76"/>
      <c r="C2932" s="76" t="str">
        <f>IFERROR(VLOOKUP($A2932,EVENTO!$A$2:$C$4999,3,FALSE),"")</f>
        <v/>
      </c>
      <c r="D2932" s="77"/>
      <c r="F2932" s="78"/>
      <c r="G2932" s="80"/>
    </row>
    <row r="2933">
      <c r="A2933" s="11"/>
      <c r="B2933" s="76"/>
      <c r="C2933" s="76" t="str">
        <f>IFERROR(VLOOKUP($A2933,EVENTO!$A$2:$C$4999,3,FALSE),"")</f>
        <v/>
      </c>
      <c r="D2933" s="77"/>
      <c r="F2933" s="78"/>
      <c r="G2933" s="80"/>
    </row>
    <row r="2934">
      <c r="A2934" s="11"/>
      <c r="B2934" s="76"/>
      <c r="C2934" s="76" t="str">
        <f>IFERROR(VLOOKUP($A2934,EVENTO!$A$2:$C$4999,3,FALSE),"")</f>
        <v/>
      </c>
      <c r="D2934" s="77"/>
      <c r="F2934" s="78"/>
      <c r="G2934" s="80"/>
    </row>
    <row r="2935">
      <c r="A2935" s="11"/>
      <c r="B2935" s="76"/>
      <c r="C2935" s="76" t="str">
        <f>IFERROR(VLOOKUP($A2935,EVENTO!$A$2:$C$4999,3,FALSE),"")</f>
        <v/>
      </c>
      <c r="D2935" s="77"/>
      <c r="F2935" s="78"/>
      <c r="G2935" s="80"/>
    </row>
    <row r="2936">
      <c r="A2936" s="11"/>
      <c r="B2936" s="76"/>
      <c r="C2936" s="76" t="str">
        <f>IFERROR(VLOOKUP($A2936,EVENTO!$A$2:$C$4999,3,FALSE),"")</f>
        <v/>
      </c>
      <c r="D2936" s="77"/>
      <c r="F2936" s="78"/>
      <c r="G2936" s="80"/>
    </row>
    <row r="2937">
      <c r="A2937" s="11"/>
      <c r="B2937" s="76"/>
      <c r="C2937" s="76" t="str">
        <f>IFERROR(VLOOKUP($A2937,EVENTO!$A$2:$C$4999,3,FALSE),"")</f>
        <v/>
      </c>
      <c r="D2937" s="77"/>
      <c r="F2937" s="78"/>
      <c r="G2937" s="80"/>
    </row>
    <row r="2938">
      <c r="A2938" s="11"/>
      <c r="B2938" s="76"/>
      <c r="C2938" s="76" t="str">
        <f>IFERROR(VLOOKUP($A2938,EVENTO!$A$2:$C$4999,3,FALSE),"")</f>
        <v/>
      </c>
      <c r="D2938" s="77"/>
      <c r="F2938" s="78"/>
      <c r="G2938" s="80"/>
    </row>
    <row r="2939">
      <c r="A2939" s="11"/>
      <c r="B2939" s="76"/>
      <c r="C2939" s="76" t="str">
        <f>IFERROR(VLOOKUP($A2939,EVENTO!$A$2:$C$4999,3,FALSE),"")</f>
        <v/>
      </c>
      <c r="D2939" s="77"/>
      <c r="F2939" s="78"/>
      <c r="G2939" s="80"/>
    </row>
    <row r="2940">
      <c r="A2940" s="11"/>
      <c r="B2940" s="76"/>
      <c r="C2940" s="76" t="str">
        <f>IFERROR(VLOOKUP($A2940,EVENTO!$A$2:$C$4999,3,FALSE),"")</f>
        <v/>
      </c>
      <c r="D2940" s="77"/>
      <c r="F2940" s="78"/>
      <c r="G2940" s="80"/>
    </row>
    <row r="2941">
      <c r="A2941" s="11"/>
      <c r="B2941" s="76"/>
      <c r="C2941" s="76" t="str">
        <f>IFERROR(VLOOKUP($A2941,EVENTO!$A$2:$C$4999,3,FALSE),"")</f>
        <v/>
      </c>
      <c r="D2941" s="77"/>
      <c r="F2941" s="78"/>
      <c r="G2941" s="80"/>
    </row>
    <row r="2942">
      <c r="A2942" s="11"/>
      <c r="B2942" s="76"/>
      <c r="C2942" s="76" t="str">
        <f>IFERROR(VLOOKUP($A2942,EVENTO!$A$2:$C$4999,3,FALSE),"")</f>
        <v/>
      </c>
      <c r="D2942" s="77"/>
      <c r="F2942" s="78"/>
      <c r="G2942" s="80"/>
    </row>
    <row r="2943">
      <c r="A2943" s="11"/>
      <c r="B2943" s="76"/>
      <c r="C2943" s="76" t="str">
        <f>IFERROR(VLOOKUP($A2943,EVENTO!$A$2:$C$4999,3,FALSE),"")</f>
        <v/>
      </c>
      <c r="D2943" s="77"/>
      <c r="F2943" s="78"/>
      <c r="G2943" s="80"/>
    </row>
    <row r="2944">
      <c r="A2944" s="11"/>
      <c r="B2944" s="76"/>
      <c r="C2944" s="76" t="str">
        <f>IFERROR(VLOOKUP($A2944,EVENTO!$A$2:$C$4999,3,FALSE),"")</f>
        <v/>
      </c>
      <c r="D2944" s="77"/>
      <c r="F2944" s="78"/>
      <c r="G2944" s="80"/>
    </row>
    <row r="2945">
      <c r="A2945" s="11"/>
      <c r="B2945" s="76"/>
      <c r="C2945" s="76" t="str">
        <f>IFERROR(VLOOKUP($A2945,EVENTO!$A$2:$C$4999,3,FALSE),"")</f>
        <v/>
      </c>
      <c r="D2945" s="77"/>
      <c r="F2945" s="78"/>
      <c r="G2945" s="80"/>
    </row>
    <row r="2946">
      <c r="A2946" s="11"/>
      <c r="B2946" s="76"/>
      <c r="C2946" s="76" t="str">
        <f>IFERROR(VLOOKUP($A2946,EVENTO!$A$2:$C$4999,3,FALSE),"")</f>
        <v/>
      </c>
      <c r="D2946" s="77"/>
      <c r="F2946" s="78"/>
      <c r="G2946" s="80"/>
    </row>
    <row r="2947">
      <c r="A2947" s="11"/>
      <c r="B2947" s="76"/>
      <c r="C2947" s="76" t="str">
        <f>IFERROR(VLOOKUP($A2947,EVENTO!$A$2:$C$4999,3,FALSE),"")</f>
        <v/>
      </c>
      <c r="D2947" s="77"/>
      <c r="F2947" s="78"/>
      <c r="G2947" s="80"/>
    </row>
    <row r="2948">
      <c r="A2948" s="11"/>
      <c r="B2948" s="76"/>
      <c r="C2948" s="76" t="str">
        <f>IFERROR(VLOOKUP($A2948,EVENTO!$A$2:$C$4999,3,FALSE),"")</f>
        <v/>
      </c>
      <c r="D2948" s="77"/>
      <c r="F2948" s="78"/>
      <c r="G2948" s="80"/>
    </row>
    <row r="2949">
      <c r="A2949" s="11"/>
      <c r="B2949" s="76"/>
      <c r="C2949" s="76" t="str">
        <f>IFERROR(VLOOKUP($A2949,EVENTO!$A$2:$C$4999,3,FALSE),"")</f>
        <v/>
      </c>
      <c r="D2949" s="77"/>
      <c r="F2949" s="78"/>
      <c r="G2949" s="80"/>
    </row>
    <row r="2950">
      <c r="A2950" s="11"/>
      <c r="B2950" s="76"/>
      <c r="C2950" s="76" t="str">
        <f>IFERROR(VLOOKUP($A2950,EVENTO!$A$2:$C$4999,3,FALSE),"")</f>
        <v/>
      </c>
      <c r="D2950" s="77"/>
      <c r="F2950" s="78"/>
      <c r="G2950" s="80"/>
    </row>
    <row r="2951">
      <c r="A2951" s="11"/>
      <c r="B2951" s="76"/>
      <c r="C2951" s="76" t="str">
        <f>IFERROR(VLOOKUP($A2951,EVENTO!$A$2:$C$4999,3,FALSE),"")</f>
        <v/>
      </c>
      <c r="D2951" s="77"/>
      <c r="F2951" s="78"/>
      <c r="G2951" s="80"/>
    </row>
    <row r="2952">
      <c r="A2952" s="11"/>
      <c r="B2952" s="76"/>
      <c r="C2952" s="76" t="str">
        <f>IFERROR(VLOOKUP($A2952,EVENTO!$A$2:$C$4999,3,FALSE),"")</f>
        <v/>
      </c>
      <c r="D2952" s="77"/>
      <c r="F2952" s="78"/>
      <c r="G2952" s="80"/>
    </row>
    <row r="2953">
      <c r="A2953" s="11"/>
      <c r="B2953" s="76"/>
      <c r="C2953" s="76" t="str">
        <f>IFERROR(VLOOKUP($A2953,EVENTO!$A$2:$C$4999,3,FALSE),"")</f>
        <v/>
      </c>
      <c r="D2953" s="77"/>
      <c r="F2953" s="78"/>
      <c r="G2953" s="80"/>
    </row>
    <row r="2954">
      <c r="A2954" s="11"/>
      <c r="B2954" s="76"/>
      <c r="C2954" s="76" t="str">
        <f>IFERROR(VLOOKUP($A2954,EVENTO!$A$2:$C$4999,3,FALSE),"")</f>
        <v/>
      </c>
      <c r="D2954" s="77"/>
      <c r="F2954" s="78"/>
      <c r="G2954" s="80"/>
    </row>
    <row r="2955">
      <c r="A2955" s="11"/>
      <c r="B2955" s="76"/>
      <c r="C2955" s="76" t="str">
        <f>IFERROR(VLOOKUP($A2955,EVENTO!$A$2:$C$4999,3,FALSE),"")</f>
        <v/>
      </c>
      <c r="D2955" s="77"/>
      <c r="F2955" s="78"/>
      <c r="G2955" s="80"/>
    </row>
    <row r="2956">
      <c r="A2956" s="11"/>
      <c r="B2956" s="76"/>
      <c r="C2956" s="76" t="str">
        <f>IFERROR(VLOOKUP($A2956,EVENTO!$A$2:$C$4999,3,FALSE),"")</f>
        <v/>
      </c>
      <c r="D2956" s="77"/>
      <c r="F2956" s="78"/>
      <c r="G2956" s="80"/>
    </row>
    <row r="2957">
      <c r="A2957" s="11"/>
      <c r="B2957" s="76"/>
      <c r="C2957" s="76" t="str">
        <f>IFERROR(VLOOKUP($A2957,EVENTO!$A$2:$C$4999,3,FALSE),"")</f>
        <v/>
      </c>
      <c r="D2957" s="77"/>
      <c r="F2957" s="78"/>
      <c r="G2957" s="80"/>
    </row>
    <row r="2958">
      <c r="A2958" s="11"/>
      <c r="B2958" s="76"/>
      <c r="C2958" s="76" t="str">
        <f>IFERROR(VLOOKUP($A2958,EVENTO!$A$2:$C$4999,3,FALSE),"")</f>
        <v/>
      </c>
      <c r="D2958" s="77"/>
      <c r="F2958" s="78"/>
      <c r="G2958" s="80"/>
    </row>
    <row r="2959">
      <c r="A2959" s="11"/>
      <c r="B2959" s="76"/>
      <c r="C2959" s="76" t="str">
        <f>IFERROR(VLOOKUP($A2959,EVENTO!$A$2:$C$4999,3,FALSE),"")</f>
        <v/>
      </c>
      <c r="D2959" s="77"/>
      <c r="F2959" s="78"/>
      <c r="G2959" s="80"/>
    </row>
    <row r="2960">
      <c r="A2960" s="11"/>
      <c r="B2960" s="76"/>
      <c r="C2960" s="76" t="str">
        <f>IFERROR(VLOOKUP($A2960,EVENTO!$A$2:$C$4999,3,FALSE),"")</f>
        <v/>
      </c>
      <c r="D2960" s="77"/>
      <c r="F2960" s="78"/>
      <c r="G2960" s="80"/>
    </row>
    <row r="2961">
      <c r="A2961" s="11"/>
      <c r="B2961" s="76"/>
      <c r="C2961" s="76" t="str">
        <f>IFERROR(VLOOKUP($A2961,EVENTO!$A$2:$C$4999,3,FALSE),"")</f>
        <v/>
      </c>
      <c r="D2961" s="77"/>
      <c r="F2961" s="78"/>
      <c r="G2961" s="80"/>
    </row>
    <row r="2962">
      <c r="A2962" s="11"/>
      <c r="B2962" s="76"/>
      <c r="C2962" s="76" t="str">
        <f>IFERROR(VLOOKUP($A2962,EVENTO!$A$2:$C$4999,3,FALSE),"")</f>
        <v/>
      </c>
      <c r="D2962" s="77"/>
      <c r="F2962" s="78"/>
      <c r="G2962" s="80"/>
    </row>
    <row r="2963">
      <c r="A2963" s="11"/>
      <c r="B2963" s="76"/>
      <c r="C2963" s="76" t="str">
        <f>IFERROR(VLOOKUP($A2963,EVENTO!$A$2:$C$4999,3,FALSE),"")</f>
        <v/>
      </c>
      <c r="D2963" s="77"/>
      <c r="F2963" s="78"/>
      <c r="G2963" s="80"/>
    </row>
    <row r="2964">
      <c r="A2964" s="11"/>
      <c r="B2964" s="76"/>
      <c r="C2964" s="76" t="str">
        <f>IFERROR(VLOOKUP($A2964,EVENTO!$A$2:$C$4999,3,FALSE),"")</f>
        <v/>
      </c>
      <c r="D2964" s="77"/>
      <c r="F2964" s="78"/>
      <c r="G2964" s="80"/>
    </row>
    <row r="2965">
      <c r="A2965" s="11"/>
      <c r="B2965" s="76"/>
      <c r="C2965" s="76" t="str">
        <f>IFERROR(VLOOKUP($A2965,EVENTO!$A$2:$C$4999,3,FALSE),"")</f>
        <v/>
      </c>
      <c r="D2965" s="77"/>
      <c r="F2965" s="78"/>
      <c r="G2965" s="80"/>
    </row>
    <row r="2966">
      <c r="A2966" s="11"/>
      <c r="B2966" s="76"/>
      <c r="C2966" s="76" t="str">
        <f>IFERROR(VLOOKUP($A2966,EVENTO!$A$2:$C$4999,3,FALSE),"")</f>
        <v/>
      </c>
      <c r="D2966" s="77"/>
      <c r="F2966" s="78"/>
      <c r="G2966" s="80"/>
    </row>
    <row r="2967">
      <c r="A2967" s="11"/>
      <c r="B2967" s="76"/>
      <c r="C2967" s="76" t="str">
        <f>IFERROR(VLOOKUP($A2967,EVENTO!$A$2:$C$4999,3,FALSE),"")</f>
        <v/>
      </c>
      <c r="D2967" s="77"/>
      <c r="F2967" s="78"/>
      <c r="G2967" s="80"/>
    </row>
    <row r="2968">
      <c r="A2968" s="11"/>
      <c r="B2968" s="76"/>
      <c r="C2968" s="76" t="str">
        <f>IFERROR(VLOOKUP($A2968,EVENTO!$A$2:$C$4999,3,FALSE),"")</f>
        <v/>
      </c>
      <c r="D2968" s="77"/>
      <c r="F2968" s="78"/>
      <c r="G2968" s="80"/>
    </row>
    <row r="2969">
      <c r="A2969" s="11"/>
      <c r="B2969" s="76"/>
      <c r="C2969" s="76" t="str">
        <f>IFERROR(VLOOKUP($A2969,EVENTO!$A$2:$C$4999,3,FALSE),"")</f>
        <v/>
      </c>
      <c r="D2969" s="77"/>
      <c r="F2969" s="78"/>
      <c r="G2969" s="80"/>
    </row>
    <row r="2970">
      <c r="A2970" s="11"/>
      <c r="B2970" s="76"/>
      <c r="C2970" s="76" t="str">
        <f>IFERROR(VLOOKUP($A2970,EVENTO!$A$2:$C$4999,3,FALSE),"")</f>
        <v/>
      </c>
      <c r="D2970" s="77"/>
      <c r="F2970" s="78"/>
      <c r="G2970" s="80"/>
    </row>
    <row r="2971">
      <c r="A2971" s="11"/>
      <c r="B2971" s="76"/>
      <c r="C2971" s="76" t="str">
        <f>IFERROR(VLOOKUP($A2971,EVENTO!$A$2:$C$4999,3,FALSE),"")</f>
        <v/>
      </c>
      <c r="D2971" s="77"/>
      <c r="F2971" s="78"/>
      <c r="G2971" s="80"/>
    </row>
    <row r="2972">
      <c r="A2972" s="11"/>
      <c r="B2972" s="76"/>
      <c r="C2972" s="76" t="str">
        <f>IFERROR(VLOOKUP($A2972,EVENTO!$A$2:$C$4999,3,FALSE),"")</f>
        <v/>
      </c>
      <c r="D2972" s="77"/>
      <c r="F2972" s="78"/>
      <c r="G2972" s="80"/>
    </row>
    <row r="2973">
      <c r="A2973" s="11"/>
      <c r="B2973" s="76"/>
      <c r="C2973" s="76" t="str">
        <f>IFERROR(VLOOKUP($A2973,EVENTO!$A$2:$C$4999,3,FALSE),"")</f>
        <v/>
      </c>
      <c r="D2973" s="77"/>
      <c r="F2973" s="78"/>
      <c r="G2973" s="80"/>
    </row>
    <row r="2974">
      <c r="A2974" s="11"/>
      <c r="B2974" s="76"/>
      <c r="C2974" s="76" t="str">
        <f>IFERROR(VLOOKUP($A2974,EVENTO!$A$2:$C$4999,3,FALSE),"")</f>
        <v/>
      </c>
      <c r="D2974" s="77"/>
      <c r="F2974" s="78"/>
      <c r="G2974" s="80"/>
    </row>
    <row r="2975">
      <c r="A2975" s="11"/>
      <c r="B2975" s="76"/>
      <c r="C2975" s="76" t="str">
        <f>IFERROR(VLOOKUP($A2975,EVENTO!$A$2:$C$4999,3,FALSE),"")</f>
        <v/>
      </c>
      <c r="D2975" s="77"/>
      <c r="F2975" s="78"/>
      <c r="G2975" s="80"/>
    </row>
    <row r="2976">
      <c r="A2976" s="11"/>
      <c r="B2976" s="76"/>
      <c r="C2976" s="76" t="str">
        <f>IFERROR(VLOOKUP($A2976,EVENTO!$A$2:$C$4999,3,FALSE),"")</f>
        <v/>
      </c>
      <c r="D2976" s="77"/>
      <c r="F2976" s="78"/>
      <c r="G2976" s="80"/>
    </row>
    <row r="2977">
      <c r="A2977" s="11"/>
      <c r="B2977" s="76"/>
      <c r="C2977" s="76" t="str">
        <f>IFERROR(VLOOKUP($A2977,EVENTO!$A$2:$C$4999,3,FALSE),"")</f>
        <v/>
      </c>
      <c r="D2977" s="77"/>
      <c r="F2977" s="78"/>
      <c r="G2977" s="80"/>
    </row>
    <row r="2978">
      <c r="A2978" s="11"/>
      <c r="B2978" s="76"/>
      <c r="C2978" s="76" t="str">
        <f>IFERROR(VLOOKUP($A2978,EVENTO!$A$2:$C$4999,3,FALSE),"")</f>
        <v/>
      </c>
      <c r="D2978" s="77"/>
      <c r="F2978" s="78"/>
      <c r="G2978" s="80"/>
    </row>
    <row r="2979">
      <c r="A2979" s="11"/>
      <c r="B2979" s="76"/>
      <c r="C2979" s="76" t="str">
        <f>IFERROR(VLOOKUP($A2979,EVENTO!$A$2:$C$4999,3,FALSE),"")</f>
        <v/>
      </c>
      <c r="D2979" s="77"/>
      <c r="F2979" s="78"/>
      <c r="G2979" s="80"/>
    </row>
    <row r="2980">
      <c r="A2980" s="11"/>
      <c r="B2980" s="76"/>
      <c r="C2980" s="76" t="str">
        <f>IFERROR(VLOOKUP($A2980,EVENTO!$A$2:$C$4999,3,FALSE),"")</f>
        <v/>
      </c>
      <c r="D2980" s="77"/>
      <c r="F2980" s="78"/>
      <c r="G2980" s="80"/>
    </row>
    <row r="2981">
      <c r="A2981" s="11"/>
      <c r="B2981" s="76"/>
      <c r="C2981" s="76" t="str">
        <f>IFERROR(VLOOKUP($A2981,EVENTO!$A$2:$C$4999,3,FALSE),"")</f>
        <v/>
      </c>
      <c r="D2981" s="77"/>
      <c r="F2981" s="78"/>
      <c r="G2981" s="80"/>
    </row>
    <row r="2982">
      <c r="A2982" s="11"/>
      <c r="B2982" s="76"/>
      <c r="C2982" s="76" t="str">
        <f>IFERROR(VLOOKUP($A2982,EVENTO!$A$2:$C$4999,3,FALSE),"")</f>
        <v/>
      </c>
      <c r="D2982" s="77"/>
      <c r="F2982" s="78"/>
      <c r="G2982" s="80"/>
    </row>
    <row r="2983">
      <c r="A2983" s="11"/>
      <c r="B2983" s="76"/>
      <c r="C2983" s="76" t="str">
        <f>IFERROR(VLOOKUP($A2983,EVENTO!$A$2:$C$4999,3,FALSE),"")</f>
        <v/>
      </c>
      <c r="D2983" s="77"/>
      <c r="F2983" s="78"/>
      <c r="G2983" s="80"/>
    </row>
    <row r="2984">
      <c r="A2984" s="11"/>
      <c r="B2984" s="76"/>
      <c r="C2984" s="76" t="str">
        <f>IFERROR(VLOOKUP($A2984,EVENTO!$A$2:$C$4999,3,FALSE),"")</f>
        <v/>
      </c>
      <c r="D2984" s="77"/>
      <c r="F2984" s="78"/>
      <c r="G2984" s="80"/>
    </row>
    <row r="2985">
      <c r="A2985" s="11"/>
      <c r="B2985" s="76"/>
      <c r="C2985" s="76" t="str">
        <f>IFERROR(VLOOKUP($A2985,EVENTO!$A$2:$C$4999,3,FALSE),"")</f>
        <v/>
      </c>
      <c r="D2985" s="77"/>
      <c r="F2985" s="78"/>
      <c r="G2985" s="80"/>
    </row>
    <row r="2986">
      <c r="A2986" s="11"/>
      <c r="B2986" s="76"/>
      <c r="C2986" s="76" t="str">
        <f>IFERROR(VLOOKUP($A2986,EVENTO!$A$2:$C$4999,3,FALSE),"")</f>
        <v/>
      </c>
      <c r="D2986" s="77"/>
      <c r="F2986" s="78"/>
      <c r="G2986" s="80"/>
    </row>
    <row r="2987">
      <c r="A2987" s="11"/>
      <c r="B2987" s="76"/>
      <c r="C2987" s="76" t="str">
        <f>IFERROR(VLOOKUP($A2987,EVENTO!$A$2:$C$4999,3,FALSE),"")</f>
        <v/>
      </c>
      <c r="D2987" s="77"/>
      <c r="F2987" s="78"/>
      <c r="G2987" s="80"/>
    </row>
    <row r="2988">
      <c r="A2988" s="11"/>
      <c r="B2988" s="76"/>
      <c r="C2988" s="76" t="str">
        <f>IFERROR(VLOOKUP($A2988,EVENTO!$A$2:$C$4999,3,FALSE),"")</f>
        <v/>
      </c>
      <c r="D2988" s="77"/>
      <c r="F2988" s="78"/>
      <c r="G2988" s="80"/>
    </row>
    <row r="2989">
      <c r="A2989" s="11"/>
      <c r="B2989" s="76"/>
      <c r="C2989" s="76" t="str">
        <f>IFERROR(VLOOKUP($A2989,EVENTO!$A$2:$C$4999,3,FALSE),"")</f>
        <v/>
      </c>
      <c r="D2989" s="77"/>
      <c r="F2989" s="78"/>
      <c r="G2989" s="80"/>
    </row>
    <row r="2990">
      <c r="A2990" s="11"/>
      <c r="B2990" s="76"/>
      <c r="C2990" s="76" t="str">
        <f>IFERROR(VLOOKUP($A2990,EVENTO!$A$2:$C$4999,3,FALSE),"")</f>
        <v/>
      </c>
      <c r="D2990" s="77"/>
      <c r="F2990" s="78"/>
      <c r="G2990" s="80"/>
    </row>
  </sheetData>
  <dataValidations>
    <dataValidation type="list" allowBlank="1" showErrorMessage="1" sqref="A2:A2990">
      <formula1>EVENTO!$A$2:$A$999</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25"/>
    <col customWidth="1" min="3" max="3" width="27.38"/>
    <col customWidth="1" min="4" max="4" width="27.5"/>
    <col customWidth="1" min="5" max="5" width="52.63"/>
    <col customWidth="1" min="6" max="6" width="31.63"/>
    <col customWidth="1" min="7" max="7" width="12.13"/>
    <col customWidth="1" min="8" max="8" width="15.63"/>
  </cols>
  <sheetData>
    <row r="1">
      <c r="A1" s="1" t="s">
        <v>1332</v>
      </c>
      <c r="B1" s="73" t="s">
        <v>1333</v>
      </c>
      <c r="C1" s="73" t="s">
        <v>1320</v>
      </c>
      <c r="D1" s="1" t="s">
        <v>2107</v>
      </c>
      <c r="E1" s="110" t="s">
        <v>1356</v>
      </c>
      <c r="F1" s="110" t="s">
        <v>1357</v>
      </c>
      <c r="G1" s="1" t="s">
        <v>1358</v>
      </c>
      <c r="H1" s="111" t="s">
        <v>1359</v>
      </c>
    </row>
    <row r="2">
      <c r="A2" s="6">
        <v>8.0</v>
      </c>
      <c r="B2" s="50" t="str">
        <f>IFERROR(VLOOKUP($A2,EVENTO!$A$2:$C$4999,2,FALSE),"")</f>
        <v>CADASTRO</v>
      </c>
      <c r="C2" s="50" t="str">
        <f>IFERROR(VLOOKUP($A2,EVENTO!$A$2:$C$4999,3,FALSE),"")</f>
        <v>10a REGIAO MILITAR</v>
      </c>
      <c r="D2" s="82" t="s">
        <v>1380</v>
      </c>
      <c r="E2" s="112" t="s">
        <v>2108</v>
      </c>
      <c r="F2" s="9" t="s">
        <v>2109</v>
      </c>
      <c r="G2" s="6">
        <v>47000.0</v>
      </c>
      <c r="H2" s="79">
        <v>0.049</v>
      </c>
    </row>
    <row r="3">
      <c r="A3" s="6">
        <v>8.0</v>
      </c>
      <c r="B3" s="50" t="str">
        <f>IFERROR(VLOOKUP($A3,EVENTO!$A$2:$C$4999,2,FALSE),"")</f>
        <v>CADASTRO</v>
      </c>
      <c r="C3" s="50" t="str">
        <f>IFERROR(VLOOKUP($A3,EVENTO!$A$2:$C$4999,3,FALSE),"")</f>
        <v>10a REGIAO MILITAR</v>
      </c>
      <c r="D3" s="82" t="s">
        <v>1380</v>
      </c>
      <c r="E3" s="112" t="s">
        <v>2108</v>
      </c>
      <c r="F3" s="9" t="s">
        <v>2110</v>
      </c>
      <c r="G3" s="6">
        <v>3000.0</v>
      </c>
      <c r="H3" s="79">
        <v>0.04</v>
      </c>
    </row>
    <row r="4">
      <c r="A4" s="6">
        <v>8.0</v>
      </c>
      <c r="B4" s="50" t="str">
        <f>IFERROR(VLOOKUP($A4,EVENTO!$A$2:$C$4999,2,FALSE),"")</f>
        <v>CADASTRO</v>
      </c>
      <c r="C4" s="50" t="str">
        <f>IFERROR(VLOOKUP($A4,EVENTO!$A$2:$C$4999,3,FALSE),"")</f>
        <v>10a REGIAO MILITAR</v>
      </c>
      <c r="D4" s="82" t="s">
        <v>1382</v>
      </c>
      <c r="E4" s="112" t="s">
        <v>2111</v>
      </c>
      <c r="F4" s="9" t="s">
        <v>2109</v>
      </c>
      <c r="G4" s="6">
        <v>800.0</v>
      </c>
      <c r="H4" s="79">
        <v>0.29</v>
      </c>
    </row>
    <row r="5">
      <c r="A5" s="6">
        <v>8.0</v>
      </c>
      <c r="B5" s="50" t="str">
        <f>IFERROR(VLOOKUP($A5,EVENTO!$A$2:$C$4999,2,FALSE),"")</f>
        <v>CADASTRO</v>
      </c>
      <c r="C5" s="50" t="str">
        <f>IFERROR(VLOOKUP($A5,EVENTO!$A$2:$C$4999,3,FALSE),"")</f>
        <v>10a REGIAO MILITAR</v>
      </c>
      <c r="D5" s="82" t="s">
        <v>1382</v>
      </c>
      <c r="E5" s="112" t="s">
        <v>2111</v>
      </c>
      <c r="F5" s="9" t="s">
        <v>2110</v>
      </c>
      <c r="G5" s="6">
        <v>200.0</v>
      </c>
      <c r="H5" s="79">
        <v>0.19</v>
      </c>
    </row>
    <row r="6">
      <c r="A6" s="6">
        <v>8.0</v>
      </c>
      <c r="B6" s="50" t="str">
        <f>IFERROR(VLOOKUP($A6,EVENTO!$A$2:$C$4999,2,FALSE),"")</f>
        <v>CADASTRO</v>
      </c>
      <c r="C6" s="50" t="str">
        <f>IFERROR(VLOOKUP($A6,EVENTO!$A$2:$C$4999,3,FALSE),"")</f>
        <v>10a REGIAO MILITAR</v>
      </c>
      <c r="D6" s="82" t="s">
        <v>1384</v>
      </c>
      <c r="E6" s="112" t="s">
        <v>2112</v>
      </c>
      <c r="F6" s="9" t="s">
        <v>2109</v>
      </c>
      <c r="G6" s="6">
        <v>800.0</v>
      </c>
      <c r="H6" s="79">
        <v>0.16</v>
      </c>
    </row>
    <row r="7">
      <c r="A7" s="6">
        <v>8.0</v>
      </c>
      <c r="B7" s="50" t="str">
        <f>IFERROR(VLOOKUP($A7,EVENTO!$A$2:$C$4999,2,FALSE),"")</f>
        <v>CADASTRO</v>
      </c>
      <c r="C7" s="50" t="str">
        <f>IFERROR(VLOOKUP($A7,EVENTO!$A$2:$C$4999,3,FALSE),"")</f>
        <v>10a REGIAO MILITAR</v>
      </c>
      <c r="D7" s="82" t="s">
        <v>1384</v>
      </c>
      <c r="E7" s="112" t="s">
        <v>2112</v>
      </c>
      <c r="F7" s="9" t="s">
        <v>2110</v>
      </c>
      <c r="G7" s="6">
        <v>200.0</v>
      </c>
      <c r="H7" s="79">
        <v>0.08</v>
      </c>
    </row>
    <row r="8">
      <c r="A8" s="6">
        <v>10.0</v>
      </c>
      <c r="B8" s="50" t="str">
        <f>IFERROR(VLOOKUP($A8,EVENTO!$A$2:$C$4999,2,FALSE),"")</f>
        <v>CADASTRO</v>
      </c>
      <c r="C8" s="50" t="str">
        <f>IFERROR(VLOOKUP($A8,EVENTO!$A$2:$C$4999,3,FALSE),"")</f>
        <v>CMFOR </v>
      </c>
      <c r="D8" s="6" t="s">
        <v>2113</v>
      </c>
      <c r="E8" s="9" t="s">
        <v>2113</v>
      </c>
      <c r="F8" s="9" t="s">
        <v>2113</v>
      </c>
      <c r="G8" s="6">
        <v>98170.0</v>
      </c>
      <c r="H8" s="79">
        <v>0.03</v>
      </c>
    </row>
    <row r="9">
      <c r="A9" s="6">
        <v>9.0</v>
      </c>
      <c r="B9" s="50" t="str">
        <f>IFERROR(VLOOKUP($A9,EVENTO!$A$2:$C$4999,2,FALSE),"")</f>
        <v>ADITIVO DE REAJUSTE E PRAZO</v>
      </c>
      <c r="C9" s="50" t="str">
        <f>IFERROR(VLOOKUP($A9,EVENTO!$A$2:$C$4999,3,FALSE),"")</f>
        <v>10a REGIAO MILITAR</v>
      </c>
      <c r="D9" s="11"/>
      <c r="E9" s="112" t="s">
        <v>2108</v>
      </c>
      <c r="F9" s="9" t="s">
        <v>2109</v>
      </c>
      <c r="G9" s="6">
        <v>47000.0</v>
      </c>
      <c r="H9" s="79">
        <v>0.051</v>
      </c>
    </row>
    <row r="10">
      <c r="A10" s="6">
        <v>9.0</v>
      </c>
      <c r="B10" s="50" t="str">
        <f>IFERROR(VLOOKUP($A10,EVENTO!$A$2:$C$4999,2,FALSE),"")</f>
        <v>ADITIVO DE REAJUSTE E PRAZO</v>
      </c>
      <c r="C10" s="50" t="str">
        <f>IFERROR(VLOOKUP($A10,EVENTO!$A$2:$C$4999,3,FALSE),"")</f>
        <v>10a REGIAO MILITAR</v>
      </c>
      <c r="D10" s="11"/>
      <c r="E10" s="112" t="s">
        <v>2108</v>
      </c>
      <c r="F10" s="9" t="s">
        <v>2110</v>
      </c>
      <c r="G10" s="6">
        <v>3000.0</v>
      </c>
      <c r="H10" s="79">
        <v>0.041</v>
      </c>
    </row>
    <row r="11">
      <c r="A11" s="6">
        <v>9.0</v>
      </c>
      <c r="B11" s="50" t="str">
        <f>IFERROR(VLOOKUP($A11,EVENTO!$A$2:$C$4999,2,FALSE),"")</f>
        <v>ADITIVO DE REAJUSTE E PRAZO</v>
      </c>
      <c r="C11" s="50" t="str">
        <f>IFERROR(VLOOKUP($A11,EVENTO!$A$2:$C$4999,3,FALSE),"")</f>
        <v>10a REGIAO MILITAR</v>
      </c>
      <c r="D11" s="11"/>
      <c r="E11" s="112" t="s">
        <v>2111</v>
      </c>
      <c r="F11" s="9" t="s">
        <v>2109</v>
      </c>
      <c r="G11" s="6">
        <v>800.0</v>
      </c>
      <c r="H11" s="79">
        <v>0.3</v>
      </c>
    </row>
    <row r="12">
      <c r="A12" s="6">
        <v>9.0</v>
      </c>
      <c r="B12" s="50" t="str">
        <f>IFERROR(VLOOKUP($A12,EVENTO!$A$2:$C$4999,2,FALSE),"")</f>
        <v>ADITIVO DE REAJUSTE E PRAZO</v>
      </c>
      <c r="C12" s="50" t="str">
        <f>IFERROR(VLOOKUP($A12,EVENTO!$A$2:$C$4999,3,FALSE),"")</f>
        <v>10a REGIAO MILITAR</v>
      </c>
      <c r="D12" s="11"/>
      <c r="E12" s="112" t="s">
        <v>2111</v>
      </c>
      <c r="F12" s="9" t="s">
        <v>2110</v>
      </c>
      <c r="G12" s="6">
        <v>200.0</v>
      </c>
      <c r="H12" s="79">
        <v>0.19</v>
      </c>
    </row>
    <row r="13">
      <c r="A13" s="6">
        <v>9.0</v>
      </c>
      <c r="B13" s="50" t="str">
        <f>IFERROR(VLOOKUP($A13,EVENTO!$A$2:$C$4999,2,FALSE),"")</f>
        <v>ADITIVO DE REAJUSTE E PRAZO</v>
      </c>
      <c r="C13" s="50" t="str">
        <f>IFERROR(VLOOKUP($A13,EVENTO!$A$2:$C$4999,3,FALSE),"")</f>
        <v>10a REGIAO MILITAR</v>
      </c>
      <c r="D13" s="11"/>
      <c r="E13" s="112" t="s">
        <v>2112</v>
      </c>
      <c r="F13" s="9" t="s">
        <v>2109</v>
      </c>
      <c r="G13" s="6">
        <v>800.0</v>
      </c>
      <c r="H13" s="79">
        <v>0.16</v>
      </c>
    </row>
    <row r="14">
      <c r="A14" s="6">
        <v>9.0</v>
      </c>
      <c r="B14" s="50" t="str">
        <f>IFERROR(VLOOKUP($A14,EVENTO!$A$2:$C$4999,2,FALSE),"")</f>
        <v>ADITIVO DE REAJUSTE E PRAZO</v>
      </c>
      <c r="C14" s="50" t="str">
        <f>IFERROR(VLOOKUP($A14,EVENTO!$A$2:$C$4999,3,FALSE),"")</f>
        <v>10a REGIAO MILITAR</v>
      </c>
      <c r="D14" s="11"/>
      <c r="E14" s="112" t="s">
        <v>2112</v>
      </c>
      <c r="F14" s="9" t="s">
        <v>2110</v>
      </c>
      <c r="G14" s="6">
        <v>200.0</v>
      </c>
      <c r="H14" s="79">
        <v>0.083</v>
      </c>
    </row>
    <row r="15">
      <c r="A15" s="6">
        <v>11.0</v>
      </c>
      <c r="B15" s="50" t="str">
        <f>IFERROR(VLOOKUP($A15,EVENTO!$A$2:$C$4999,2,FALSE),"")</f>
        <v>ADITIVO DE REAJUSTE E PRAZO</v>
      </c>
      <c r="C15" s="50" t="str">
        <f>IFERROR(VLOOKUP($A15,EVENTO!$A$2:$C$4999,3,FALSE),"")</f>
        <v>CMFOR </v>
      </c>
      <c r="D15" s="11"/>
      <c r="E15" s="9" t="s">
        <v>2113</v>
      </c>
      <c r="F15" s="9" t="s">
        <v>2113</v>
      </c>
      <c r="G15" s="6">
        <v>98170.0</v>
      </c>
      <c r="H15" s="79">
        <v>0.0312527</v>
      </c>
    </row>
    <row r="16">
      <c r="A16" s="6">
        <v>12.0</v>
      </c>
      <c r="B16" s="50" t="str">
        <f>IFERROR(VLOOKUP($A16,EVENTO!$A$2:$C$4999,2,FALSE),"")</f>
        <v>ADITIVO DE REAJUSTE E PRAZO</v>
      </c>
      <c r="C16" s="50" t="str">
        <f>IFERROR(VLOOKUP($A16,EVENTO!$A$2:$C$4999,3,FALSE),"")</f>
        <v>CMFOR </v>
      </c>
      <c r="D16" s="11"/>
      <c r="E16" s="9" t="s">
        <v>2113</v>
      </c>
      <c r="F16" s="9" t="s">
        <v>2113</v>
      </c>
      <c r="G16" s="6">
        <v>98170.0</v>
      </c>
      <c r="H16" s="79">
        <v>0.0331497</v>
      </c>
    </row>
    <row r="17">
      <c r="A17" s="6">
        <v>13.0</v>
      </c>
      <c r="B17" s="50" t="str">
        <f>IFERROR(VLOOKUP($A17,EVENTO!$A$2:$C$4999,2,FALSE),"")</f>
        <v>CADASTRO</v>
      </c>
      <c r="C17" s="50" t="str">
        <f>IFERROR(VLOOKUP($A17,EVENTO!$A$2:$C$4999,3,FALSE),"")</f>
        <v>ESCOLA DE APRENDIZEM  DE MARINHEIROS DO CEARÁ </v>
      </c>
      <c r="D17" s="6" t="s">
        <v>1382</v>
      </c>
      <c r="E17" s="112" t="s">
        <v>2111</v>
      </c>
      <c r="F17" s="9" t="s">
        <v>2109</v>
      </c>
      <c r="G17" s="6">
        <v>1200.0</v>
      </c>
      <c r="H17" s="79">
        <v>0.29</v>
      </c>
    </row>
    <row r="18">
      <c r="A18" s="6">
        <v>13.0</v>
      </c>
      <c r="B18" s="50" t="str">
        <f>IFERROR(VLOOKUP($A18,EVENTO!$A$2:$C$4999,2,FALSE),"")</f>
        <v>CADASTRO</v>
      </c>
      <c r="C18" s="50" t="str">
        <f>IFERROR(VLOOKUP($A18,EVENTO!$A$2:$C$4999,3,FALSE),"")</f>
        <v>ESCOLA DE APRENDIZEM  DE MARINHEIROS DO CEARÁ </v>
      </c>
      <c r="D18" s="6" t="s">
        <v>1382</v>
      </c>
      <c r="E18" s="112" t="s">
        <v>2111</v>
      </c>
      <c r="F18" s="9" t="s">
        <v>2110</v>
      </c>
      <c r="G18" s="6">
        <v>800.0</v>
      </c>
      <c r="H18" s="79">
        <v>0.19</v>
      </c>
    </row>
    <row r="19">
      <c r="A19" s="6">
        <v>14.0</v>
      </c>
      <c r="B19" s="50" t="str">
        <f>IFERROR(VLOOKUP($A19,EVENTO!$A$2:$C$4999,2,FALSE),"")</f>
        <v>ADITIVO DE REAJUSTE E PRAZO</v>
      </c>
      <c r="C19" s="50" t="str">
        <f>IFERROR(VLOOKUP($A19,EVENTO!$A$2:$C$4999,3,FALSE),"")</f>
        <v>ESCOLA DE APRENDIZEM  DE MARINHEIROS DO CEARÁ </v>
      </c>
      <c r="D19" s="11"/>
      <c r="E19" s="112" t="s">
        <v>2111</v>
      </c>
      <c r="F19" s="9" t="s">
        <v>2109</v>
      </c>
      <c r="G19" s="6">
        <v>1200.0</v>
      </c>
      <c r="H19" s="79">
        <v>0.31</v>
      </c>
    </row>
    <row r="20">
      <c r="A20" s="6">
        <v>14.0</v>
      </c>
      <c r="B20" s="50" t="str">
        <f>IFERROR(VLOOKUP($A20,EVENTO!$A$2:$C$4999,2,FALSE),"")</f>
        <v>ADITIVO DE REAJUSTE E PRAZO</v>
      </c>
      <c r="C20" s="50" t="str">
        <f>IFERROR(VLOOKUP($A20,EVENTO!$A$2:$C$4999,3,FALSE),"")</f>
        <v>ESCOLA DE APRENDIZEM  DE MARINHEIROS DO CEARÁ </v>
      </c>
      <c r="D20" s="11"/>
      <c r="E20" s="112" t="s">
        <v>2111</v>
      </c>
      <c r="F20" s="9" t="s">
        <v>2110</v>
      </c>
      <c r="G20" s="6">
        <v>800.0</v>
      </c>
      <c r="H20" s="79">
        <v>0.2</v>
      </c>
    </row>
    <row r="21">
      <c r="A21" s="6">
        <v>15.0</v>
      </c>
      <c r="B21" s="50" t="str">
        <f>IFERROR(VLOOKUP($A21,EVENTO!$A$2:$C$4999,2,FALSE),"")</f>
        <v>CADASTRO</v>
      </c>
      <c r="C21" s="50" t="str">
        <f>IFERROR(VLOOKUP($A21,EVENTO!$A$2:$C$4999,3,FALSE),"")</f>
        <v>UFC</v>
      </c>
      <c r="D21" s="6" t="s">
        <v>1380</v>
      </c>
      <c r="E21" s="112" t="s">
        <v>2108</v>
      </c>
      <c r="F21" s="9" t="s">
        <v>2109</v>
      </c>
      <c r="G21" s="6">
        <v>1905840.0</v>
      </c>
      <c r="H21" s="79">
        <v>0.049</v>
      </c>
    </row>
    <row r="22">
      <c r="A22" s="6">
        <v>15.0</v>
      </c>
      <c r="B22" s="50" t="str">
        <f>IFERROR(VLOOKUP($A22,EVENTO!$A$2:$C$4999,2,FALSE),"")</f>
        <v>CADASTRO</v>
      </c>
      <c r="C22" s="50" t="str">
        <f>IFERROR(VLOOKUP($A22,EVENTO!$A$2:$C$4999,3,FALSE),"")</f>
        <v>UFC</v>
      </c>
      <c r="D22" s="6" t="s">
        <v>1380</v>
      </c>
      <c r="E22" s="112" t="s">
        <v>2108</v>
      </c>
      <c r="F22" s="9" t="s">
        <v>2110</v>
      </c>
      <c r="G22" s="6">
        <v>1270560.0</v>
      </c>
      <c r="H22" s="79">
        <v>0.04</v>
      </c>
    </row>
    <row r="23">
      <c r="A23" s="6">
        <v>15.0</v>
      </c>
      <c r="B23" s="50" t="str">
        <f>IFERROR(VLOOKUP($A23,EVENTO!$A$2:$C$4999,2,FALSE),"")</f>
        <v>CADASTRO</v>
      </c>
      <c r="C23" s="50" t="str">
        <f>IFERROR(VLOOKUP($A23,EVENTO!$A$2:$C$4999,3,FALSE),"")</f>
        <v>UFC</v>
      </c>
      <c r="D23" s="6" t="s">
        <v>1382</v>
      </c>
      <c r="E23" s="112" t="s">
        <v>2111</v>
      </c>
      <c r="F23" s="9" t="s">
        <v>2109</v>
      </c>
      <c r="G23" s="6">
        <v>14400.0</v>
      </c>
      <c r="H23" s="79">
        <v>0.29</v>
      </c>
    </row>
    <row r="24">
      <c r="A24" s="6">
        <v>15.0</v>
      </c>
      <c r="B24" s="50" t="str">
        <f>IFERROR(VLOOKUP($A24,EVENTO!$A$2:$C$4999,2,FALSE),"")</f>
        <v>CADASTRO</v>
      </c>
      <c r="C24" s="50" t="str">
        <f>IFERROR(VLOOKUP($A24,EVENTO!$A$2:$C$4999,3,FALSE),"")</f>
        <v>UFC</v>
      </c>
      <c r="D24" s="6" t="s">
        <v>1382</v>
      </c>
      <c r="E24" s="112" t="s">
        <v>2111</v>
      </c>
      <c r="F24" s="9" t="s">
        <v>2110</v>
      </c>
      <c r="G24" s="6">
        <v>9600.0</v>
      </c>
      <c r="H24" s="79">
        <v>0.19</v>
      </c>
    </row>
    <row r="25">
      <c r="A25" s="6">
        <v>15.0</v>
      </c>
      <c r="B25" s="50" t="str">
        <f>IFERROR(VLOOKUP($A25,EVENTO!$A$2:$C$4999,2,FALSE),"")</f>
        <v>CADASTRO</v>
      </c>
      <c r="C25" s="50" t="str">
        <f>IFERROR(VLOOKUP($A25,EVENTO!$A$2:$C$4999,3,FALSE),"")</f>
        <v>UFC</v>
      </c>
      <c r="D25" s="6" t="s">
        <v>1384</v>
      </c>
      <c r="E25" s="112" t="s">
        <v>2112</v>
      </c>
      <c r="F25" s="9" t="s">
        <v>2109</v>
      </c>
      <c r="G25" s="6">
        <v>152652.0</v>
      </c>
      <c r="H25" s="79">
        <v>0.16</v>
      </c>
    </row>
    <row r="26">
      <c r="A26" s="6">
        <v>15.0</v>
      </c>
      <c r="B26" s="50" t="str">
        <f>IFERROR(VLOOKUP($A26,EVENTO!$A$2:$C$4999,2,FALSE),"")</f>
        <v>CADASTRO</v>
      </c>
      <c r="C26" s="50" t="str">
        <f>IFERROR(VLOOKUP($A26,EVENTO!$A$2:$C$4999,3,FALSE),"")</f>
        <v>UFC</v>
      </c>
      <c r="D26" s="6" t="s">
        <v>1384</v>
      </c>
      <c r="E26" s="112" t="s">
        <v>2112</v>
      </c>
      <c r="F26" s="9" t="s">
        <v>2110</v>
      </c>
      <c r="G26" s="6">
        <v>101760.0</v>
      </c>
      <c r="H26" s="79">
        <v>0.08</v>
      </c>
    </row>
    <row r="27">
      <c r="A27" s="6">
        <v>17.0</v>
      </c>
      <c r="B27" s="50" t="str">
        <f>IFERROR(VLOOKUP($A27,EVENTO!$A$2:$C$4999,2,FALSE),"")</f>
        <v>APOSTILAMENTO</v>
      </c>
      <c r="C27" s="50" t="str">
        <f>IFERROR(VLOOKUP($A27,EVENTO!$A$2:$C$4999,3,FALSE),"")</f>
        <v>UFC</v>
      </c>
      <c r="D27" s="11"/>
      <c r="E27" s="112" t="s">
        <v>2108</v>
      </c>
      <c r="F27" s="9" t="s">
        <v>2109</v>
      </c>
      <c r="G27" s="6">
        <v>1905840.0</v>
      </c>
      <c r="H27" s="79">
        <v>0.05134</v>
      </c>
    </row>
    <row r="28">
      <c r="A28" s="6">
        <v>17.0</v>
      </c>
      <c r="B28" s="50" t="str">
        <f>IFERROR(VLOOKUP($A28,EVENTO!$A$2:$C$4999,2,FALSE),"")</f>
        <v>APOSTILAMENTO</v>
      </c>
      <c r="C28" s="50" t="str">
        <f>IFERROR(VLOOKUP($A28,EVENTO!$A$2:$C$4999,3,FALSE),"")</f>
        <v>UFC</v>
      </c>
      <c r="D28" s="11"/>
      <c r="E28" s="112" t="s">
        <v>2108</v>
      </c>
      <c r="F28" s="9" t="s">
        <v>2110</v>
      </c>
      <c r="G28" s="6">
        <v>1270560.0</v>
      </c>
      <c r="H28" s="79">
        <v>0.04196</v>
      </c>
    </row>
    <row r="29">
      <c r="A29" s="6">
        <v>17.0</v>
      </c>
      <c r="B29" s="50" t="str">
        <f>IFERROR(VLOOKUP($A29,EVENTO!$A$2:$C$4999,2,FALSE),"")</f>
        <v>APOSTILAMENTO</v>
      </c>
      <c r="C29" s="50" t="str">
        <f>IFERROR(VLOOKUP($A29,EVENTO!$A$2:$C$4999,3,FALSE),"")</f>
        <v>UFC</v>
      </c>
      <c r="D29" s="11"/>
      <c r="E29" s="112" t="s">
        <v>2111</v>
      </c>
      <c r="F29" s="9" t="s">
        <v>2109</v>
      </c>
      <c r="G29" s="6">
        <v>14400.0</v>
      </c>
      <c r="H29" s="79">
        <v>0.30524</v>
      </c>
    </row>
    <row r="30">
      <c r="A30" s="6">
        <v>17.0</v>
      </c>
      <c r="B30" s="50" t="str">
        <f>IFERROR(VLOOKUP($A30,EVENTO!$A$2:$C$4999,2,FALSE),"")</f>
        <v>APOSTILAMENTO</v>
      </c>
      <c r="C30" s="50" t="str">
        <f>IFERROR(VLOOKUP($A30,EVENTO!$A$2:$C$4999,3,FALSE),"")</f>
        <v>UFC</v>
      </c>
      <c r="D30" s="11"/>
      <c r="E30" s="112" t="s">
        <v>2111</v>
      </c>
      <c r="F30" s="9" t="s">
        <v>2110</v>
      </c>
      <c r="G30" s="6">
        <v>9600.0</v>
      </c>
      <c r="H30" s="79">
        <v>0.19918</v>
      </c>
    </row>
    <row r="31">
      <c r="A31" s="6">
        <v>17.0</v>
      </c>
      <c r="B31" s="50" t="str">
        <f>IFERROR(VLOOKUP($A31,EVENTO!$A$2:$C$4999,2,FALSE),"")</f>
        <v>APOSTILAMENTO</v>
      </c>
      <c r="C31" s="50" t="str">
        <f>IFERROR(VLOOKUP($A31,EVENTO!$A$2:$C$4999,3,FALSE),"")</f>
        <v>UFC</v>
      </c>
      <c r="D31" s="11"/>
      <c r="E31" s="112" t="s">
        <v>2112</v>
      </c>
      <c r="F31" s="9" t="s">
        <v>2109</v>
      </c>
      <c r="G31" s="6">
        <v>152652.0</v>
      </c>
      <c r="H31" s="79">
        <v>0.16773</v>
      </c>
    </row>
    <row r="32">
      <c r="A32" s="6">
        <v>17.0</v>
      </c>
      <c r="B32" s="50" t="str">
        <f>IFERROR(VLOOKUP($A32,EVENTO!$A$2:$C$4999,2,FALSE),"")</f>
        <v>APOSTILAMENTO</v>
      </c>
      <c r="C32" s="50" t="str">
        <f>IFERROR(VLOOKUP($A32,EVENTO!$A$2:$C$4999,3,FALSE),"")</f>
        <v>UFC</v>
      </c>
      <c r="D32" s="11"/>
      <c r="E32" s="112" t="s">
        <v>2112</v>
      </c>
      <c r="F32" s="9" t="s">
        <v>2110</v>
      </c>
      <c r="G32" s="6">
        <v>101760.0</v>
      </c>
      <c r="H32" s="79">
        <v>0.08386</v>
      </c>
    </row>
    <row r="33">
      <c r="A33" s="6">
        <v>18.0</v>
      </c>
      <c r="B33" s="50" t="str">
        <f>IFERROR(VLOOKUP($A33,EVENTO!$A$2:$C$4999,2,FALSE),"")</f>
        <v>CADASTRO</v>
      </c>
      <c r="C33" s="50" t="str">
        <f>IFERROR(VLOOKUP($A33,EVENTO!$A$2:$C$4999,3,FALSE),"")</f>
        <v>IFCE CAMOCIM</v>
      </c>
      <c r="D33" s="6" t="s">
        <v>1380</v>
      </c>
      <c r="E33" s="112" t="s">
        <v>2108</v>
      </c>
      <c r="F33" s="9" t="s">
        <v>2109</v>
      </c>
      <c r="G33" s="6">
        <v>6000.0</v>
      </c>
      <c r="H33" s="79">
        <v>0.049</v>
      </c>
    </row>
    <row r="34">
      <c r="A34" s="6">
        <v>18.0</v>
      </c>
      <c r="B34" s="50" t="str">
        <f>IFERROR(VLOOKUP($A34,EVENTO!$A$2:$C$4999,2,FALSE),"")</f>
        <v>CADASTRO</v>
      </c>
      <c r="C34" s="50" t="str">
        <f>IFERROR(VLOOKUP($A34,EVENTO!$A$2:$C$4999,3,FALSE),"")</f>
        <v>IFCE CAMOCIM</v>
      </c>
      <c r="D34" s="6" t="s">
        <v>1380</v>
      </c>
      <c r="E34" s="112" t="s">
        <v>2108</v>
      </c>
      <c r="F34" s="9" t="s">
        <v>2110</v>
      </c>
      <c r="G34" s="6">
        <v>3000.0</v>
      </c>
      <c r="H34" s="79">
        <v>0.04</v>
      </c>
    </row>
    <row r="35">
      <c r="A35" s="6">
        <v>18.0</v>
      </c>
      <c r="B35" s="50" t="str">
        <f>IFERROR(VLOOKUP($A35,EVENTO!$A$2:$C$4999,2,FALSE),"")</f>
        <v>CADASTRO</v>
      </c>
      <c r="C35" s="50" t="str">
        <f>IFERROR(VLOOKUP($A35,EVENTO!$A$2:$C$4999,3,FALSE),"")</f>
        <v>IFCE CAMOCIM</v>
      </c>
      <c r="D35" s="6" t="s">
        <v>1382</v>
      </c>
      <c r="E35" s="112" t="s">
        <v>2111</v>
      </c>
      <c r="F35" s="9" t="s">
        <v>2109</v>
      </c>
      <c r="G35" s="6">
        <v>2000.0</v>
      </c>
      <c r="H35" s="79">
        <v>0.29</v>
      </c>
    </row>
    <row r="36">
      <c r="A36" s="6">
        <v>18.0</v>
      </c>
      <c r="B36" s="50" t="str">
        <f>IFERROR(VLOOKUP($A36,EVENTO!$A$2:$C$4999,2,FALSE),"")</f>
        <v>CADASTRO</v>
      </c>
      <c r="C36" s="50" t="str">
        <f>IFERROR(VLOOKUP($A36,EVENTO!$A$2:$C$4999,3,FALSE),"")</f>
        <v>IFCE CAMOCIM</v>
      </c>
      <c r="D36" s="6" t="s">
        <v>1382</v>
      </c>
      <c r="E36" s="112" t="s">
        <v>2111</v>
      </c>
      <c r="F36" s="9" t="s">
        <v>2110</v>
      </c>
      <c r="G36" s="6">
        <v>300.0</v>
      </c>
      <c r="H36" s="79">
        <v>0.19</v>
      </c>
    </row>
    <row r="37">
      <c r="A37" s="6">
        <v>19.0</v>
      </c>
      <c r="B37" s="50" t="str">
        <f>IFERROR(VLOOKUP($A37,EVENTO!$A$2:$C$4999,2,FALSE),"")</f>
        <v>ADITIVO DE REAJUSTE E PRAZO</v>
      </c>
      <c r="C37" s="50" t="str">
        <f>IFERROR(VLOOKUP($A37,EVENTO!$A$2:$C$4999,3,FALSE),"")</f>
        <v>IFCE CAMOCIM</v>
      </c>
      <c r="D37" s="11"/>
      <c r="E37" s="112" t="s">
        <v>2108</v>
      </c>
      <c r="F37" s="9" t="s">
        <v>2109</v>
      </c>
      <c r="G37" s="6">
        <v>6000.0</v>
      </c>
      <c r="H37" s="79">
        <v>0.052</v>
      </c>
    </row>
    <row r="38">
      <c r="A38" s="6">
        <v>19.0</v>
      </c>
      <c r="B38" s="50" t="str">
        <f>IFERROR(VLOOKUP($A38,EVENTO!$A$2:$C$4999,2,FALSE),"")</f>
        <v>ADITIVO DE REAJUSTE E PRAZO</v>
      </c>
      <c r="C38" s="50" t="str">
        <f>IFERROR(VLOOKUP($A38,EVENTO!$A$2:$C$4999,3,FALSE),"")</f>
        <v>IFCE CAMOCIM</v>
      </c>
      <c r="D38" s="11"/>
      <c r="E38" s="112" t="s">
        <v>2108</v>
      </c>
      <c r="F38" s="9" t="s">
        <v>2110</v>
      </c>
      <c r="G38" s="6">
        <v>3000.0</v>
      </c>
      <c r="H38" s="79">
        <v>0.042</v>
      </c>
    </row>
    <row r="39">
      <c r="A39" s="6">
        <v>19.0</v>
      </c>
      <c r="B39" s="50" t="str">
        <f>IFERROR(VLOOKUP($A39,EVENTO!$A$2:$C$4999,2,FALSE),"")</f>
        <v>ADITIVO DE REAJUSTE E PRAZO</v>
      </c>
      <c r="C39" s="50" t="str">
        <f>IFERROR(VLOOKUP($A39,EVENTO!$A$2:$C$4999,3,FALSE),"")</f>
        <v>IFCE CAMOCIM</v>
      </c>
      <c r="D39" s="11"/>
      <c r="E39" s="112" t="s">
        <v>2111</v>
      </c>
      <c r="F39" s="9" t="s">
        <v>2109</v>
      </c>
      <c r="G39" s="6">
        <v>2000.0</v>
      </c>
      <c r="H39" s="79">
        <v>0.3</v>
      </c>
    </row>
    <row r="40">
      <c r="A40" s="6">
        <v>19.0</v>
      </c>
      <c r="B40" s="50" t="str">
        <f>IFERROR(VLOOKUP($A40,EVENTO!$A$2:$C$4999,2,FALSE),"")</f>
        <v>ADITIVO DE REAJUSTE E PRAZO</v>
      </c>
      <c r="C40" s="50" t="str">
        <f>IFERROR(VLOOKUP($A40,EVENTO!$A$2:$C$4999,3,FALSE),"")</f>
        <v>IFCE CAMOCIM</v>
      </c>
      <c r="D40" s="11"/>
      <c r="E40" s="112" t="s">
        <v>2111</v>
      </c>
      <c r="F40" s="9" t="s">
        <v>2110</v>
      </c>
      <c r="G40" s="6">
        <v>300.0</v>
      </c>
      <c r="H40" s="79">
        <v>0.2</v>
      </c>
    </row>
    <row r="41">
      <c r="A41" s="6">
        <v>20.0</v>
      </c>
      <c r="B41" s="50" t="str">
        <f>IFERROR(VLOOKUP($A41,EVENTO!$A$2:$C$4999,2,FALSE),"")</f>
        <v>CADASTRO</v>
      </c>
      <c r="C41" s="50" t="str">
        <f>IFERROR(VLOOKUP($A41,EVENTO!$A$2:$C$4999,3,FALSE),"")</f>
        <v>IFCE CAUCAIA</v>
      </c>
      <c r="D41" s="6" t="s">
        <v>1380</v>
      </c>
      <c r="E41" s="112" t="s">
        <v>2108</v>
      </c>
      <c r="F41" s="9" t="s">
        <v>2109</v>
      </c>
      <c r="G41" s="6">
        <v>336000.0</v>
      </c>
      <c r="H41" s="79">
        <v>0.049</v>
      </c>
    </row>
    <row r="42">
      <c r="A42" s="6">
        <v>20.0</v>
      </c>
      <c r="B42" s="50" t="str">
        <f>IFERROR(VLOOKUP($A42,EVENTO!$A$2:$C$4999,2,FALSE),"")</f>
        <v>CADASTRO</v>
      </c>
      <c r="C42" s="50" t="str">
        <f>IFERROR(VLOOKUP($A42,EVENTO!$A$2:$C$4999,3,FALSE),"")</f>
        <v>IFCE CAUCAIA</v>
      </c>
      <c r="D42" s="6" t="s">
        <v>1380</v>
      </c>
      <c r="E42" s="112" t="s">
        <v>2108</v>
      </c>
      <c r="F42" s="9" t="s">
        <v>2110</v>
      </c>
      <c r="G42" s="6">
        <v>60000.0</v>
      </c>
      <c r="H42" s="79">
        <v>0.04</v>
      </c>
    </row>
    <row r="43">
      <c r="A43" s="6">
        <v>21.0</v>
      </c>
      <c r="B43" s="50" t="str">
        <f>IFERROR(VLOOKUP($A43,EVENTO!$A$2:$C$4999,2,FALSE),"")</f>
        <v>APOSTILAMENTO</v>
      </c>
      <c r="C43" s="50" t="str">
        <f>IFERROR(VLOOKUP($A43,EVENTO!$A$2:$C$4999,3,FALSE),"")</f>
        <v>IFCE CAUCAIA</v>
      </c>
      <c r="D43" s="11"/>
      <c r="E43" s="112" t="s">
        <v>2108</v>
      </c>
      <c r="F43" s="9" t="s">
        <v>2109</v>
      </c>
      <c r="G43" s="6">
        <v>336000.0</v>
      </c>
      <c r="H43" s="79">
        <v>0.051</v>
      </c>
    </row>
    <row r="44">
      <c r="A44" s="6">
        <v>21.0</v>
      </c>
      <c r="B44" s="50" t="str">
        <f>IFERROR(VLOOKUP($A44,EVENTO!$A$2:$C$4999,2,FALSE),"")</f>
        <v>APOSTILAMENTO</v>
      </c>
      <c r="C44" s="50" t="str">
        <f>IFERROR(VLOOKUP($A44,EVENTO!$A$2:$C$4999,3,FALSE),"")</f>
        <v>IFCE CAUCAIA</v>
      </c>
      <c r="D44" s="11"/>
      <c r="E44" s="112" t="s">
        <v>2108</v>
      </c>
      <c r="F44" s="9" t="s">
        <v>2110</v>
      </c>
      <c r="G44" s="6">
        <v>60000.0</v>
      </c>
      <c r="H44" s="79">
        <v>0.041</v>
      </c>
    </row>
    <row r="45">
      <c r="A45" s="6">
        <v>23.0</v>
      </c>
      <c r="B45" s="50" t="str">
        <f>IFERROR(VLOOKUP($A45,EVENTO!$A$2:$C$4999,2,FALSE),"")</f>
        <v>CADASTRO</v>
      </c>
      <c r="C45" s="50" t="str">
        <f>IFERROR(VLOOKUP($A45,EVENTO!$A$2:$C$4999,3,FALSE),"")</f>
        <v>IFCE ITAPIPOCA</v>
      </c>
      <c r="D45" s="6" t="s">
        <v>1380</v>
      </c>
      <c r="E45" s="112" t="s">
        <v>2108</v>
      </c>
      <c r="F45" s="9" t="s">
        <v>2109</v>
      </c>
      <c r="G45" s="6">
        <v>60000.0</v>
      </c>
      <c r="H45" s="79">
        <v>0.049</v>
      </c>
    </row>
    <row r="46">
      <c r="A46" s="6">
        <v>23.0</v>
      </c>
      <c r="B46" s="50" t="str">
        <f>IFERROR(VLOOKUP($A46,EVENTO!$A$2:$C$4999,2,FALSE),"")</f>
        <v>CADASTRO</v>
      </c>
      <c r="C46" s="50" t="str">
        <f>IFERROR(VLOOKUP($A46,EVENTO!$A$2:$C$4999,3,FALSE),"")</f>
        <v>IFCE ITAPIPOCA</v>
      </c>
      <c r="D46" s="6" t="s">
        <v>1380</v>
      </c>
      <c r="E46" s="112" t="s">
        <v>2108</v>
      </c>
      <c r="F46" s="9" t="s">
        <v>2110</v>
      </c>
      <c r="G46" s="6">
        <v>36000.0</v>
      </c>
      <c r="H46" s="79">
        <v>0.04</v>
      </c>
    </row>
    <row r="47">
      <c r="A47" s="6">
        <v>23.0</v>
      </c>
      <c r="B47" s="50" t="str">
        <f>IFERROR(VLOOKUP($A47,EVENTO!$A$2:$C$4999,2,FALSE),"")</f>
        <v>CADASTRO</v>
      </c>
      <c r="C47" s="50" t="str">
        <f>IFERROR(VLOOKUP($A47,EVENTO!$A$2:$C$4999,3,FALSE),"")</f>
        <v>IFCE ITAPIPOCA</v>
      </c>
      <c r="D47" s="6" t="s">
        <v>1382</v>
      </c>
      <c r="E47" s="112" t="s">
        <v>2111</v>
      </c>
      <c r="F47" s="9" t="s">
        <v>2109</v>
      </c>
      <c r="G47" s="6">
        <v>36000.0</v>
      </c>
      <c r="H47" s="79">
        <v>0.29</v>
      </c>
    </row>
    <row r="48">
      <c r="A48" s="6">
        <v>23.0</v>
      </c>
      <c r="B48" s="50" t="str">
        <f>IFERROR(VLOOKUP($A48,EVENTO!$A$2:$C$4999,2,FALSE),"")</f>
        <v>CADASTRO</v>
      </c>
      <c r="C48" s="50" t="str">
        <f>IFERROR(VLOOKUP($A48,EVENTO!$A$2:$C$4999,3,FALSE),"")</f>
        <v>IFCE ITAPIPOCA</v>
      </c>
      <c r="D48" s="6" t="s">
        <v>1382</v>
      </c>
      <c r="E48" s="112" t="s">
        <v>2111</v>
      </c>
      <c r="F48" s="9" t="s">
        <v>2110</v>
      </c>
      <c r="G48" s="6">
        <v>36000.0</v>
      </c>
      <c r="H48" s="79">
        <v>0.19</v>
      </c>
    </row>
    <row r="49">
      <c r="A49" s="6">
        <v>23.0</v>
      </c>
      <c r="B49" s="50" t="str">
        <f>IFERROR(VLOOKUP($A49,EVENTO!$A$2:$C$4999,2,FALSE),"")</f>
        <v>CADASTRO</v>
      </c>
      <c r="C49" s="50" t="str">
        <f>IFERROR(VLOOKUP($A49,EVENTO!$A$2:$C$4999,3,FALSE),"")</f>
        <v>IFCE ITAPIPOCA</v>
      </c>
      <c r="D49" s="6" t="s">
        <v>1384</v>
      </c>
      <c r="E49" s="112" t="s">
        <v>2112</v>
      </c>
      <c r="F49" s="9" t="s">
        <v>2109</v>
      </c>
      <c r="G49" s="6">
        <v>18000.0</v>
      </c>
      <c r="H49" s="79">
        <v>0.16</v>
      </c>
    </row>
    <row r="50">
      <c r="A50" s="6">
        <v>24.0</v>
      </c>
      <c r="B50" s="50" t="str">
        <f>IFERROR(VLOOKUP($A50,EVENTO!$A$2:$C$4999,2,FALSE),"")</f>
        <v>ADITIVO DE REAJUSTE E PRAZO</v>
      </c>
      <c r="C50" s="50" t="str">
        <f>IFERROR(VLOOKUP($A50,EVENTO!$A$2:$C$4999,3,FALSE),"")</f>
        <v>IFCE ITAPIPOCA</v>
      </c>
      <c r="D50" s="11"/>
      <c r="E50" s="112" t="s">
        <v>2108</v>
      </c>
      <c r="F50" s="9" t="s">
        <v>2109</v>
      </c>
      <c r="G50" s="6">
        <v>60000.0</v>
      </c>
      <c r="H50" s="79">
        <v>0.052</v>
      </c>
    </row>
    <row r="51">
      <c r="A51" s="6">
        <v>24.0</v>
      </c>
      <c r="B51" s="50" t="str">
        <f>IFERROR(VLOOKUP($A51,EVENTO!$A$2:$C$4999,2,FALSE),"")</f>
        <v>ADITIVO DE REAJUSTE E PRAZO</v>
      </c>
      <c r="C51" s="50" t="str">
        <f>IFERROR(VLOOKUP($A51,EVENTO!$A$2:$C$4999,3,FALSE),"")</f>
        <v>IFCE ITAPIPOCA</v>
      </c>
      <c r="D51" s="11"/>
      <c r="E51" s="112" t="s">
        <v>2108</v>
      </c>
      <c r="F51" s="9" t="s">
        <v>2110</v>
      </c>
      <c r="G51" s="6">
        <v>36000.0</v>
      </c>
      <c r="H51" s="79">
        <v>0.04216</v>
      </c>
    </row>
    <row r="52">
      <c r="A52" s="6">
        <v>24.0</v>
      </c>
      <c r="B52" s="50" t="str">
        <f>IFERROR(VLOOKUP($A52,EVENTO!$A$2:$C$4999,2,FALSE),"")</f>
        <v>ADITIVO DE REAJUSTE E PRAZO</v>
      </c>
      <c r="C52" s="50" t="str">
        <f>IFERROR(VLOOKUP($A52,EVENTO!$A$2:$C$4999,3,FALSE),"")</f>
        <v>IFCE ITAPIPOCA</v>
      </c>
      <c r="D52" s="11"/>
      <c r="E52" s="112" t="s">
        <v>2111</v>
      </c>
      <c r="F52" s="9" t="s">
        <v>2109</v>
      </c>
      <c r="G52" s="6">
        <v>36000.0</v>
      </c>
      <c r="H52" s="79">
        <v>0.306</v>
      </c>
    </row>
    <row r="53">
      <c r="A53" s="6">
        <v>24.0</v>
      </c>
      <c r="B53" s="50" t="str">
        <f>IFERROR(VLOOKUP($A53,EVENTO!$A$2:$C$4999,2,FALSE),"")</f>
        <v>ADITIVO DE REAJUSTE E PRAZO</v>
      </c>
      <c r="C53" s="50" t="str">
        <f>IFERROR(VLOOKUP($A53,EVENTO!$A$2:$C$4999,3,FALSE),"")</f>
        <v>IFCE ITAPIPOCA</v>
      </c>
      <c r="D53" s="11"/>
      <c r="E53" s="112" t="s">
        <v>2111</v>
      </c>
      <c r="F53" s="9" t="s">
        <v>2110</v>
      </c>
      <c r="G53" s="6">
        <v>36000.0</v>
      </c>
      <c r="H53" s="79">
        <v>0.2003</v>
      </c>
    </row>
    <row r="54">
      <c r="A54" s="6">
        <v>24.0</v>
      </c>
      <c r="B54" s="50" t="str">
        <f>IFERROR(VLOOKUP($A54,EVENTO!$A$2:$C$4999,2,FALSE),"")</f>
        <v>ADITIVO DE REAJUSTE E PRAZO</v>
      </c>
      <c r="C54" s="50" t="str">
        <f>IFERROR(VLOOKUP($A54,EVENTO!$A$2:$C$4999,3,FALSE),"")</f>
        <v>IFCE ITAPIPOCA</v>
      </c>
      <c r="D54" s="11"/>
      <c r="E54" s="112" t="s">
        <v>2112</v>
      </c>
      <c r="F54" s="9" t="s">
        <v>2109</v>
      </c>
      <c r="G54" s="6">
        <v>18000.0</v>
      </c>
      <c r="H54" s="79">
        <v>0.1687</v>
      </c>
    </row>
    <row r="55">
      <c r="A55" s="6">
        <v>25.0</v>
      </c>
      <c r="B55" s="50" t="str">
        <f>IFERROR(VLOOKUP($A55,EVENTO!$A$2:$C$4999,2,FALSE),"")</f>
        <v>CADASTRO</v>
      </c>
      <c r="C55" s="50" t="str">
        <f>IFERROR(VLOOKUP($A55,EVENTO!$A$2:$C$4999,3,FALSE),"")</f>
        <v>IFCE PARACURU </v>
      </c>
      <c r="D55" s="6" t="s">
        <v>1380</v>
      </c>
      <c r="E55" s="3" t="s">
        <v>2108</v>
      </c>
      <c r="F55" s="9" t="s">
        <v>2109</v>
      </c>
      <c r="G55" s="6">
        <v>12000.0</v>
      </c>
      <c r="H55" s="92">
        <v>0.049</v>
      </c>
    </row>
    <row r="56">
      <c r="A56" s="6">
        <v>25.0</v>
      </c>
      <c r="B56" s="50" t="str">
        <f>IFERROR(VLOOKUP($A56,EVENTO!$A$2:$C$4999,2,FALSE),"")</f>
        <v>CADASTRO</v>
      </c>
      <c r="C56" s="50" t="str">
        <f>IFERROR(VLOOKUP($A56,EVENTO!$A$2:$C$4999,3,FALSE),"")</f>
        <v>IFCE PARACURU </v>
      </c>
      <c r="D56" s="6" t="s">
        <v>1382</v>
      </c>
      <c r="E56" s="3" t="s">
        <v>2111</v>
      </c>
      <c r="F56" s="9" t="s">
        <v>2109</v>
      </c>
      <c r="G56" s="6">
        <v>800.0</v>
      </c>
      <c r="H56" s="92">
        <v>0.29</v>
      </c>
    </row>
    <row r="57">
      <c r="A57" s="6">
        <v>27.0</v>
      </c>
      <c r="B57" s="50" t="str">
        <f>IFERROR(VLOOKUP($A57,EVENTO!$A$2:$C$4999,2,FALSE),"")</f>
        <v>CADASTRO</v>
      </c>
      <c r="C57" s="50" t="str">
        <f>IFERROR(VLOOKUP($A57,EVENTO!$A$2:$C$4999,3,FALSE),"")</f>
        <v>IFCE JUAZEIRO DO NORTE</v>
      </c>
      <c r="D57" s="6" t="s">
        <v>1380</v>
      </c>
      <c r="E57" s="112" t="s">
        <v>2108</v>
      </c>
      <c r="F57" s="9" t="s">
        <v>2109</v>
      </c>
      <c r="G57" s="6">
        <v>30000.0</v>
      </c>
      <c r="H57" s="79">
        <v>0.049</v>
      </c>
    </row>
    <row r="58">
      <c r="A58" s="6">
        <v>27.0</v>
      </c>
      <c r="B58" s="50" t="str">
        <f>IFERROR(VLOOKUP($A58,EVENTO!$A$2:$C$4999,2,FALSE),"")</f>
        <v>CADASTRO</v>
      </c>
      <c r="C58" s="50" t="str">
        <f>IFERROR(VLOOKUP($A58,EVENTO!$A$2:$C$4999,3,FALSE),"")</f>
        <v>IFCE JUAZEIRO DO NORTE</v>
      </c>
      <c r="D58" s="6" t="s">
        <v>1380</v>
      </c>
      <c r="E58" s="112" t="s">
        <v>2108</v>
      </c>
      <c r="F58" s="9" t="s">
        <v>2110</v>
      </c>
      <c r="G58" s="6">
        <v>18000.0</v>
      </c>
      <c r="H58" s="79">
        <v>0.04</v>
      </c>
    </row>
    <row r="59">
      <c r="A59" s="6">
        <v>27.0</v>
      </c>
      <c r="B59" s="50" t="str">
        <f>IFERROR(VLOOKUP($A59,EVENTO!$A$2:$C$4999,2,FALSE),"")</f>
        <v>CADASTRO</v>
      </c>
      <c r="C59" s="50" t="str">
        <f>IFERROR(VLOOKUP($A59,EVENTO!$A$2:$C$4999,3,FALSE),"")</f>
        <v>IFCE JUAZEIRO DO NORTE</v>
      </c>
      <c r="D59" s="6" t="s">
        <v>1382</v>
      </c>
      <c r="E59" s="112" t="s">
        <v>2111</v>
      </c>
      <c r="F59" s="9" t="s">
        <v>2109</v>
      </c>
      <c r="G59" s="6">
        <v>1200.0</v>
      </c>
      <c r="H59" s="79">
        <v>0.29</v>
      </c>
    </row>
    <row r="60">
      <c r="A60" s="6">
        <v>27.0</v>
      </c>
      <c r="B60" s="50" t="str">
        <f>IFERROR(VLOOKUP($A60,EVENTO!$A$2:$C$4999,2,FALSE),"")</f>
        <v>CADASTRO</v>
      </c>
      <c r="C60" s="50" t="str">
        <f>IFERROR(VLOOKUP($A60,EVENTO!$A$2:$C$4999,3,FALSE),"")</f>
        <v>IFCE JUAZEIRO DO NORTE</v>
      </c>
      <c r="D60" s="6" t="s">
        <v>1382</v>
      </c>
      <c r="E60" s="112" t="s">
        <v>2111</v>
      </c>
      <c r="F60" s="9" t="s">
        <v>2110</v>
      </c>
      <c r="G60" s="6">
        <v>800.0</v>
      </c>
      <c r="H60" s="79">
        <v>0.19</v>
      </c>
    </row>
    <row r="61">
      <c r="A61" s="6">
        <v>27.0</v>
      </c>
      <c r="B61" s="50" t="str">
        <f>IFERROR(VLOOKUP($A61,EVENTO!$A$2:$C$4999,2,FALSE),"")</f>
        <v>CADASTRO</v>
      </c>
      <c r="C61" s="50" t="str">
        <f>IFERROR(VLOOKUP($A61,EVENTO!$A$2:$C$4999,3,FALSE),"")</f>
        <v>IFCE JUAZEIRO DO NORTE</v>
      </c>
      <c r="D61" s="6" t="s">
        <v>1384</v>
      </c>
      <c r="E61" s="112" t="s">
        <v>2112</v>
      </c>
      <c r="F61" s="9" t="s">
        <v>2109</v>
      </c>
      <c r="G61" s="6">
        <v>1000.0</v>
      </c>
      <c r="H61" s="79">
        <v>0.16</v>
      </c>
    </row>
    <row r="62">
      <c r="A62" s="6">
        <v>27.0</v>
      </c>
      <c r="B62" s="50" t="str">
        <f>IFERROR(VLOOKUP($A62,EVENTO!$A$2:$C$4999,2,FALSE),"")</f>
        <v>CADASTRO</v>
      </c>
      <c r="C62" s="50" t="str">
        <f>IFERROR(VLOOKUP($A62,EVENTO!$A$2:$C$4999,3,FALSE),"")</f>
        <v>IFCE JUAZEIRO DO NORTE</v>
      </c>
      <c r="D62" s="6" t="s">
        <v>1384</v>
      </c>
      <c r="E62" s="112" t="s">
        <v>2112</v>
      </c>
      <c r="F62" s="9" t="s">
        <v>2110</v>
      </c>
      <c r="G62" s="6">
        <v>600.0</v>
      </c>
      <c r="H62" s="79">
        <v>0.08</v>
      </c>
    </row>
    <row r="63">
      <c r="A63" s="6">
        <v>28.0</v>
      </c>
      <c r="B63" s="50" t="str">
        <f>IFERROR(VLOOKUP($A63,EVENTO!$A$2:$C$4999,2,FALSE),"")</f>
        <v>ADITIVO DE REAJUSTE E PRAZO</v>
      </c>
      <c r="C63" s="50" t="str">
        <f>IFERROR(VLOOKUP($A63,EVENTO!$A$2:$C$4999,3,FALSE),"")</f>
        <v>IFCE JUAZEIRO DO NORTE</v>
      </c>
      <c r="D63" s="11"/>
      <c r="E63" s="112" t="s">
        <v>2108</v>
      </c>
      <c r="F63" s="9" t="s">
        <v>2109</v>
      </c>
      <c r="G63" s="6">
        <v>30000.0</v>
      </c>
      <c r="H63" s="79">
        <v>0.0515344613</v>
      </c>
    </row>
    <row r="64">
      <c r="A64" s="6">
        <v>28.0</v>
      </c>
      <c r="B64" s="50" t="str">
        <f>IFERROR(VLOOKUP($A64,EVENTO!$A$2:$C$4999,2,FALSE),"")</f>
        <v>ADITIVO DE REAJUSTE E PRAZO</v>
      </c>
      <c r="C64" s="50" t="str">
        <f>IFERROR(VLOOKUP($A64,EVENTO!$A$2:$C$4999,3,FALSE),"")</f>
        <v>IFCE JUAZEIRO DO NORTE</v>
      </c>
      <c r="D64" s="11"/>
      <c r="E64" s="112" t="s">
        <v>2108</v>
      </c>
      <c r="F64" s="9" t="s">
        <v>2110</v>
      </c>
      <c r="G64" s="6">
        <v>18000.0</v>
      </c>
      <c r="H64" s="79">
        <v>0.042068948</v>
      </c>
    </row>
    <row r="65">
      <c r="A65" s="6">
        <v>28.0</v>
      </c>
      <c r="B65" s="50" t="str">
        <f>IFERROR(VLOOKUP($A65,EVENTO!$A$2:$C$4999,2,FALSE),"")</f>
        <v>ADITIVO DE REAJUSTE E PRAZO</v>
      </c>
      <c r="C65" s="50" t="str">
        <f>IFERROR(VLOOKUP($A65,EVENTO!$A$2:$C$4999,3,FALSE),"")</f>
        <v>IFCE JUAZEIRO DO NORTE</v>
      </c>
      <c r="D65" s="11"/>
      <c r="E65" s="112" t="s">
        <v>2111</v>
      </c>
      <c r="F65" s="9" t="s">
        <v>2109</v>
      </c>
      <c r="G65" s="6">
        <v>1200.0</v>
      </c>
      <c r="H65" s="79">
        <v>0.304999873</v>
      </c>
    </row>
    <row r="66">
      <c r="A66" s="6">
        <v>28.0</v>
      </c>
      <c r="B66" s="50" t="str">
        <f>IFERROR(VLOOKUP($A66,EVENTO!$A$2:$C$4999,2,FALSE),"")</f>
        <v>ADITIVO DE REAJUSTE E PRAZO</v>
      </c>
      <c r="C66" s="50" t="str">
        <f>IFERROR(VLOOKUP($A66,EVENTO!$A$2:$C$4999,3,FALSE),"")</f>
        <v>IFCE JUAZEIRO DO NORTE</v>
      </c>
      <c r="D66" s="11"/>
      <c r="E66" s="112" t="s">
        <v>2111</v>
      </c>
      <c r="F66" s="9" t="s">
        <v>2110</v>
      </c>
      <c r="G66" s="6">
        <v>800.0</v>
      </c>
      <c r="H66" s="79">
        <v>0.199827503</v>
      </c>
    </row>
    <row r="67">
      <c r="A67" s="6">
        <v>28.0</v>
      </c>
      <c r="B67" s="50" t="str">
        <f>IFERROR(VLOOKUP($A67,EVENTO!$A$2:$C$4999,2,FALSE),"")</f>
        <v>ADITIVO DE REAJUSTE E PRAZO</v>
      </c>
      <c r="C67" s="50" t="str">
        <f>IFERROR(VLOOKUP($A67,EVENTO!$A$2:$C$4999,3,FALSE),"")</f>
        <v>IFCE JUAZEIRO DO NORTE</v>
      </c>
      <c r="D67" s="11"/>
      <c r="E67" s="112" t="s">
        <v>2112</v>
      </c>
      <c r="F67" s="9" t="s">
        <v>2109</v>
      </c>
      <c r="G67" s="6">
        <v>1000.0</v>
      </c>
      <c r="H67" s="79">
        <v>0.168275792</v>
      </c>
    </row>
    <row r="68">
      <c r="A68" s="6">
        <v>28.0</v>
      </c>
      <c r="B68" s="50" t="str">
        <f>IFERROR(VLOOKUP($A68,EVENTO!$A$2:$C$4999,2,FALSE),"")</f>
        <v>ADITIVO DE REAJUSTE E PRAZO</v>
      </c>
      <c r="C68" s="50" t="str">
        <f>IFERROR(VLOOKUP($A68,EVENTO!$A$2:$C$4999,3,FALSE),"")</f>
        <v>IFCE JUAZEIRO DO NORTE</v>
      </c>
      <c r="D68" s="11"/>
      <c r="E68" s="112" t="s">
        <v>2112</v>
      </c>
      <c r="F68" s="9" t="s">
        <v>2110</v>
      </c>
      <c r="G68" s="6">
        <v>600.0</v>
      </c>
      <c r="H68" s="79">
        <v>0.084137896</v>
      </c>
    </row>
    <row r="69">
      <c r="A69" s="6">
        <v>29.0</v>
      </c>
      <c r="B69" s="50" t="str">
        <f>IFERROR(VLOOKUP($A69,EVENTO!$A$2:$C$4999,2,FALSE),"")</f>
        <v>CADASTRO</v>
      </c>
      <c r="C69" s="50" t="str">
        <f>IFERROR(VLOOKUP($A69,EVENTO!$A$2:$C$4999,3,FALSE),"")</f>
        <v>MINISTÉRIO DA AGRICULTURA E PECUÁRIA/SUPERINTENDÊNCIA FEDERAL DE AGRICULTURA E PECUÁRIA NO PARANÁ (SFA-PR/MAPA)</v>
      </c>
      <c r="D69" s="6" t="s">
        <v>1380</v>
      </c>
      <c r="E69" s="112" t="s">
        <v>2108</v>
      </c>
      <c r="F69" s="9" t="s">
        <v>2114</v>
      </c>
      <c r="G69" s="6">
        <v>2000.0</v>
      </c>
      <c r="H69" s="79">
        <v>0.1538</v>
      </c>
    </row>
    <row r="70">
      <c r="A70" s="6">
        <v>29.0</v>
      </c>
      <c r="B70" s="50" t="str">
        <f>IFERROR(VLOOKUP($A70,EVENTO!$A$2:$C$4999,2,FALSE),"")</f>
        <v>CADASTRO</v>
      </c>
      <c r="C70" s="50" t="str">
        <f>IFERROR(VLOOKUP($A70,EVENTO!$A$2:$C$4999,3,FALSE),"")</f>
        <v>MINISTÉRIO DA AGRICULTURA E PECUÁRIA/SUPERINTENDÊNCIA FEDERAL DE AGRICULTURA E PECUÁRIA NO PARANÁ (SFA-PR/MAPA)</v>
      </c>
      <c r="D70" s="6" t="s">
        <v>1380</v>
      </c>
      <c r="E70" s="112" t="s">
        <v>2108</v>
      </c>
      <c r="F70" s="9" t="s">
        <v>2115</v>
      </c>
      <c r="G70" s="6">
        <v>2000.0</v>
      </c>
      <c r="H70" s="79">
        <v>0.1329</v>
      </c>
    </row>
    <row r="71">
      <c r="A71" s="6">
        <v>29.0</v>
      </c>
      <c r="B71" s="50" t="str">
        <f>IFERROR(VLOOKUP($A71,EVENTO!$A$2:$C$4999,2,FALSE),"")</f>
        <v>CADASTRO</v>
      </c>
      <c r="C71" s="50" t="str">
        <f>IFERROR(VLOOKUP($A71,EVENTO!$A$2:$C$4999,3,FALSE),"")</f>
        <v>MINISTÉRIO DA AGRICULTURA E PECUÁRIA/SUPERINTENDÊNCIA FEDERAL DE AGRICULTURA E PECUÁRIA NO PARANÁ (SFA-PR/MAPA)</v>
      </c>
      <c r="D71" s="6" t="s">
        <v>1380</v>
      </c>
      <c r="E71" s="112" t="s">
        <v>2108</v>
      </c>
      <c r="F71" s="9" t="s">
        <v>2116</v>
      </c>
      <c r="G71" s="6">
        <v>35000.0</v>
      </c>
      <c r="H71" s="79">
        <v>0.1538</v>
      </c>
    </row>
    <row r="72">
      <c r="A72" s="6">
        <v>29.0</v>
      </c>
      <c r="B72" s="50" t="str">
        <f>IFERROR(VLOOKUP($A72,EVENTO!$A$2:$C$4999,2,FALSE),"")</f>
        <v>CADASTRO</v>
      </c>
      <c r="C72" s="50" t="str">
        <f>IFERROR(VLOOKUP($A72,EVENTO!$A$2:$C$4999,3,FALSE),"")</f>
        <v>MINISTÉRIO DA AGRICULTURA E PECUÁRIA/SUPERINTENDÊNCIA FEDERAL DE AGRICULTURA E PECUÁRIA NO PARANÁ (SFA-PR/MAPA)</v>
      </c>
      <c r="D72" s="6" t="s">
        <v>1380</v>
      </c>
      <c r="E72" s="112" t="s">
        <v>2108</v>
      </c>
      <c r="F72" s="9" t="s">
        <v>2117</v>
      </c>
      <c r="G72" s="6">
        <v>35000.0</v>
      </c>
      <c r="H72" s="79">
        <v>0.1329</v>
      </c>
    </row>
    <row r="73">
      <c r="A73" s="6">
        <v>30.0</v>
      </c>
      <c r="B73" s="50" t="str">
        <f>IFERROR(VLOOKUP($A73,EVENTO!$A$2:$C$4999,2,FALSE),"")</f>
        <v>CADASTRO</v>
      </c>
      <c r="C73" s="50" t="str">
        <f>IFERROR(VLOOKUP($A73,EVENTO!$A$2:$C$4999,3,FALSE),"")</f>
        <v>CAPITANIA DOS PORTOS DE SERGIPE</v>
      </c>
      <c r="D73" s="6" t="s">
        <v>1380</v>
      </c>
      <c r="E73" s="112" t="s">
        <v>2112</v>
      </c>
      <c r="F73" s="9" t="s">
        <v>2109</v>
      </c>
      <c r="G73" s="6">
        <v>30000.0</v>
      </c>
      <c r="H73" s="79">
        <v>0.049</v>
      </c>
    </row>
    <row r="74">
      <c r="A74" s="6">
        <v>30.0</v>
      </c>
      <c r="B74" s="50" t="str">
        <f>IFERROR(VLOOKUP($A74,EVENTO!$A$2:$C$4999,2,FALSE),"")</f>
        <v>CADASTRO</v>
      </c>
      <c r="C74" s="50" t="str">
        <f>IFERROR(VLOOKUP($A74,EVENTO!$A$2:$C$4999,3,FALSE),"")</f>
        <v>CAPITANIA DOS PORTOS DE SERGIPE</v>
      </c>
      <c r="D74" s="6" t="s">
        <v>1380</v>
      </c>
      <c r="E74" s="3" t="s">
        <v>2108</v>
      </c>
      <c r="F74" s="9" t="s">
        <v>2109</v>
      </c>
      <c r="G74" s="6">
        <v>8000.0</v>
      </c>
      <c r="H74" s="79">
        <v>0.04</v>
      </c>
    </row>
    <row r="75">
      <c r="A75" s="6">
        <v>31.0</v>
      </c>
      <c r="B75" s="50" t="str">
        <f>IFERROR(VLOOKUP($A75,EVENTO!$A$2:$C$4999,2,FALSE),"")</f>
        <v>ADITIVO DE REAJUSTE E PRAZO</v>
      </c>
      <c r="C75" s="50" t="str">
        <f>IFERROR(VLOOKUP($A75,EVENTO!$A$2:$C$4999,3,FALSE),"")</f>
        <v>CAPITANIA DOS PORTOS DE SERGIPE</v>
      </c>
      <c r="D75" s="11"/>
      <c r="E75" s="112" t="s">
        <v>2112</v>
      </c>
      <c r="F75" s="9" t="s">
        <v>2109</v>
      </c>
      <c r="G75" s="6">
        <v>30000.0</v>
      </c>
      <c r="H75" s="79">
        <v>0.0517</v>
      </c>
    </row>
    <row r="76">
      <c r="A76" s="6">
        <v>31.0</v>
      </c>
      <c r="B76" s="50" t="str">
        <f>IFERROR(VLOOKUP($A76,EVENTO!$A$2:$C$4999,2,FALSE),"")</f>
        <v>ADITIVO DE REAJUSTE E PRAZO</v>
      </c>
      <c r="C76" s="50" t="str">
        <f>IFERROR(VLOOKUP($A76,EVENTO!$A$2:$C$4999,3,FALSE),"")</f>
        <v>CAPITANIA DOS PORTOS DE SERGIPE</v>
      </c>
      <c r="D76" s="11"/>
      <c r="E76" s="3" t="s">
        <v>2108</v>
      </c>
      <c r="F76" s="9" t="s">
        <v>2109</v>
      </c>
      <c r="G76" s="6">
        <v>8000.0</v>
      </c>
      <c r="H76" s="79">
        <v>0.0422</v>
      </c>
    </row>
    <row r="77">
      <c r="A77" s="6">
        <v>32.0</v>
      </c>
      <c r="B77" s="50" t="str">
        <f>IFERROR(VLOOKUP($A77,EVENTO!$A$2:$C$4999,2,FALSE),"")</f>
        <v>CADASTRO</v>
      </c>
      <c r="C77" s="50" t="str">
        <f>IFERROR(VLOOKUP($A77,EVENTO!$A$2:$C$4999,3,FALSE),"")</f>
        <v>IFRN CAMPUS CEARÁ-MIRIM</v>
      </c>
      <c r="D77" s="6" t="s">
        <v>1380</v>
      </c>
      <c r="E77" s="112" t="s">
        <v>2108</v>
      </c>
      <c r="F77" s="9" t="s">
        <v>2109</v>
      </c>
      <c r="G77" s="6">
        <v>192000.0</v>
      </c>
      <c r="H77" s="79">
        <v>0.049</v>
      </c>
    </row>
    <row r="78">
      <c r="A78" s="6">
        <v>32.0</v>
      </c>
      <c r="B78" s="50" t="str">
        <f>IFERROR(VLOOKUP($A78,EVENTO!$A$2:$C$4999,2,FALSE),"")</f>
        <v>CADASTRO</v>
      </c>
      <c r="C78" s="50" t="str">
        <f>IFERROR(VLOOKUP($A78,EVENTO!$A$2:$C$4999,3,FALSE),"")</f>
        <v>IFRN CAMPUS CEARÁ-MIRIM</v>
      </c>
      <c r="D78" s="6" t="s">
        <v>1380</v>
      </c>
      <c r="E78" s="112" t="s">
        <v>2108</v>
      </c>
      <c r="F78" s="9" t="s">
        <v>2110</v>
      </c>
      <c r="G78" s="6">
        <v>96000.0</v>
      </c>
      <c r="H78" s="79">
        <v>0.04</v>
      </c>
    </row>
    <row r="79">
      <c r="A79" s="6">
        <v>32.0</v>
      </c>
      <c r="B79" s="50" t="str">
        <f>IFERROR(VLOOKUP($A79,EVENTO!$A$2:$C$4999,2,FALSE),"")</f>
        <v>CADASTRO</v>
      </c>
      <c r="C79" s="50" t="str">
        <f>IFERROR(VLOOKUP($A79,EVENTO!$A$2:$C$4999,3,FALSE),"")</f>
        <v>IFRN CAMPUS CEARÁ-MIRIM</v>
      </c>
      <c r="D79" s="6" t="s">
        <v>1382</v>
      </c>
      <c r="E79" s="112" t="s">
        <v>2111</v>
      </c>
      <c r="F79" s="9" t="s">
        <v>2109</v>
      </c>
      <c r="G79" s="6">
        <v>6000.0</v>
      </c>
      <c r="H79" s="79">
        <v>0.29</v>
      </c>
    </row>
    <row r="80">
      <c r="A80" s="6">
        <v>32.0</v>
      </c>
      <c r="B80" s="50" t="str">
        <f>IFERROR(VLOOKUP($A80,EVENTO!$A$2:$C$4999,2,FALSE),"")</f>
        <v>CADASTRO</v>
      </c>
      <c r="C80" s="50" t="str">
        <f>IFERROR(VLOOKUP($A80,EVENTO!$A$2:$C$4999,3,FALSE),"")</f>
        <v>IFRN CAMPUS CEARÁ-MIRIM</v>
      </c>
      <c r="D80" s="6" t="s">
        <v>1382</v>
      </c>
      <c r="E80" s="112" t="s">
        <v>2111</v>
      </c>
      <c r="F80" s="9" t="s">
        <v>2110</v>
      </c>
      <c r="G80" s="6">
        <v>3000.0</v>
      </c>
      <c r="H80" s="79">
        <v>0.19</v>
      </c>
    </row>
    <row r="81">
      <c r="A81" s="6">
        <v>32.0</v>
      </c>
      <c r="B81" s="50" t="str">
        <f>IFERROR(VLOOKUP($A81,EVENTO!$A$2:$C$4999,2,FALSE),"")</f>
        <v>CADASTRO</v>
      </c>
      <c r="C81" s="50" t="str">
        <f>IFERROR(VLOOKUP($A81,EVENTO!$A$2:$C$4999,3,FALSE),"")</f>
        <v>IFRN CAMPUS CEARÁ-MIRIM</v>
      </c>
      <c r="D81" s="6" t="s">
        <v>1384</v>
      </c>
      <c r="E81" s="112" t="s">
        <v>2112</v>
      </c>
      <c r="F81" s="9" t="s">
        <v>2109</v>
      </c>
      <c r="G81" s="6">
        <v>1200.0</v>
      </c>
      <c r="H81" s="79">
        <v>0.16</v>
      </c>
    </row>
    <row r="82">
      <c r="A82" s="6">
        <v>32.0</v>
      </c>
      <c r="B82" s="50" t="str">
        <f>IFERROR(VLOOKUP($A82,EVENTO!$A$2:$C$4999,2,FALSE),"")</f>
        <v>CADASTRO</v>
      </c>
      <c r="C82" s="50" t="str">
        <f>IFERROR(VLOOKUP($A82,EVENTO!$A$2:$C$4999,3,FALSE),"")</f>
        <v>IFRN CAMPUS CEARÁ-MIRIM</v>
      </c>
      <c r="D82" s="6" t="s">
        <v>1384</v>
      </c>
      <c r="E82" s="112" t="s">
        <v>2112</v>
      </c>
      <c r="F82" s="9" t="s">
        <v>2110</v>
      </c>
      <c r="G82" s="6">
        <v>600.0</v>
      </c>
      <c r="H82" s="79">
        <v>0.08</v>
      </c>
    </row>
    <row r="83">
      <c r="A83" s="6">
        <v>33.0</v>
      </c>
      <c r="B83" s="50" t="str">
        <f>IFERROR(VLOOKUP($A83,EVENTO!$A$2:$C$4999,2,FALSE),"")</f>
        <v>ADITIVO DE REAJUSTE E PRAZO</v>
      </c>
      <c r="C83" s="50" t="str">
        <f>IFERROR(VLOOKUP($A83,EVENTO!$A$2:$C$4999,3,FALSE),"")</f>
        <v>IFRN CAMPUS CEARÁ-MIRIM</v>
      </c>
      <c r="D83" s="11"/>
      <c r="E83" s="112" t="s">
        <v>2108</v>
      </c>
      <c r="F83" s="9" t="s">
        <v>2109</v>
      </c>
      <c r="G83" s="6">
        <v>192000.0</v>
      </c>
      <c r="H83" s="79">
        <v>0.052</v>
      </c>
    </row>
    <row r="84">
      <c r="A84" s="6">
        <v>33.0</v>
      </c>
      <c r="B84" s="50" t="str">
        <f>IFERROR(VLOOKUP($A84,EVENTO!$A$2:$C$4999,2,FALSE),"")</f>
        <v>ADITIVO DE REAJUSTE E PRAZO</v>
      </c>
      <c r="C84" s="50" t="str">
        <f>IFERROR(VLOOKUP($A84,EVENTO!$A$2:$C$4999,3,FALSE),"")</f>
        <v>IFRN CAMPUS CEARÁ-MIRIM</v>
      </c>
      <c r="D84" s="11"/>
      <c r="E84" s="112" t="s">
        <v>2108</v>
      </c>
      <c r="F84" s="9" t="s">
        <v>2110</v>
      </c>
      <c r="G84" s="6">
        <v>96000.0</v>
      </c>
      <c r="H84" s="79">
        <v>0.042</v>
      </c>
    </row>
    <row r="85">
      <c r="A85" s="6">
        <v>33.0</v>
      </c>
      <c r="B85" s="50" t="str">
        <f>IFERROR(VLOOKUP($A85,EVENTO!$A$2:$C$4999,2,FALSE),"")</f>
        <v>ADITIVO DE REAJUSTE E PRAZO</v>
      </c>
      <c r="C85" s="50" t="str">
        <f>IFERROR(VLOOKUP($A85,EVENTO!$A$2:$C$4999,3,FALSE),"")</f>
        <v>IFRN CAMPUS CEARÁ-MIRIM</v>
      </c>
      <c r="D85" s="11"/>
      <c r="E85" s="112" t="s">
        <v>2111</v>
      </c>
      <c r="F85" s="9" t="s">
        <v>2109</v>
      </c>
      <c r="G85" s="6">
        <v>6000.0</v>
      </c>
      <c r="H85" s="79">
        <v>0.306</v>
      </c>
    </row>
    <row r="86">
      <c r="A86" s="6">
        <v>33.0</v>
      </c>
      <c r="B86" s="50" t="str">
        <f>IFERROR(VLOOKUP($A86,EVENTO!$A$2:$C$4999,2,FALSE),"")</f>
        <v>ADITIVO DE REAJUSTE E PRAZO</v>
      </c>
      <c r="C86" s="50" t="str">
        <f>IFERROR(VLOOKUP($A86,EVENTO!$A$2:$C$4999,3,FALSE),"")</f>
        <v>IFRN CAMPUS CEARÁ-MIRIM</v>
      </c>
      <c r="D86" s="11"/>
      <c r="E86" s="112" t="s">
        <v>2111</v>
      </c>
      <c r="F86" s="9" t="s">
        <v>2110</v>
      </c>
      <c r="G86" s="6">
        <v>3000.0</v>
      </c>
      <c r="H86" s="79">
        <v>0.2</v>
      </c>
    </row>
    <row r="87">
      <c r="A87" s="6">
        <v>33.0</v>
      </c>
      <c r="B87" s="50" t="str">
        <f>IFERROR(VLOOKUP($A87,EVENTO!$A$2:$C$4999,2,FALSE),"")</f>
        <v>ADITIVO DE REAJUSTE E PRAZO</v>
      </c>
      <c r="C87" s="50" t="str">
        <f>IFERROR(VLOOKUP($A87,EVENTO!$A$2:$C$4999,3,FALSE),"")</f>
        <v>IFRN CAMPUS CEARÁ-MIRIM</v>
      </c>
      <c r="D87" s="11"/>
      <c r="E87" s="112" t="s">
        <v>2112</v>
      </c>
      <c r="F87" s="9" t="s">
        <v>2109</v>
      </c>
      <c r="G87" s="6">
        <v>1200.0</v>
      </c>
      <c r="H87" s="79">
        <v>0.169</v>
      </c>
    </row>
    <row r="88">
      <c r="A88" s="6">
        <v>33.0</v>
      </c>
      <c r="B88" s="50" t="str">
        <f>IFERROR(VLOOKUP($A88,EVENTO!$A$2:$C$4999,2,FALSE),"")</f>
        <v>ADITIVO DE REAJUSTE E PRAZO</v>
      </c>
      <c r="C88" s="50" t="str">
        <f>IFERROR(VLOOKUP($A88,EVENTO!$A$2:$C$4999,3,FALSE),"")</f>
        <v>IFRN CAMPUS CEARÁ-MIRIM</v>
      </c>
      <c r="D88" s="11"/>
      <c r="E88" s="112" t="s">
        <v>2112</v>
      </c>
      <c r="F88" s="9" t="s">
        <v>2110</v>
      </c>
      <c r="G88" s="6">
        <v>600.0</v>
      </c>
      <c r="H88" s="79">
        <v>0.084</v>
      </c>
    </row>
    <row r="89">
      <c r="A89" s="6">
        <v>34.0</v>
      </c>
      <c r="B89" s="50" t="str">
        <f>IFERROR(VLOOKUP($A89,EVENTO!$A$2:$C$4999,2,FALSE),"")</f>
        <v>CADASTRO</v>
      </c>
      <c r="C89" s="50" t="str">
        <f>IFERROR(VLOOKUP($A89,EVENTO!$A$2:$C$4999,3,FALSE),"")</f>
        <v>IFRN CAMPUS NATAL</v>
      </c>
      <c r="D89" s="6" t="s">
        <v>1380</v>
      </c>
      <c r="E89" s="112" t="s">
        <v>2108</v>
      </c>
      <c r="F89" s="9" t="s">
        <v>2109</v>
      </c>
      <c r="G89" s="6">
        <v>360000.0</v>
      </c>
      <c r="H89" s="79">
        <v>0.049</v>
      </c>
    </row>
    <row r="90">
      <c r="A90" s="6">
        <v>34.0</v>
      </c>
      <c r="B90" s="50" t="str">
        <f>IFERROR(VLOOKUP($A90,EVENTO!$A$2:$C$4999,2,FALSE),"")</f>
        <v>CADASTRO</v>
      </c>
      <c r="C90" s="50" t="str">
        <f>IFERROR(VLOOKUP($A90,EVENTO!$A$2:$C$4999,3,FALSE),"")</f>
        <v>IFRN CAMPUS NATAL</v>
      </c>
      <c r="D90" s="6" t="s">
        <v>1380</v>
      </c>
      <c r="E90" s="112" t="s">
        <v>2108</v>
      </c>
      <c r="F90" s="9" t="s">
        <v>2110</v>
      </c>
      <c r="G90" s="6">
        <v>60000.0</v>
      </c>
      <c r="H90" s="79">
        <v>0.04</v>
      </c>
    </row>
    <row r="91">
      <c r="A91" s="6">
        <v>34.0</v>
      </c>
      <c r="B91" s="50" t="str">
        <f>IFERROR(VLOOKUP($A91,EVENTO!$A$2:$C$4999,2,FALSE),"")</f>
        <v>CADASTRO</v>
      </c>
      <c r="C91" s="50" t="str">
        <f>IFERROR(VLOOKUP($A91,EVENTO!$A$2:$C$4999,3,FALSE),"")</f>
        <v>IFRN CAMPUS NATAL</v>
      </c>
      <c r="D91" s="6" t="s">
        <v>1382</v>
      </c>
      <c r="E91" s="112" t="s">
        <v>2111</v>
      </c>
      <c r="F91" s="9" t="s">
        <v>2109</v>
      </c>
      <c r="G91" s="6">
        <v>12000.0</v>
      </c>
      <c r="H91" s="79">
        <v>0.29</v>
      </c>
    </row>
    <row r="92">
      <c r="A92" s="6">
        <v>34.0</v>
      </c>
      <c r="B92" s="50" t="str">
        <f>IFERROR(VLOOKUP($A92,EVENTO!$A$2:$C$4999,2,FALSE),"")</f>
        <v>CADASTRO</v>
      </c>
      <c r="C92" s="50" t="str">
        <f>IFERROR(VLOOKUP($A92,EVENTO!$A$2:$C$4999,3,FALSE),"")</f>
        <v>IFRN CAMPUS NATAL</v>
      </c>
      <c r="D92" s="6" t="s">
        <v>1382</v>
      </c>
      <c r="E92" s="112" t="s">
        <v>2111</v>
      </c>
      <c r="F92" s="9" t="s">
        <v>2110</v>
      </c>
      <c r="G92" s="6">
        <v>6000.0</v>
      </c>
      <c r="H92" s="79">
        <v>0.19</v>
      </c>
    </row>
    <row r="93">
      <c r="A93" s="6">
        <v>34.0</v>
      </c>
      <c r="B93" s="50" t="str">
        <f>IFERROR(VLOOKUP($A93,EVENTO!$A$2:$C$4999,2,FALSE),"")</f>
        <v>CADASTRO</v>
      </c>
      <c r="C93" s="50" t="str">
        <f>IFERROR(VLOOKUP($A93,EVENTO!$A$2:$C$4999,3,FALSE),"")</f>
        <v>IFRN CAMPUS NATAL</v>
      </c>
      <c r="D93" s="6" t="s">
        <v>1384</v>
      </c>
      <c r="E93" s="112" t="s">
        <v>2112</v>
      </c>
      <c r="F93" s="9" t="s">
        <v>2109</v>
      </c>
      <c r="G93" s="6">
        <v>1200.0</v>
      </c>
      <c r="H93" s="79">
        <v>0.16</v>
      </c>
    </row>
    <row r="94">
      <c r="A94" s="6">
        <v>35.0</v>
      </c>
      <c r="B94" s="50" t="str">
        <f>IFERROR(VLOOKUP($A94,EVENTO!$A$2:$C$4999,2,FALSE),"")</f>
        <v>ADITIVO DE REAJUSTE E PRAZO</v>
      </c>
      <c r="C94" s="50" t="str">
        <f>IFERROR(VLOOKUP($A94,EVENTO!$A$2:$C$4999,3,FALSE),"")</f>
        <v>IFRN CAMPUS NATAL</v>
      </c>
      <c r="D94" s="6" t="s">
        <v>1384</v>
      </c>
      <c r="E94" s="112" t="s">
        <v>2112</v>
      </c>
      <c r="F94" s="9" t="s">
        <v>2110</v>
      </c>
      <c r="G94" s="6">
        <v>600.0</v>
      </c>
      <c r="H94" s="79">
        <v>0.08</v>
      </c>
    </row>
    <row r="95">
      <c r="A95" s="6">
        <v>35.0</v>
      </c>
      <c r="B95" s="50" t="str">
        <f>IFERROR(VLOOKUP($A95,EVENTO!$A$2:$C$4999,2,FALSE),"")</f>
        <v>ADITIVO DE REAJUSTE E PRAZO</v>
      </c>
      <c r="C95" s="50" t="str">
        <f>IFERROR(VLOOKUP($A95,EVENTO!$A$2:$C$4999,3,FALSE),"")</f>
        <v>IFRN CAMPUS NATAL</v>
      </c>
      <c r="D95" s="11"/>
      <c r="E95" s="112" t="s">
        <v>2108</v>
      </c>
      <c r="F95" s="9" t="s">
        <v>2109</v>
      </c>
      <c r="G95" s="6">
        <v>360000.0</v>
      </c>
      <c r="H95" s="79">
        <v>0.05134476</v>
      </c>
    </row>
    <row r="96">
      <c r="A96" s="6">
        <v>35.0</v>
      </c>
      <c r="B96" s="50" t="str">
        <f>IFERROR(VLOOKUP($A96,EVENTO!$A$2:$C$4999,2,FALSE),"")</f>
        <v>ADITIVO DE REAJUSTE E PRAZO</v>
      </c>
      <c r="C96" s="50" t="str">
        <f>IFERROR(VLOOKUP($A96,EVENTO!$A$2:$C$4999,3,FALSE),"")</f>
        <v>IFRN CAMPUS NATAL</v>
      </c>
      <c r="D96" s="11"/>
      <c r="E96" s="112" t="s">
        <v>2108</v>
      </c>
      <c r="F96" s="9" t="s">
        <v>2110</v>
      </c>
      <c r="G96" s="6">
        <v>60000.0</v>
      </c>
      <c r="H96" s="79">
        <v>0.04191409</v>
      </c>
    </row>
    <row r="97">
      <c r="A97" s="6">
        <v>35.0</v>
      </c>
      <c r="B97" s="50" t="str">
        <f>IFERROR(VLOOKUP($A97,EVENTO!$A$2:$C$4999,2,FALSE),"")</f>
        <v>ADITIVO DE REAJUSTE E PRAZO</v>
      </c>
      <c r="C97" s="50" t="str">
        <f>IFERROR(VLOOKUP($A97,EVENTO!$A$2:$C$4999,3,FALSE),"")</f>
        <v>IFRN CAMPUS NATAL</v>
      </c>
      <c r="D97" s="11"/>
      <c r="E97" s="112" t="s">
        <v>2111</v>
      </c>
      <c r="F97" s="9" t="s">
        <v>2109</v>
      </c>
      <c r="G97" s="6">
        <v>12000.0</v>
      </c>
      <c r="H97" s="79">
        <v>0.30387714</v>
      </c>
    </row>
    <row r="98">
      <c r="A98" s="6">
        <v>35.0</v>
      </c>
      <c r="B98" s="50" t="str">
        <f>IFERROR(VLOOKUP($A98,EVENTO!$A$2:$C$4999,2,FALSE),"")</f>
        <v>ADITIVO DE REAJUSTE E PRAZO</v>
      </c>
      <c r="C98" s="50" t="str">
        <f>IFERROR(VLOOKUP($A98,EVENTO!$A$2:$C$4999,3,FALSE),"")</f>
        <v>IFRN CAMPUS NATAL</v>
      </c>
      <c r="D98" s="11"/>
      <c r="E98" s="112" t="s">
        <v>2111</v>
      </c>
      <c r="F98" s="9" t="s">
        <v>2110</v>
      </c>
      <c r="G98" s="6">
        <v>6000.0</v>
      </c>
      <c r="H98" s="79">
        <v>0.19909192</v>
      </c>
    </row>
    <row r="99">
      <c r="A99" s="6">
        <v>35.0</v>
      </c>
      <c r="B99" s="50" t="str">
        <f>IFERROR(VLOOKUP($A99,EVENTO!$A$2:$C$4999,2,FALSE),"")</f>
        <v>ADITIVO DE REAJUSTE E PRAZO</v>
      </c>
      <c r="C99" s="50" t="str">
        <f>IFERROR(VLOOKUP($A99,EVENTO!$A$2:$C$4999,3,FALSE),"")</f>
        <v>IFRN CAMPUS NATAL</v>
      </c>
      <c r="D99" s="11"/>
      <c r="E99" s="112" t="s">
        <v>2112</v>
      </c>
      <c r="F99" s="9" t="s">
        <v>2109</v>
      </c>
      <c r="G99" s="6">
        <v>1200.0</v>
      </c>
      <c r="H99" s="79">
        <v>0.16765635</v>
      </c>
    </row>
    <row r="100">
      <c r="A100" s="6">
        <v>35.0</v>
      </c>
      <c r="B100" s="50" t="str">
        <f>IFERROR(VLOOKUP($A100,EVENTO!$A$2:$C$4999,2,FALSE),"")</f>
        <v>ADITIVO DE REAJUSTE E PRAZO</v>
      </c>
      <c r="C100" s="50" t="str">
        <f>IFERROR(VLOOKUP($A100,EVENTO!$A$2:$C$4999,3,FALSE),"")</f>
        <v>IFRN CAMPUS NATAL</v>
      </c>
      <c r="D100" s="11"/>
      <c r="E100" s="112" t="s">
        <v>2112</v>
      </c>
      <c r="F100" s="9" t="s">
        <v>2110</v>
      </c>
      <c r="G100" s="6">
        <v>600.0</v>
      </c>
      <c r="H100" s="79">
        <v>0.08382818</v>
      </c>
    </row>
    <row r="101">
      <c r="A101" s="6">
        <v>36.0</v>
      </c>
      <c r="B101" s="50" t="str">
        <f>IFERROR(VLOOKUP($A101,EVENTO!$A$2:$C$4999,2,FALSE),"")</f>
        <v>CADASTRO</v>
      </c>
      <c r="C101" s="50" t="str">
        <f>IFERROR(VLOOKUP($A101,EVENTO!$A$2:$C$4999,3,FALSE),"")</f>
        <v>TRE RJ</v>
      </c>
      <c r="D101" s="6" t="s">
        <v>1393</v>
      </c>
      <c r="E101" s="112" t="s">
        <v>2118</v>
      </c>
      <c r="F101" s="9" t="s">
        <v>2109</v>
      </c>
      <c r="G101" s="6">
        <v>30000.0</v>
      </c>
      <c r="H101" s="79">
        <v>0.39</v>
      </c>
    </row>
    <row r="102">
      <c r="A102" s="6">
        <v>36.0</v>
      </c>
      <c r="B102" s="50" t="str">
        <f>IFERROR(VLOOKUP($A102,EVENTO!$A$2:$C$4999,2,FALSE),"")</f>
        <v>CADASTRO</v>
      </c>
      <c r="C102" s="50" t="str">
        <f>IFERROR(VLOOKUP($A102,EVENTO!$A$2:$C$4999,3,FALSE),"")</f>
        <v>TRE RJ</v>
      </c>
      <c r="D102" s="6" t="s">
        <v>1393</v>
      </c>
      <c r="E102" s="112" t="s">
        <v>2118</v>
      </c>
      <c r="F102" s="9" t="s">
        <v>2109</v>
      </c>
      <c r="G102" s="6">
        <v>90000.0</v>
      </c>
      <c r="H102" s="79">
        <v>0.08</v>
      </c>
    </row>
    <row r="103">
      <c r="A103" s="6">
        <v>36.0</v>
      </c>
      <c r="B103" s="50" t="str">
        <f>IFERROR(VLOOKUP($A103,EVENTO!$A$2:$C$4999,2,FALSE),"")</f>
        <v>CADASTRO</v>
      </c>
      <c r="C103" s="50" t="str">
        <f>IFERROR(VLOOKUP($A103,EVENTO!$A$2:$C$4999,3,FALSE),"")</f>
        <v>TRE RJ</v>
      </c>
      <c r="D103" s="6" t="s">
        <v>1395</v>
      </c>
      <c r="E103" s="112" t="s">
        <v>2119</v>
      </c>
      <c r="F103" s="9" t="s">
        <v>2109</v>
      </c>
      <c r="G103" s="6">
        <v>55000.0</v>
      </c>
      <c r="H103" s="79">
        <v>0.07</v>
      </c>
    </row>
    <row r="104">
      <c r="A104" s="6">
        <v>36.0</v>
      </c>
      <c r="B104" s="50" t="str">
        <f>IFERROR(VLOOKUP($A104,EVENTO!$A$2:$C$4999,2,FALSE),"")</f>
        <v>CADASTRO</v>
      </c>
      <c r="C104" s="50" t="str">
        <f>IFERROR(VLOOKUP($A104,EVENTO!$A$2:$C$4999,3,FALSE),"")</f>
        <v>TRE RJ</v>
      </c>
      <c r="D104" s="6" t="s">
        <v>1397</v>
      </c>
      <c r="E104" s="112" t="s">
        <v>2120</v>
      </c>
      <c r="F104" s="9" t="s">
        <v>2109</v>
      </c>
      <c r="G104" s="6">
        <v>600.0</v>
      </c>
      <c r="H104" s="79">
        <v>0.06</v>
      </c>
    </row>
    <row r="105">
      <c r="A105" s="6">
        <v>36.0</v>
      </c>
      <c r="B105" s="50" t="str">
        <f>IFERROR(VLOOKUP($A105,EVENTO!$A$2:$C$4999,2,FALSE),"")</f>
        <v>CADASTRO</v>
      </c>
      <c r="C105" s="50" t="str">
        <f>IFERROR(VLOOKUP($A105,EVENTO!$A$2:$C$4999,3,FALSE),"")</f>
        <v>TRE RJ</v>
      </c>
      <c r="D105" s="6" t="s">
        <v>1397</v>
      </c>
      <c r="E105" s="112" t="s">
        <v>2120</v>
      </c>
      <c r="F105" s="9" t="s">
        <v>2109</v>
      </c>
      <c r="G105" s="6">
        <v>200.0</v>
      </c>
      <c r="H105" s="79">
        <v>0.19</v>
      </c>
    </row>
    <row r="106">
      <c r="A106" s="6">
        <v>36.0</v>
      </c>
      <c r="B106" s="50" t="str">
        <f>IFERROR(VLOOKUP($A106,EVENTO!$A$2:$C$4999,2,FALSE),"")</f>
        <v>CADASTRO</v>
      </c>
      <c r="C106" s="50" t="str">
        <f>IFERROR(VLOOKUP($A106,EVENTO!$A$2:$C$4999,3,FALSE),"")</f>
        <v>TRE RJ</v>
      </c>
      <c r="D106" s="6" t="s">
        <v>1399</v>
      </c>
      <c r="E106" s="112" t="s">
        <v>2121</v>
      </c>
      <c r="F106" s="9" t="s">
        <v>2109</v>
      </c>
      <c r="G106" s="6">
        <v>19200.0</v>
      </c>
      <c r="H106" s="79">
        <v>0.05</v>
      </c>
    </row>
    <row r="107">
      <c r="A107" s="6">
        <v>36.0</v>
      </c>
      <c r="B107" s="50" t="str">
        <f>IFERROR(VLOOKUP($A107,EVENTO!$A$2:$C$4999,2,FALSE),"")</f>
        <v>CADASTRO</v>
      </c>
      <c r="C107" s="50" t="str">
        <f>IFERROR(VLOOKUP($A107,EVENTO!$A$2:$C$4999,3,FALSE),"")</f>
        <v>TRE RJ</v>
      </c>
      <c r="D107" s="6" t="s">
        <v>1400</v>
      </c>
      <c r="E107" s="112" t="s">
        <v>2122</v>
      </c>
      <c r="F107" s="9" t="s">
        <v>2109</v>
      </c>
      <c r="G107" s="6">
        <v>50.0</v>
      </c>
      <c r="H107" s="79">
        <v>1.8</v>
      </c>
    </row>
    <row r="108">
      <c r="A108" s="6">
        <v>37.0</v>
      </c>
      <c r="B108" s="50" t="str">
        <f>IFERROR(VLOOKUP($A108,EVENTO!$A$2:$C$4999,2,FALSE),"")</f>
        <v>CADASTRO</v>
      </c>
      <c r="C108" s="50" t="str">
        <f>IFERROR(VLOOKUP($A108,EVENTO!$A$2:$C$4999,3,FALSE),"")</f>
        <v>DELEGACIA DA CAPITANIA DE SÃO FRANCISCO DO SUL </v>
      </c>
      <c r="D108" s="6" t="s">
        <v>1380</v>
      </c>
      <c r="E108" s="112" t="s">
        <v>2108</v>
      </c>
      <c r="F108" s="9" t="s">
        <v>2114</v>
      </c>
      <c r="G108" s="6">
        <v>48000.0</v>
      </c>
      <c r="H108" s="79">
        <v>0.1538</v>
      </c>
    </row>
    <row r="109">
      <c r="A109" s="6">
        <v>37.0</v>
      </c>
      <c r="B109" s="50" t="str">
        <f>IFERROR(VLOOKUP($A109,EVENTO!$A$2:$C$4999,2,FALSE),"")</f>
        <v>CADASTRO</v>
      </c>
      <c r="C109" s="50" t="str">
        <f>IFERROR(VLOOKUP($A109,EVENTO!$A$2:$C$4999,3,FALSE),"")</f>
        <v>DELEGACIA DA CAPITANIA DE SÃO FRANCISCO DO SUL </v>
      </c>
      <c r="D109" s="6" t="s">
        <v>1380</v>
      </c>
      <c r="E109" s="112" t="s">
        <v>2108</v>
      </c>
      <c r="F109" s="9" t="s">
        <v>2115</v>
      </c>
      <c r="G109" s="6">
        <v>48000.0</v>
      </c>
      <c r="H109" s="79">
        <v>0.1329</v>
      </c>
    </row>
    <row r="110">
      <c r="A110" s="6">
        <v>37.0</v>
      </c>
      <c r="B110" s="50" t="str">
        <f>IFERROR(VLOOKUP($A110,EVENTO!$A$2:$C$4999,2,FALSE),"")</f>
        <v>CADASTRO</v>
      </c>
      <c r="C110" s="50" t="str">
        <f>IFERROR(VLOOKUP($A110,EVENTO!$A$2:$C$4999,3,FALSE),"")</f>
        <v>DELEGACIA DA CAPITANIA DE SÃO FRANCISCO DO SUL </v>
      </c>
      <c r="D110" s="6" t="s">
        <v>1382</v>
      </c>
      <c r="E110" s="112" t="s">
        <v>2111</v>
      </c>
      <c r="F110" s="9" t="s">
        <v>2114</v>
      </c>
      <c r="G110" s="6">
        <v>12000.0</v>
      </c>
      <c r="H110" s="79">
        <v>0.7668</v>
      </c>
    </row>
    <row r="111">
      <c r="A111" s="6">
        <v>37.0</v>
      </c>
      <c r="B111" s="50" t="str">
        <f>IFERROR(VLOOKUP($A111,EVENTO!$A$2:$C$4999,2,FALSE),"")</f>
        <v>CADASTRO</v>
      </c>
      <c r="C111" s="50" t="str">
        <f>IFERROR(VLOOKUP($A111,EVENTO!$A$2:$C$4999,3,FALSE),"")</f>
        <v>DELEGACIA DA CAPITANIA DE SÃO FRANCISCO DO SUL </v>
      </c>
      <c r="D111" s="6" t="s">
        <v>1382</v>
      </c>
      <c r="E111" s="112" t="s">
        <v>2111</v>
      </c>
      <c r="F111" s="9" t="s">
        <v>2115</v>
      </c>
      <c r="G111" s="6">
        <v>12000.0</v>
      </c>
      <c r="H111" s="79">
        <v>0.4556</v>
      </c>
    </row>
    <row r="112">
      <c r="A112" s="6">
        <v>38.0</v>
      </c>
      <c r="B112" s="50" t="str">
        <f>IFERROR(VLOOKUP($A112,EVENTO!$A$2:$C$4999,2,FALSE),"")</f>
        <v>CADASTRO</v>
      </c>
      <c r="C112" s="50" t="str">
        <f>IFERROR(VLOOKUP($A112,EVENTO!$A$2:$C$4999,3,FALSE),"")</f>
        <v>DELEGACIA DA CAPITANIA DOS PORTOS EM ITAJAÍ </v>
      </c>
      <c r="D112" s="6" t="s">
        <v>1380</v>
      </c>
      <c r="E112" s="112" t="s">
        <v>2108</v>
      </c>
      <c r="F112" s="9" t="s">
        <v>2116</v>
      </c>
      <c r="G112" s="6">
        <v>1440000.0</v>
      </c>
      <c r="H112" s="79">
        <v>0.1538</v>
      </c>
    </row>
    <row r="113">
      <c r="A113" s="6">
        <v>38.0</v>
      </c>
      <c r="B113" s="50" t="str">
        <f>IFERROR(VLOOKUP($A113,EVENTO!$A$2:$C$4999,2,FALSE),"")</f>
        <v>CADASTRO</v>
      </c>
      <c r="C113" s="50" t="str">
        <f>IFERROR(VLOOKUP($A113,EVENTO!$A$2:$C$4999,3,FALSE),"")</f>
        <v>DELEGACIA DA CAPITANIA DOS PORTOS EM ITAJAÍ </v>
      </c>
      <c r="D113" s="6" t="s">
        <v>1382</v>
      </c>
      <c r="E113" s="112" t="s">
        <v>2111</v>
      </c>
      <c r="F113" s="9" t="s">
        <v>2123</v>
      </c>
      <c r="G113" s="6">
        <v>864000.0</v>
      </c>
      <c r="H113" s="79">
        <v>0.7668</v>
      </c>
    </row>
    <row r="114">
      <c r="A114" s="6">
        <v>39.0</v>
      </c>
      <c r="B114" s="50" t="str">
        <f>IFERROR(VLOOKUP($A114,EVENTO!$A$2:$C$4999,2,FALSE),"")</f>
        <v>CADASTRO</v>
      </c>
      <c r="C114" s="50" t="str">
        <f>IFERROR(VLOOKUP($A114,EVENTO!$A$2:$C$4999,3,FALSE),"")</f>
        <v>SUPERINTENDÊNCIA FEDERAL DE AGRICULTURA E PECUARIA NO ESTADO DE SANTA CATARINA - SFA-SC</v>
      </c>
      <c r="D114" s="6" t="s">
        <v>1380</v>
      </c>
      <c r="E114" s="112" t="s">
        <v>2108</v>
      </c>
      <c r="F114" s="9" t="s">
        <v>2116</v>
      </c>
      <c r="G114" s="6">
        <v>7200.0</v>
      </c>
      <c r="H114" s="79">
        <v>0.1748</v>
      </c>
    </row>
    <row r="115">
      <c r="A115" s="6">
        <v>39.0</v>
      </c>
      <c r="B115" s="50" t="str">
        <f>IFERROR(VLOOKUP($A115,EVENTO!$A$2:$C$4999,2,FALSE),"")</f>
        <v>CADASTRO</v>
      </c>
      <c r="C115" s="50" t="str">
        <f>IFERROR(VLOOKUP($A115,EVENTO!$A$2:$C$4999,3,FALSE),"")</f>
        <v>SUPERINTENDÊNCIA FEDERAL DE AGRICULTURA E PECUARIA NO ESTADO DE SANTA CATARINA - SFA-SC</v>
      </c>
      <c r="D115" s="6" t="s">
        <v>1380</v>
      </c>
      <c r="E115" s="112" t="s">
        <v>2108</v>
      </c>
      <c r="F115" s="9" t="s">
        <v>2117</v>
      </c>
      <c r="G115" s="6">
        <v>4800.0</v>
      </c>
      <c r="H115" s="79">
        <v>0.1511</v>
      </c>
    </row>
    <row r="116">
      <c r="A116" s="6">
        <v>39.0</v>
      </c>
      <c r="B116" s="50" t="str">
        <f>IFERROR(VLOOKUP($A116,EVENTO!$A$2:$C$4999,2,FALSE),"")</f>
        <v>CADASTRO</v>
      </c>
      <c r="C116" s="50" t="str">
        <f>IFERROR(VLOOKUP($A116,EVENTO!$A$2:$C$4999,3,FALSE),"")</f>
        <v>SUPERINTENDÊNCIA FEDERAL DE AGRICULTURA E PECUARIA NO ESTADO DE SANTA CATARINA - SFA-SC</v>
      </c>
      <c r="D116" s="6" t="s">
        <v>1380</v>
      </c>
      <c r="E116" s="112" t="s">
        <v>2108</v>
      </c>
      <c r="F116" s="9" t="s">
        <v>2124</v>
      </c>
      <c r="G116" s="6">
        <v>30000.0</v>
      </c>
      <c r="H116" s="79">
        <v>0.1748</v>
      </c>
    </row>
    <row r="117">
      <c r="A117" s="6">
        <v>39.0</v>
      </c>
      <c r="B117" s="50" t="str">
        <f>IFERROR(VLOOKUP($A117,EVENTO!$A$2:$C$4999,2,FALSE),"")</f>
        <v>CADASTRO</v>
      </c>
      <c r="C117" s="50" t="str">
        <f>IFERROR(VLOOKUP($A117,EVENTO!$A$2:$C$4999,3,FALSE),"")</f>
        <v>SUPERINTENDÊNCIA FEDERAL DE AGRICULTURA E PECUARIA NO ESTADO DE SANTA CATARINA - SFA-SC</v>
      </c>
      <c r="D117" s="6" t="s">
        <v>1380</v>
      </c>
      <c r="E117" s="112" t="s">
        <v>2108</v>
      </c>
      <c r="F117" s="9" t="s">
        <v>2125</v>
      </c>
      <c r="G117" s="6">
        <v>20000.0</v>
      </c>
      <c r="H117" s="79">
        <v>0.1511</v>
      </c>
    </row>
    <row r="118">
      <c r="A118" s="6">
        <v>39.0</v>
      </c>
      <c r="B118" s="50" t="str">
        <f>IFERROR(VLOOKUP($A118,EVENTO!$A$2:$C$4999,2,FALSE),"")</f>
        <v>CADASTRO</v>
      </c>
      <c r="C118" s="50" t="str">
        <f>IFERROR(VLOOKUP($A118,EVENTO!$A$2:$C$4999,3,FALSE),"")</f>
        <v>SUPERINTENDÊNCIA FEDERAL DE AGRICULTURA E PECUARIA NO ESTADO DE SANTA CATARINA - SFA-SC</v>
      </c>
      <c r="D118" s="6" t="s">
        <v>1382</v>
      </c>
      <c r="E118" s="112" t="s">
        <v>2111</v>
      </c>
      <c r="F118" s="9" t="s">
        <v>2114</v>
      </c>
      <c r="G118" s="6">
        <v>1200.0</v>
      </c>
      <c r="H118" s="79">
        <v>0.8714</v>
      </c>
    </row>
    <row r="119">
      <c r="A119" s="6">
        <v>39.0</v>
      </c>
      <c r="B119" s="50" t="str">
        <f>IFERROR(VLOOKUP($A119,EVENTO!$A$2:$C$4999,2,FALSE),"")</f>
        <v>CADASTRO</v>
      </c>
      <c r="C119" s="50" t="str">
        <f>IFERROR(VLOOKUP($A119,EVENTO!$A$2:$C$4999,3,FALSE),"")</f>
        <v>SUPERINTENDÊNCIA FEDERAL DE AGRICULTURA E PECUARIA NO ESTADO DE SANTA CATARINA - SFA-SC</v>
      </c>
      <c r="D119" s="6" t="s">
        <v>1382</v>
      </c>
      <c r="E119" s="112" t="s">
        <v>2111</v>
      </c>
      <c r="F119" s="9" t="s">
        <v>2126</v>
      </c>
      <c r="G119" s="6">
        <v>800.0</v>
      </c>
      <c r="H119" s="79">
        <v>0.5178</v>
      </c>
    </row>
    <row r="120">
      <c r="A120" s="6">
        <v>40.0</v>
      </c>
      <c r="B120" s="50" t="str">
        <f>IFERROR(VLOOKUP($A120,EVENTO!$A$2:$C$4999,2,FALSE),"")</f>
        <v>CADASTRO</v>
      </c>
      <c r="C120" s="50" t="str">
        <f>IFERROR(VLOOKUP($A120,EVENTO!$A$2:$C$4999,3,FALSE),"")</f>
        <v>UFSC</v>
      </c>
      <c r="D120" s="6" t="s">
        <v>1380</v>
      </c>
      <c r="E120" s="112" t="s">
        <v>2108</v>
      </c>
      <c r="F120" s="9" t="s">
        <v>2114</v>
      </c>
      <c r="G120" s="6">
        <v>1256640.0</v>
      </c>
      <c r="H120" s="79">
        <v>0.1538</v>
      </c>
    </row>
    <row r="121">
      <c r="A121" s="6">
        <v>40.0</v>
      </c>
      <c r="B121" s="50" t="str">
        <f>IFERROR(VLOOKUP($A121,EVENTO!$A$2:$C$4999,2,FALSE),"")</f>
        <v>CADASTRO</v>
      </c>
      <c r="C121" s="50" t="str">
        <f>IFERROR(VLOOKUP($A121,EVENTO!$A$2:$C$4999,3,FALSE),"")</f>
        <v>UFSC</v>
      </c>
      <c r="D121" s="6" t="s">
        <v>1380</v>
      </c>
      <c r="E121" s="112" t="s">
        <v>2108</v>
      </c>
      <c r="F121" s="9" t="s">
        <v>2126</v>
      </c>
      <c r="G121" s="6">
        <v>840480.0</v>
      </c>
      <c r="H121" s="79">
        <v>0.1329</v>
      </c>
    </row>
    <row r="122">
      <c r="A122" s="6">
        <v>40.0</v>
      </c>
      <c r="B122" s="50" t="str">
        <f>IFERROR(VLOOKUP($A122,EVENTO!$A$2:$C$4999,2,FALSE),"")</f>
        <v>CADASTRO</v>
      </c>
      <c r="C122" s="50" t="str">
        <f>IFERROR(VLOOKUP($A122,EVENTO!$A$2:$C$4999,3,FALSE),"")</f>
        <v>UFSC</v>
      </c>
      <c r="D122" s="6" t="s">
        <v>1380</v>
      </c>
      <c r="E122" s="112" t="s">
        <v>2108</v>
      </c>
      <c r="F122" s="9" t="s">
        <v>2116</v>
      </c>
      <c r="G122" s="6">
        <v>8377200.0</v>
      </c>
      <c r="H122" s="79">
        <v>0.1538</v>
      </c>
    </row>
    <row r="123">
      <c r="A123" s="6">
        <v>40.0</v>
      </c>
      <c r="B123" s="50" t="str">
        <f>IFERROR(VLOOKUP($A123,EVENTO!$A$2:$C$4999,2,FALSE),"")</f>
        <v>CADASTRO</v>
      </c>
      <c r="C123" s="50" t="str">
        <f>IFERROR(VLOOKUP($A123,EVENTO!$A$2:$C$4999,3,FALSE),"")</f>
        <v>UFSC</v>
      </c>
      <c r="D123" s="6" t="s">
        <v>1380</v>
      </c>
      <c r="E123" s="112" t="s">
        <v>2108</v>
      </c>
      <c r="F123" s="9" t="s">
        <v>2117</v>
      </c>
      <c r="G123" s="6">
        <v>5578560.0</v>
      </c>
      <c r="H123" s="79">
        <v>0.1329</v>
      </c>
    </row>
    <row r="124">
      <c r="A124" s="6">
        <v>40.0</v>
      </c>
      <c r="B124" s="50" t="str">
        <f>IFERROR(VLOOKUP($A124,EVENTO!$A$2:$C$4999,2,FALSE),"")</f>
        <v>CADASTRO</v>
      </c>
      <c r="C124" s="50" t="str">
        <f>IFERROR(VLOOKUP($A124,EVENTO!$A$2:$C$4999,3,FALSE),"")</f>
        <v>UFSC</v>
      </c>
      <c r="D124" s="6" t="s">
        <v>1380</v>
      </c>
      <c r="E124" s="112" t="s">
        <v>2108</v>
      </c>
      <c r="F124" s="9" t="s">
        <v>2124</v>
      </c>
      <c r="G124" s="6">
        <v>2516640.0</v>
      </c>
      <c r="H124" s="79">
        <v>0.1538</v>
      </c>
    </row>
    <row r="125">
      <c r="A125" s="6">
        <v>40.0</v>
      </c>
      <c r="B125" s="50" t="str">
        <f>IFERROR(VLOOKUP($A125,EVENTO!$A$2:$C$4999,2,FALSE),"")</f>
        <v>CADASTRO</v>
      </c>
      <c r="C125" s="50" t="str">
        <f>IFERROR(VLOOKUP($A125,EVENTO!$A$2:$C$4999,3,FALSE),"")</f>
        <v>UFSC</v>
      </c>
      <c r="D125" s="6" t="s">
        <v>1380</v>
      </c>
      <c r="E125" s="112" t="s">
        <v>2108</v>
      </c>
      <c r="F125" s="9" t="s">
        <v>2125</v>
      </c>
      <c r="G125" s="6">
        <v>1678080.0</v>
      </c>
      <c r="H125" s="79">
        <v>0.1329</v>
      </c>
    </row>
    <row r="126">
      <c r="A126" s="6">
        <v>40.0</v>
      </c>
      <c r="B126" s="50" t="str">
        <f>IFERROR(VLOOKUP($A126,EVENTO!$A$2:$C$4999,2,FALSE),"")</f>
        <v>CADASTRO</v>
      </c>
      <c r="C126" s="50" t="str">
        <f>IFERROR(VLOOKUP($A126,EVENTO!$A$2:$C$4999,3,FALSE),"")</f>
        <v>UFSC</v>
      </c>
      <c r="D126" s="6" t="s">
        <v>1409</v>
      </c>
      <c r="E126" s="112" t="s">
        <v>2127</v>
      </c>
      <c r="F126" s="9" t="s">
        <v>2124</v>
      </c>
      <c r="G126" s="6">
        <v>754992.0</v>
      </c>
      <c r="H126" s="79">
        <v>0.1538</v>
      </c>
    </row>
    <row r="127">
      <c r="A127" s="6">
        <v>40.0</v>
      </c>
      <c r="B127" s="50" t="str">
        <f>IFERROR(VLOOKUP($A127,EVENTO!$A$2:$C$4999,2,FALSE),"")</f>
        <v>CADASTRO</v>
      </c>
      <c r="C127" s="50" t="str">
        <f>IFERROR(VLOOKUP($A127,EVENTO!$A$2:$C$4999,3,FALSE),"")</f>
        <v>UFSC</v>
      </c>
      <c r="D127" s="6" t="s">
        <v>1409</v>
      </c>
      <c r="E127" s="112" t="s">
        <v>2127</v>
      </c>
      <c r="F127" s="9" t="s">
        <v>2125</v>
      </c>
      <c r="G127" s="6">
        <v>503424.0</v>
      </c>
      <c r="H127" s="79">
        <v>0.1329</v>
      </c>
    </row>
    <row r="128">
      <c r="A128" s="6">
        <v>40.0</v>
      </c>
      <c r="B128" s="50" t="str">
        <f>IFERROR(VLOOKUP($A128,EVENTO!$A$2:$C$4999,2,FALSE),"")</f>
        <v>CADASTRO</v>
      </c>
      <c r="C128" s="50" t="str">
        <f>IFERROR(VLOOKUP($A128,EVENTO!$A$2:$C$4999,3,FALSE),"")</f>
        <v>UFSC</v>
      </c>
      <c r="D128" s="6" t="s">
        <v>1382</v>
      </c>
      <c r="E128" s="112" t="s">
        <v>2111</v>
      </c>
      <c r="F128" s="9" t="s">
        <v>2114</v>
      </c>
      <c r="G128" s="6">
        <v>68400.0</v>
      </c>
      <c r="H128" s="79">
        <v>0.7668</v>
      </c>
    </row>
    <row r="129">
      <c r="A129" s="6">
        <v>40.0</v>
      </c>
      <c r="B129" s="50" t="str">
        <f>IFERROR(VLOOKUP($A129,EVENTO!$A$2:$C$4999,2,FALSE),"")</f>
        <v>CADASTRO</v>
      </c>
      <c r="C129" s="50" t="str">
        <f>IFERROR(VLOOKUP($A129,EVENTO!$A$2:$C$4999,3,FALSE),"")</f>
        <v>UFSC</v>
      </c>
      <c r="D129" s="6" t="s">
        <v>1382</v>
      </c>
      <c r="E129" s="112" t="s">
        <v>2111</v>
      </c>
      <c r="F129" s="9" t="s">
        <v>2126</v>
      </c>
      <c r="G129" s="6">
        <v>46080.0</v>
      </c>
      <c r="H129" s="79">
        <v>0.4556</v>
      </c>
    </row>
    <row r="130">
      <c r="A130" s="6">
        <v>40.0</v>
      </c>
      <c r="B130" s="50" t="str">
        <f>IFERROR(VLOOKUP($A130,EVENTO!$A$2:$C$4999,2,FALSE),"")</f>
        <v>CADASTRO</v>
      </c>
      <c r="C130" s="50" t="str">
        <f>IFERROR(VLOOKUP($A130,EVENTO!$A$2:$C$4999,3,FALSE),"")</f>
        <v>UFSC</v>
      </c>
      <c r="D130" s="6" t="s">
        <v>1382</v>
      </c>
      <c r="E130" s="112" t="s">
        <v>2111</v>
      </c>
      <c r="F130" s="9" t="s">
        <v>2116</v>
      </c>
      <c r="G130" s="6">
        <v>349440.0</v>
      </c>
      <c r="H130" s="79">
        <v>0.7668</v>
      </c>
    </row>
    <row r="131">
      <c r="A131" s="6">
        <v>40.0</v>
      </c>
      <c r="B131" s="50" t="str">
        <f>IFERROR(VLOOKUP($A131,EVENTO!$A$2:$C$4999,2,FALSE),"")</f>
        <v>CADASTRO</v>
      </c>
      <c r="C131" s="50" t="str">
        <f>IFERROR(VLOOKUP($A131,EVENTO!$A$2:$C$4999,3,FALSE),"")</f>
        <v>UFSC</v>
      </c>
      <c r="D131" s="6" t="s">
        <v>1382</v>
      </c>
      <c r="E131" s="112" t="s">
        <v>2111</v>
      </c>
      <c r="F131" s="9" t="s">
        <v>2117</v>
      </c>
      <c r="G131" s="6">
        <v>233376.0</v>
      </c>
      <c r="H131" s="79">
        <v>0.4556</v>
      </c>
    </row>
    <row r="132">
      <c r="A132" s="6">
        <v>40.0</v>
      </c>
      <c r="B132" s="50" t="str">
        <f>IFERROR(VLOOKUP($A132,EVENTO!$A$2:$C$4999,2,FALSE),"")</f>
        <v>CADASTRO</v>
      </c>
      <c r="C132" s="50" t="str">
        <f>IFERROR(VLOOKUP($A132,EVENTO!$A$2:$C$4999,3,FALSE),"")</f>
        <v>UFSC</v>
      </c>
      <c r="D132" s="6" t="s">
        <v>1414</v>
      </c>
      <c r="E132" s="112" t="s">
        <v>2128</v>
      </c>
      <c r="F132" s="9" t="s">
        <v>2114</v>
      </c>
      <c r="G132" s="6">
        <v>61200.0</v>
      </c>
      <c r="H132" s="79">
        <v>1.0071</v>
      </c>
    </row>
    <row r="133">
      <c r="A133" s="6">
        <v>40.0</v>
      </c>
      <c r="B133" s="50" t="str">
        <f>IFERROR(VLOOKUP($A133,EVENTO!$A$2:$C$4999,2,FALSE),"")</f>
        <v>CADASTRO</v>
      </c>
      <c r="C133" s="50" t="str">
        <f>IFERROR(VLOOKUP($A133,EVENTO!$A$2:$C$4999,3,FALSE),"")</f>
        <v>UFSC</v>
      </c>
      <c r="D133" s="6" t="s">
        <v>1414</v>
      </c>
      <c r="E133" s="112" t="s">
        <v>2128</v>
      </c>
      <c r="F133" s="9" t="s">
        <v>2126</v>
      </c>
      <c r="G133" s="6">
        <v>41040.0</v>
      </c>
      <c r="H133" s="79">
        <v>0.6026</v>
      </c>
    </row>
    <row r="134">
      <c r="A134" s="6">
        <v>40.0</v>
      </c>
      <c r="B134" s="50" t="str">
        <f>IFERROR(VLOOKUP($A134,EVENTO!$A$2:$C$4999,2,FALSE),"")</f>
        <v>CADASTRO</v>
      </c>
      <c r="C134" s="50" t="str">
        <f>IFERROR(VLOOKUP($A134,EVENTO!$A$2:$C$4999,3,FALSE),"")</f>
        <v>UFSC</v>
      </c>
      <c r="D134" s="6" t="s">
        <v>1412</v>
      </c>
      <c r="E134" s="112" t="s">
        <v>2128</v>
      </c>
      <c r="F134" s="9" t="s">
        <v>2116</v>
      </c>
      <c r="G134" s="6">
        <v>591360.0</v>
      </c>
      <c r="H134" s="79">
        <v>1.0071</v>
      </c>
    </row>
    <row r="135">
      <c r="A135" s="6">
        <v>40.0</v>
      </c>
      <c r="B135" s="50" t="str">
        <f>IFERROR(VLOOKUP($A135,EVENTO!$A$2:$C$4999,2,FALSE),"")</f>
        <v>CADASTRO</v>
      </c>
      <c r="C135" s="50" t="str">
        <f>IFERROR(VLOOKUP($A135,EVENTO!$A$2:$C$4999,3,FALSE),"")</f>
        <v>UFSC</v>
      </c>
      <c r="D135" s="6" t="s">
        <v>1412</v>
      </c>
      <c r="E135" s="112" t="s">
        <v>2128</v>
      </c>
      <c r="F135" s="9" t="s">
        <v>2117</v>
      </c>
      <c r="G135" s="6">
        <v>393984.0</v>
      </c>
      <c r="H135" s="79">
        <v>0.6026</v>
      </c>
    </row>
    <row r="136">
      <c r="A136" s="6">
        <v>40.0</v>
      </c>
      <c r="B136" s="50" t="str">
        <f>IFERROR(VLOOKUP($A136,EVENTO!$A$2:$C$4999,2,FALSE),"")</f>
        <v>CADASTRO</v>
      </c>
      <c r="C136" s="50" t="str">
        <f>IFERROR(VLOOKUP($A136,EVENTO!$A$2:$C$4999,3,FALSE),"")</f>
        <v>UFSC</v>
      </c>
      <c r="D136" s="6" t="s">
        <v>1412</v>
      </c>
      <c r="E136" s="112" t="s">
        <v>2128</v>
      </c>
      <c r="F136" s="9" t="s">
        <v>2124</v>
      </c>
      <c r="G136" s="6">
        <v>141600.0</v>
      </c>
      <c r="H136" s="79">
        <v>1.0071</v>
      </c>
    </row>
    <row r="137">
      <c r="A137" s="6">
        <v>40.0</v>
      </c>
      <c r="B137" s="50" t="str">
        <f>IFERROR(VLOOKUP($A137,EVENTO!$A$2:$C$4999,2,FALSE),"")</f>
        <v>CADASTRO</v>
      </c>
      <c r="C137" s="50" t="str">
        <f>IFERROR(VLOOKUP($A137,EVENTO!$A$2:$C$4999,3,FALSE),"")</f>
        <v>UFSC</v>
      </c>
      <c r="D137" s="6" t="s">
        <v>1412</v>
      </c>
      <c r="E137" s="112" t="s">
        <v>2128</v>
      </c>
      <c r="F137" s="9" t="s">
        <v>2125</v>
      </c>
      <c r="G137" s="6">
        <v>94320.0</v>
      </c>
      <c r="H137" s="79">
        <v>0.6026</v>
      </c>
    </row>
    <row r="138">
      <c r="A138" s="6">
        <v>40.0</v>
      </c>
      <c r="B138" s="50" t="str">
        <f>IFERROR(VLOOKUP($A138,EVENTO!$A$2:$C$4999,2,FALSE),"")</f>
        <v>CADASTRO</v>
      </c>
      <c r="C138" s="50" t="str">
        <f>IFERROR(VLOOKUP($A138,EVENTO!$A$2:$C$4999,3,FALSE),"")</f>
        <v>UFSC</v>
      </c>
      <c r="D138" s="6" t="s">
        <v>1412</v>
      </c>
      <c r="E138" s="112" t="s">
        <v>2128</v>
      </c>
      <c r="F138" s="9" t="s">
        <v>2124</v>
      </c>
      <c r="G138" s="6">
        <v>56640.0</v>
      </c>
      <c r="H138" s="79">
        <v>1.0071</v>
      </c>
    </row>
    <row r="139">
      <c r="A139" s="6">
        <v>40.0</v>
      </c>
      <c r="B139" s="50" t="str">
        <f>IFERROR(VLOOKUP($A139,EVENTO!$A$2:$C$4999,2,FALSE),"")</f>
        <v>CADASTRO</v>
      </c>
      <c r="C139" s="50" t="str">
        <f>IFERROR(VLOOKUP($A139,EVENTO!$A$2:$C$4999,3,FALSE),"")</f>
        <v>UFSC</v>
      </c>
      <c r="D139" s="6" t="s">
        <v>1412</v>
      </c>
      <c r="E139" s="112" t="s">
        <v>2128</v>
      </c>
      <c r="F139" s="9" t="s">
        <v>2125</v>
      </c>
      <c r="G139" s="6">
        <v>37728.0</v>
      </c>
      <c r="H139" s="79">
        <v>0.6026</v>
      </c>
    </row>
    <row r="140">
      <c r="A140" s="6">
        <v>41.0</v>
      </c>
      <c r="B140" s="50" t="str">
        <f>IFERROR(VLOOKUP($A140,EVENTO!$A$2:$C$4999,2,FALSE),"")</f>
        <v>CADASTRO</v>
      </c>
      <c r="C140" s="50" t="str">
        <f>IFERROR(VLOOKUP($A140,EVENTO!$A$2:$C$4999,3,FALSE),"")</f>
        <v>BASE ADMINISTRATIVA DO QUARTEL-GENERAL DO EXÉRCITO</v>
      </c>
      <c r="D140" s="6" t="s">
        <v>1380</v>
      </c>
      <c r="E140" s="112" t="s">
        <v>2108</v>
      </c>
      <c r="F140" s="9" t="s">
        <v>2109</v>
      </c>
      <c r="G140" s="6">
        <v>420000.0</v>
      </c>
      <c r="H140" s="79">
        <v>0.07</v>
      </c>
    </row>
    <row r="141">
      <c r="A141" s="6">
        <v>41.0</v>
      </c>
      <c r="B141" s="50" t="str">
        <f>IFERROR(VLOOKUP($A141,EVENTO!$A$2:$C$4999,2,FALSE),"")</f>
        <v>CADASTRO</v>
      </c>
      <c r="C141" s="50" t="str">
        <f>IFERROR(VLOOKUP($A141,EVENTO!$A$2:$C$4999,3,FALSE),"")</f>
        <v>BASE ADMINISTRATIVA DO QUARTEL-GENERAL DO EXÉRCITO</v>
      </c>
      <c r="D141" s="6" t="s">
        <v>1380</v>
      </c>
      <c r="E141" s="112" t="s">
        <v>2108</v>
      </c>
      <c r="F141" s="9" t="s">
        <v>2110</v>
      </c>
      <c r="G141" s="6">
        <v>105000.0</v>
      </c>
      <c r="H141" s="79">
        <v>0.03</v>
      </c>
    </row>
    <row r="142">
      <c r="A142" s="6">
        <v>41.0</v>
      </c>
      <c r="B142" s="50" t="str">
        <f>IFERROR(VLOOKUP($A142,EVENTO!$A$2:$C$4999,2,FALSE),"")</f>
        <v>CADASTRO</v>
      </c>
      <c r="C142" s="50" t="str">
        <f>IFERROR(VLOOKUP($A142,EVENTO!$A$2:$C$4999,3,FALSE),"")</f>
        <v>BASE ADMINISTRATIVA DO QUARTEL-GENERAL DO EXÉRCITO</v>
      </c>
      <c r="D142" s="6" t="s">
        <v>1412</v>
      </c>
      <c r="E142" s="112" t="s">
        <v>2129</v>
      </c>
      <c r="F142" s="9" t="s">
        <v>2109</v>
      </c>
      <c r="G142" s="6">
        <v>13200.0</v>
      </c>
      <c r="H142" s="79">
        <v>0.23</v>
      </c>
    </row>
    <row r="143">
      <c r="A143" s="6">
        <v>41.0</v>
      </c>
      <c r="B143" s="50" t="str">
        <f>IFERROR(VLOOKUP($A143,EVENTO!$A$2:$C$4999,2,FALSE),"")</f>
        <v>CADASTRO</v>
      </c>
      <c r="C143" s="50" t="str">
        <f>IFERROR(VLOOKUP($A143,EVENTO!$A$2:$C$4999,3,FALSE),"")</f>
        <v>BASE ADMINISTRATIVA DO QUARTEL-GENERAL DO EXÉRCITO</v>
      </c>
      <c r="D143" s="6" t="s">
        <v>1412</v>
      </c>
      <c r="E143" s="112" t="s">
        <v>2129</v>
      </c>
      <c r="F143" s="9" t="s">
        <v>2110</v>
      </c>
      <c r="G143" s="6">
        <v>3300.0</v>
      </c>
      <c r="H143" s="79">
        <v>0.1</v>
      </c>
    </row>
    <row r="144">
      <c r="A144" s="6">
        <v>41.0</v>
      </c>
      <c r="B144" s="50" t="str">
        <f>IFERROR(VLOOKUP($A144,EVENTO!$A$2:$C$4999,2,FALSE),"")</f>
        <v>CADASTRO</v>
      </c>
      <c r="C144" s="50" t="str">
        <f>IFERROR(VLOOKUP($A144,EVENTO!$A$2:$C$4999,3,FALSE),"")</f>
        <v>BASE ADMINISTRATIVA DO QUARTEL-GENERAL DO EXÉRCITO</v>
      </c>
      <c r="D144" s="6" t="s">
        <v>1382</v>
      </c>
      <c r="E144" s="112" t="s">
        <v>2111</v>
      </c>
      <c r="F144" s="9" t="s">
        <v>2109</v>
      </c>
      <c r="G144" s="6">
        <v>31200.0</v>
      </c>
      <c r="H144" s="79">
        <v>0.12</v>
      </c>
    </row>
    <row r="145">
      <c r="A145" s="6">
        <v>41.0</v>
      </c>
      <c r="B145" s="50" t="str">
        <f>IFERROR(VLOOKUP($A145,EVENTO!$A$2:$C$4999,2,FALSE),"")</f>
        <v>CADASTRO</v>
      </c>
      <c r="C145" s="50" t="str">
        <f>IFERROR(VLOOKUP($A145,EVENTO!$A$2:$C$4999,3,FALSE),"")</f>
        <v>BASE ADMINISTRATIVA DO QUARTEL-GENERAL DO EXÉRCITO</v>
      </c>
      <c r="D145" s="6" t="s">
        <v>1382</v>
      </c>
      <c r="E145" s="112" t="s">
        <v>2111</v>
      </c>
      <c r="F145" s="9" t="s">
        <v>2110</v>
      </c>
      <c r="G145" s="6">
        <v>7800.0</v>
      </c>
      <c r="H145" s="79">
        <v>0.06</v>
      </c>
    </row>
    <row r="146">
      <c r="A146" s="6">
        <v>42.0</v>
      </c>
      <c r="B146" s="50" t="str">
        <f>IFERROR(VLOOKUP($A146,EVENTO!$A$2:$C$4999,2,FALSE),"")</f>
        <v>CADASTRO</v>
      </c>
      <c r="C146" s="50" t="str">
        <f>IFERROR(VLOOKUP($A146,EVENTO!$A$2:$C$4999,3,FALSE),"")</f>
        <v>MCID</v>
      </c>
      <c r="D146" s="6" t="s">
        <v>1380</v>
      </c>
      <c r="E146" s="112" t="s">
        <v>2108</v>
      </c>
      <c r="F146" s="9" t="s">
        <v>2109</v>
      </c>
      <c r="G146" s="6">
        <v>357061.0</v>
      </c>
      <c r="H146" s="79">
        <v>0.12</v>
      </c>
    </row>
    <row r="147">
      <c r="A147" s="6">
        <v>42.0</v>
      </c>
      <c r="B147" s="50" t="str">
        <f>IFERROR(VLOOKUP($A147,EVENTO!$A$2:$C$4999,2,FALSE),"")</f>
        <v>CADASTRO</v>
      </c>
      <c r="C147" s="50" t="str">
        <f>IFERROR(VLOOKUP($A147,EVENTO!$A$2:$C$4999,3,FALSE),"")</f>
        <v>MCID</v>
      </c>
      <c r="D147" s="6" t="s">
        <v>1380</v>
      </c>
      <c r="E147" s="112" t="s">
        <v>2108</v>
      </c>
      <c r="F147" s="9" t="s">
        <v>2110</v>
      </c>
      <c r="G147" s="6">
        <v>40871.0</v>
      </c>
      <c r="H147" s="79">
        <v>0.04</v>
      </c>
    </row>
    <row r="148">
      <c r="A148" s="6">
        <v>42.0</v>
      </c>
      <c r="B148" s="50" t="str">
        <f>IFERROR(VLOOKUP($A148,EVENTO!$A$2:$C$4999,2,FALSE),"")</f>
        <v>CADASTRO</v>
      </c>
      <c r="C148" s="50" t="str">
        <f>IFERROR(VLOOKUP($A148,EVENTO!$A$2:$C$4999,3,FALSE),"")</f>
        <v>MCID</v>
      </c>
      <c r="D148" s="6" t="s">
        <v>1382</v>
      </c>
      <c r="E148" s="112" t="s">
        <v>2111</v>
      </c>
      <c r="F148" s="9" t="s">
        <v>2109</v>
      </c>
      <c r="G148" s="6">
        <v>41251.0</v>
      </c>
      <c r="H148" s="79">
        <v>0.6</v>
      </c>
    </row>
    <row r="149">
      <c r="A149" s="6">
        <v>42.0</v>
      </c>
      <c r="B149" s="50" t="str">
        <f>IFERROR(VLOOKUP($A149,EVENTO!$A$2:$C$4999,2,FALSE),"")</f>
        <v>CADASTRO</v>
      </c>
      <c r="C149" s="50" t="str">
        <f>IFERROR(VLOOKUP($A149,EVENTO!$A$2:$C$4999,3,FALSE),"")</f>
        <v>MCID</v>
      </c>
      <c r="D149" s="6" t="s">
        <v>1382</v>
      </c>
      <c r="E149" s="112" t="s">
        <v>2111</v>
      </c>
      <c r="F149" s="9" t="s">
        <v>2110</v>
      </c>
      <c r="G149" s="6">
        <v>4444.0</v>
      </c>
      <c r="H149" s="79">
        <v>0.3</v>
      </c>
    </row>
    <row r="150">
      <c r="A150" s="6">
        <v>42.0</v>
      </c>
      <c r="B150" s="50" t="str">
        <f>IFERROR(VLOOKUP($A150,EVENTO!$A$2:$C$4999,2,FALSE),"")</f>
        <v>CADASTRO</v>
      </c>
      <c r="C150" s="50" t="str">
        <f>IFERROR(VLOOKUP($A150,EVENTO!$A$2:$C$4999,3,FALSE),"")</f>
        <v>MCID</v>
      </c>
      <c r="D150" s="6" t="s">
        <v>1412</v>
      </c>
      <c r="E150" s="112" t="s">
        <v>2129</v>
      </c>
      <c r="F150" s="9" t="s">
        <v>2109</v>
      </c>
      <c r="G150" s="6">
        <v>5073.0</v>
      </c>
      <c r="H150" s="79">
        <v>0.75</v>
      </c>
    </row>
    <row r="151">
      <c r="A151" s="6">
        <v>42.0</v>
      </c>
      <c r="B151" s="50" t="str">
        <f>IFERROR(VLOOKUP($A151,EVENTO!$A$2:$C$4999,2,FALSE),"")</f>
        <v>CADASTRO</v>
      </c>
      <c r="C151" s="50" t="str">
        <f>IFERROR(VLOOKUP($A151,EVENTO!$A$2:$C$4999,3,FALSE),"")</f>
        <v>MCID</v>
      </c>
      <c r="D151" s="6" t="s">
        <v>1412</v>
      </c>
      <c r="E151" s="112" t="s">
        <v>2129</v>
      </c>
      <c r="F151" s="9" t="s">
        <v>2110</v>
      </c>
      <c r="G151" s="6">
        <v>120.0</v>
      </c>
      <c r="H151" s="79">
        <v>0.35</v>
      </c>
    </row>
    <row r="152">
      <c r="A152" s="6">
        <v>43.0</v>
      </c>
      <c r="B152" s="50" t="str">
        <f>IFERROR(VLOOKUP($A152,EVENTO!$A$2:$C$4999,2,FALSE),"")</f>
        <v>CADASTRO</v>
      </c>
      <c r="C152" s="50" t="str">
        <f>IFERROR(VLOOKUP($A152,EVENTO!$A$2:$C$4999,3,FALSE),"")</f>
        <v>COTER</v>
      </c>
      <c r="D152" s="6" t="s">
        <v>1380</v>
      </c>
      <c r="E152" s="112" t="s">
        <v>2130</v>
      </c>
      <c r="F152" s="9" t="s">
        <v>2110</v>
      </c>
      <c r="G152" s="6">
        <v>17600.0</v>
      </c>
      <c r="H152" s="79">
        <v>0.03</v>
      </c>
    </row>
    <row r="153">
      <c r="A153" s="6">
        <v>43.0</v>
      </c>
      <c r="B153" s="50" t="str">
        <f>IFERROR(VLOOKUP($A153,EVENTO!$A$2:$C$4999,2,FALSE),"")</f>
        <v>CADASTRO</v>
      </c>
      <c r="C153" s="50" t="str">
        <f>IFERROR(VLOOKUP($A153,EVENTO!$A$2:$C$4999,3,FALSE),"")</f>
        <v>COTER</v>
      </c>
      <c r="D153" s="6" t="s">
        <v>1382</v>
      </c>
      <c r="E153" s="112" t="s">
        <v>2131</v>
      </c>
      <c r="F153" s="9" t="s">
        <v>2110</v>
      </c>
      <c r="G153" s="6">
        <v>3000.0</v>
      </c>
      <c r="H153" s="79">
        <v>0.07</v>
      </c>
    </row>
    <row r="154">
      <c r="A154" s="6">
        <v>45.0</v>
      </c>
      <c r="B154" s="50" t="str">
        <f>IFERROR(VLOOKUP($A154,EVENTO!$A$2:$C$4999,2,FALSE),"")</f>
        <v>CADASTRO</v>
      </c>
      <c r="C154" s="50" t="str">
        <f>IFERROR(VLOOKUP($A154,EVENTO!$A$2:$C$4999,3,FALSE),"")</f>
        <v>CONSELHO FEDERAL DE FARMÁCIA</v>
      </c>
      <c r="D154" s="6" t="s">
        <v>1380</v>
      </c>
      <c r="E154" s="112" t="s">
        <v>2108</v>
      </c>
      <c r="F154" s="9" t="s">
        <v>2109</v>
      </c>
      <c r="G154" s="6">
        <v>10000.0</v>
      </c>
      <c r="H154" s="79">
        <v>0.08</v>
      </c>
    </row>
    <row r="155">
      <c r="A155" s="6">
        <v>45.0</v>
      </c>
      <c r="B155" s="50" t="str">
        <f>IFERROR(VLOOKUP($A155,EVENTO!$A$2:$C$4999,2,FALSE),"")</f>
        <v>CADASTRO</v>
      </c>
      <c r="C155" s="50" t="str">
        <f>IFERROR(VLOOKUP($A155,EVENTO!$A$2:$C$4999,3,FALSE),"")</f>
        <v>CONSELHO FEDERAL DE FARMÁCIA</v>
      </c>
      <c r="D155" s="6" t="s">
        <v>1380</v>
      </c>
      <c r="E155" s="112" t="s">
        <v>2108</v>
      </c>
      <c r="F155" s="9" t="s">
        <v>2110</v>
      </c>
      <c r="G155" s="6">
        <v>500.0</v>
      </c>
      <c r="H155" s="79">
        <v>0.05</v>
      </c>
    </row>
    <row r="156">
      <c r="A156" s="6">
        <v>45.0</v>
      </c>
      <c r="B156" s="50" t="str">
        <f>IFERROR(VLOOKUP($A156,EVENTO!$A$2:$C$4999,2,FALSE),"")</f>
        <v>CADASTRO</v>
      </c>
      <c r="C156" s="50" t="str">
        <f>IFERROR(VLOOKUP($A156,EVENTO!$A$2:$C$4999,3,FALSE),"")</f>
        <v>CONSELHO FEDERAL DE FARMÁCIA</v>
      </c>
      <c r="D156" s="6" t="s">
        <v>1382</v>
      </c>
      <c r="E156" s="112" t="s">
        <v>2111</v>
      </c>
      <c r="F156" s="9" t="s">
        <v>2109</v>
      </c>
      <c r="G156" s="6">
        <v>5000.0</v>
      </c>
      <c r="H156" s="79">
        <v>0.4</v>
      </c>
    </row>
    <row r="157">
      <c r="A157" s="6">
        <v>45.0</v>
      </c>
      <c r="B157" s="50" t="str">
        <f>IFERROR(VLOOKUP($A157,EVENTO!$A$2:$C$4999,2,FALSE),"")</f>
        <v>CADASTRO</v>
      </c>
      <c r="C157" s="50" t="str">
        <f>IFERROR(VLOOKUP($A157,EVENTO!$A$2:$C$4999,3,FALSE),"")</f>
        <v>CONSELHO FEDERAL DE FARMÁCIA</v>
      </c>
      <c r="D157" s="6" t="s">
        <v>1382</v>
      </c>
      <c r="E157" s="112" t="s">
        <v>2111</v>
      </c>
      <c r="F157" s="9" t="s">
        <v>2110</v>
      </c>
      <c r="G157" s="6">
        <v>200.0</v>
      </c>
      <c r="H157" s="79">
        <v>0.25</v>
      </c>
    </row>
    <row r="158">
      <c r="A158" s="6">
        <v>46.0</v>
      </c>
      <c r="B158" s="50" t="str">
        <f>IFERROR(VLOOKUP($A158,EVENTO!$A$2:$C$4999,2,FALSE),"")</f>
        <v>CADASTRO</v>
      </c>
      <c r="C158" s="50" t="str">
        <f>IFERROR(VLOOKUP($A158,EVENTO!$A$2:$C$4999,3,FALSE),"")</f>
        <v>MCTI</v>
      </c>
      <c r="D158" s="6" t="s">
        <v>1380</v>
      </c>
      <c r="E158" s="112" t="s">
        <v>2108</v>
      </c>
      <c r="F158" s="9" t="s">
        <v>2109</v>
      </c>
      <c r="G158" s="6">
        <v>1355952.0</v>
      </c>
      <c r="H158" s="79">
        <v>0.1457</v>
      </c>
    </row>
    <row r="159">
      <c r="A159" s="6">
        <v>46.0</v>
      </c>
      <c r="B159" s="50" t="str">
        <f>IFERROR(VLOOKUP($A159,EVENTO!$A$2:$C$4999,2,FALSE),"")</f>
        <v>CADASTRO</v>
      </c>
      <c r="C159" s="50" t="str">
        <f>IFERROR(VLOOKUP($A159,EVENTO!$A$2:$C$4999,3,FALSE),"")</f>
        <v>MCTI</v>
      </c>
      <c r="D159" s="6" t="s">
        <v>1380</v>
      </c>
      <c r="E159" s="112" t="s">
        <v>2108</v>
      </c>
      <c r="F159" s="9" t="s">
        <v>2110</v>
      </c>
      <c r="G159" s="6">
        <v>903984.0</v>
      </c>
      <c r="H159" s="79">
        <v>0.0511</v>
      </c>
    </row>
    <row r="160">
      <c r="A160" s="6">
        <v>46.0</v>
      </c>
      <c r="B160" s="50" t="str">
        <f>IFERROR(VLOOKUP($A160,EVENTO!$A$2:$C$4999,2,FALSE),"")</f>
        <v>CADASTRO</v>
      </c>
      <c r="C160" s="50" t="str">
        <f>IFERROR(VLOOKUP($A160,EVENTO!$A$2:$C$4999,3,FALSE),"")</f>
        <v>MCTI</v>
      </c>
      <c r="D160" s="6" t="s">
        <v>1382</v>
      </c>
      <c r="E160" s="112" t="s">
        <v>2111</v>
      </c>
      <c r="F160" s="9" t="s">
        <v>2109</v>
      </c>
      <c r="G160" s="6">
        <v>645312.0</v>
      </c>
      <c r="H160" s="79">
        <v>0.3</v>
      </c>
    </row>
    <row r="161">
      <c r="A161" s="6">
        <v>46.0</v>
      </c>
      <c r="B161" s="50" t="str">
        <f>IFERROR(VLOOKUP($A161,EVENTO!$A$2:$C$4999,2,FALSE),"")</f>
        <v>CADASTRO</v>
      </c>
      <c r="C161" s="50" t="str">
        <f>IFERROR(VLOOKUP($A161,EVENTO!$A$2:$C$4999,3,FALSE),"")</f>
        <v>MCTI</v>
      </c>
      <c r="D161" s="6" t="s">
        <v>1382</v>
      </c>
      <c r="E161" s="112" t="s">
        <v>2111</v>
      </c>
      <c r="F161" s="9" t="s">
        <v>2110</v>
      </c>
      <c r="G161" s="6">
        <v>430176.0</v>
      </c>
      <c r="H161" s="79">
        <v>0.22</v>
      </c>
    </row>
    <row r="162">
      <c r="A162" s="6">
        <v>46.0</v>
      </c>
      <c r="B162" s="50" t="str">
        <f>IFERROR(VLOOKUP($A162,EVENTO!$A$2:$C$4999,2,FALSE),"")</f>
        <v>CADASTRO</v>
      </c>
      <c r="C162" s="50" t="str">
        <f>IFERROR(VLOOKUP($A162,EVENTO!$A$2:$C$4999,3,FALSE),"")</f>
        <v>MCTI</v>
      </c>
      <c r="D162" s="6" t="s">
        <v>1431</v>
      </c>
      <c r="E162" s="112" t="s">
        <v>2112</v>
      </c>
      <c r="F162" s="9" t="s">
        <v>2109</v>
      </c>
      <c r="G162" s="6">
        <v>357456.0</v>
      </c>
      <c r="H162" s="79">
        <v>0.1344</v>
      </c>
    </row>
    <row r="163">
      <c r="A163" s="6">
        <v>46.0</v>
      </c>
      <c r="B163" s="50" t="str">
        <f>IFERROR(VLOOKUP($A163,EVENTO!$A$2:$C$4999,2,FALSE),"")</f>
        <v>CADASTRO</v>
      </c>
      <c r="C163" s="50" t="str">
        <f>IFERROR(VLOOKUP($A163,EVENTO!$A$2:$C$4999,3,FALSE),"")</f>
        <v>MCTI</v>
      </c>
      <c r="D163" s="6" t="s">
        <v>1431</v>
      </c>
      <c r="E163" s="112" t="s">
        <v>2112</v>
      </c>
      <c r="F163" s="9" t="s">
        <v>2110</v>
      </c>
      <c r="G163" s="6">
        <v>238320.0</v>
      </c>
      <c r="H163" s="79">
        <v>0.12</v>
      </c>
    </row>
    <row r="164">
      <c r="A164" s="6">
        <v>46.0</v>
      </c>
      <c r="B164" s="50" t="str">
        <f>IFERROR(VLOOKUP($A164,EVENTO!$A$2:$C$4999,2,FALSE),"")</f>
        <v>CADASTRO</v>
      </c>
      <c r="C164" s="50" t="str">
        <f>IFERROR(VLOOKUP($A164,EVENTO!$A$2:$C$4999,3,FALSE),"")</f>
        <v>MCTI</v>
      </c>
      <c r="D164" s="6" t="s">
        <v>1431</v>
      </c>
      <c r="E164" s="112" t="s">
        <v>2129</v>
      </c>
      <c r="F164" s="9" t="s">
        <v>2109</v>
      </c>
      <c r="G164" s="6">
        <v>717600.0</v>
      </c>
      <c r="H164" s="79">
        <v>0.47</v>
      </c>
    </row>
    <row r="165">
      <c r="A165" s="6">
        <v>46.0</v>
      </c>
      <c r="B165" s="50" t="str">
        <f>IFERROR(VLOOKUP($A165,EVENTO!$A$2:$C$4999,2,FALSE),"")</f>
        <v>CADASTRO</v>
      </c>
      <c r="C165" s="50" t="str">
        <f>IFERROR(VLOOKUP($A165,EVENTO!$A$2:$C$4999,3,FALSE),"")</f>
        <v>MCTI</v>
      </c>
      <c r="D165" s="6" t="s">
        <v>1431</v>
      </c>
      <c r="E165" s="112" t="s">
        <v>2129</v>
      </c>
      <c r="F165" s="9" t="s">
        <v>2110</v>
      </c>
      <c r="G165" s="6">
        <v>478368.0</v>
      </c>
      <c r="H165" s="79">
        <v>0.2561</v>
      </c>
    </row>
    <row r="166">
      <c r="A166" s="6">
        <v>47.0</v>
      </c>
      <c r="B166" s="50" t="str">
        <f>IFERROR(VLOOKUP($A166,EVENTO!$A$2:$C$4999,2,FALSE),"")</f>
        <v>CADASTRO</v>
      </c>
      <c r="C166" s="50" t="str">
        <f>IFERROR(VLOOKUP($A166,EVENTO!$A$2:$C$4999,3,FALSE),"")</f>
        <v>MTE </v>
      </c>
      <c r="D166" s="6" t="s">
        <v>1380</v>
      </c>
      <c r="E166" s="112" t="s">
        <v>2108</v>
      </c>
      <c r="F166" s="9" t="s">
        <v>2109</v>
      </c>
      <c r="G166" s="6">
        <v>1.65564E7</v>
      </c>
      <c r="H166" s="79">
        <v>0.12</v>
      </c>
    </row>
    <row r="167">
      <c r="A167" s="6">
        <v>47.0</v>
      </c>
      <c r="B167" s="50" t="str">
        <f>IFERROR(VLOOKUP($A167,EVENTO!$A$2:$C$4999,2,FALSE),"")</f>
        <v>CADASTRO</v>
      </c>
      <c r="C167" s="50" t="str">
        <f>IFERROR(VLOOKUP($A167,EVENTO!$A$2:$C$4999,3,FALSE),"")</f>
        <v>MTE </v>
      </c>
      <c r="D167" s="6" t="s">
        <v>1380</v>
      </c>
      <c r="E167" s="112" t="s">
        <v>2108</v>
      </c>
      <c r="F167" s="9" t="s">
        <v>2110</v>
      </c>
      <c r="G167" s="6">
        <v>1.10376E7</v>
      </c>
      <c r="H167" s="79">
        <v>0.04</v>
      </c>
    </row>
    <row r="168">
      <c r="A168" s="6">
        <v>47.0</v>
      </c>
      <c r="B168" s="50" t="str">
        <f>IFERROR(VLOOKUP($A168,EVENTO!$A$2:$C$4999,2,FALSE),"")</f>
        <v>CADASTRO</v>
      </c>
      <c r="C168" s="50" t="str">
        <f>IFERROR(VLOOKUP($A168,EVENTO!$A$2:$C$4999,3,FALSE),"")</f>
        <v>MTE </v>
      </c>
      <c r="D168" s="6" t="s">
        <v>1382</v>
      </c>
      <c r="E168" s="112" t="s">
        <v>2111</v>
      </c>
      <c r="F168" s="9" t="s">
        <v>2109</v>
      </c>
      <c r="G168" s="6">
        <v>5376000.0</v>
      </c>
      <c r="H168" s="79">
        <v>0.6</v>
      </c>
    </row>
    <row r="169">
      <c r="A169" s="6">
        <v>47.0</v>
      </c>
      <c r="B169" s="50" t="str">
        <f>IFERROR(VLOOKUP($A169,EVENTO!$A$2:$C$4999,2,FALSE),"")</f>
        <v>CADASTRO</v>
      </c>
      <c r="C169" s="50" t="str">
        <f>IFERROR(VLOOKUP($A169,EVENTO!$A$2:$C$4999,3,FALSE),"")</f>
        <v>MTE </v>
      </c>
      <c r="D169" s="6" t="s">
        <v>1382</v>
      </c>
      <c r="E169" s="112" t="s">
        <v>2111</v>
      </c>
      <c r="F169" s="9" t="s">
        <v>2110</v>
      </c>
      <c r="G169" s="6">
        <v>3532800.0</v>
      </c>
      <c r="H169" s="79">
        <v>0.3</v>
      </c>
    </row>
    <row r="170">
      <c r="A170" s="6">
        <v>47.0</v>
      </c>
      <c r="B170" s="50" t="str">
        <f>IFERROR(VLOOKUP($A170,EVENTO!$A$2:$C$4999,2,FALSE),"")</f>
        <v>CADASTRO</v>
      </c>
      <c r="C170" s="50" t="str">
        <f>IFERROR(VLOOKUP($A170,EVENTO!$A$2:$C$4999,3,FALSE),"")</f>
        <v>MTE </v>
      </c>
      <c r="D170" s="6" t="s">
        <v>1431</v>
      </c>
      <c r="E170" s="112" t="s">
        <v>2112</v>
      </c>
      <c r="F170" s="9" t="s">
        <v>2109</v>
      </c>
      <c r="G170" s="6">
        <v>540000.0</v>
      </c>
      <c r="H170" s="79">
        <v>0.16</v>
      </c>
    </row>
    <row r="171">
      <c r="A171" s="6">
        <v>47.0</v>
      </c>
      <c r="B171" s="50" t="str">
        <f>IFERROR(VLOOKUP($A171,EVENTO!$A$2:$C$4999,2,FALSE),"")</f>
        <v>CADASTRO</v>
      </c>
      <c r="C171" s="50" t="str">
        <f>IFERROR(VLOOKUP($A171,EVENTO!$A$2:$C$4999,3,FALSE),"")</f>
        <v>MTE </v>
      </c>
      <c r="D171" s="6" t="s">
        <v>1431</v>
      </c>
      <c r="E171" s="112" t="s">
        <v>2112</v>
      </c>
      <c r="F171" s="9" t="s">
        <v>2110</v>
      </c>
      <c r="G171" s="6">
        <v>360000.0</v>
      </c>
      <c r="H171" s="79">
        <v>0.09</v>
      </c>
    </row>
    <row r="172">
      <c r="A172" s="6">
        <v>47.0</v>
      </c>
      <c r="B172" s="50" t="str">
        <f>IFERROR(VLOOKUP($A172,EVENTO!$A$2:$C$4999,2,FALSE),"")</f>
        <v>CADASTRO</v>
      </c>
      <c r="C172" s="50" t="str">
        <f>IFERROR(VLOOKUP($A172,EVENTO!$A$2:$C$4999,3,FALSE),"")</f>
        <v>MTE </v>
      </c>
      <c r="D172" s="6" t="s">
        <v>1431</v>
      </c>
      <c r="E172" s="112" t="s">
        <v>2129</v>
      </c>
      <c r="F172" s="9" t="s">
        <v>2109</v>
      </c>
      <c r="G172" s="6">
        <v>972000.0</v>
      </c>
      <c r="H172" s="79">
        <v>0.75</v>
      </c>
    </row>
    <row r="173">
      <c r="A173" s="6">
        <v>47.0</v>
      </c>
      <c r="B173" s="50" t="str">
        <f>IFERROR(VLOOKUP($A173,EVENTO!$A$2:$C$4999,2,FALSE),"")</f>
        <v>CADASTRO</v>
      </c>
      <c r="C173" s="50" t="str">
        <f>IFERROR(VLOOKUP($A173,EVENTO!$A$2:$C$4999,3,FALSE),"")</f>
        <v>MTE </v>
      </c>
      <c r="D173" s="6" t="s">
        <v>1431</v>
      </c>
      <c r="E173" s="112" t="s">
        <v>2129</v>
      </c>
      <c r="F173" s="9" t="s">
        <v>2110</v>
      </c>
      <c r="G173" s="6">
        <v>648000.0</v>
      </c>
      <c r="H173" s="79">
        <v>0.35</v>
      </c>
    </row>
    <row r="174">
      <c r="A174" s="6">
        <v>48.0</v>
      </c>
      <c r="B174" s="50" t="str">
        <f>IFERROR(VLOOKUP($A174,EVENTO!$A$2:$C$4999,2,FALSE),"")</f>
        <v>CADASTRO</v>
      </c>
      <c r="C174" s="50" t="str">
        <f>IFERROR(VLOOKUP($A174,EVENTO!$A$2:$C$4999,3,FALSE),"")</f>
        <v>MT </v>
      </c>
      <c r="D174" s="6" t="s">
        <v>1380</v>
      </c>
      <c r="E174" s="112" t="s">
        <v>2108</v>
      </c>
      <c r="F174" s="9" t="s">
        <v>2109</v>
      </c>
      <c r="G174" s="6">
        <v>1864800.0</v>
      </c>
      <c r="H174" s="79">
        <v>0.06</v>
      </c>
    </row>
    <row r="175">
      <c r="A175" s="6">
        <v>48.0</v>
      </c>
      <c r="B175" s="50" t="str">
        <f>IFERROR(VLOOKUP($A175,EVENTO!$A$2:$C$4999,2,FALSE),"")</f>
        <v>CADASTRO</v>
      </c>
      <c r="C175" s="50" t="str">
        <f>IFERROR(VLOOKUP($A175,EVENTO!$A$2:$C$4999,3,FALSE),"")</f>
        <v>MT </v>
      </c>
      <c r="D175" s="6" t="s">
        <v>1380</v>
      </c>
      <c r="E175" s="112" t="s">
        <v>2108</v>
      </c>
      <c r="F175" s="9" t="s">
        <v>2110</v>
      </c>
      <c r="G175" s="6">
        <v>1243200.0</v>
      </c>
      <c r="H175" s="79">
        <v>0.04</v>
      </c>
    </row>
    <row r="176">
      <c r="A176" s="6">
        <v>48.0</v>
      </c>
      <c r="B176" s="50" t="str">
        <f>IFERROR(VLOOKUP($A176,EVENTO!$A$2:$C$4999,2,FALSE),"")</f>
        <v>CADASTRO</v>
      </c>
      <c r="C176" s="50" t="str">
        <f>IFERROR(VLOOKUP($A176,EVENTO!$A$2:$C$4999,3,FALSE),"")</f>
        <v>MT </v>
      </c>
      <c r="D176" s="6" t="s">
        <v>1382</v>
      </c>
      <c r="E176" s="112" t="s">
        <v>2111</v>
      </c>
      <c r="F176" s="9" t="s">
        <v>2109</v>
      </c>
      <c r="G176" s="6">
        <v>879360.0</v>
      </c>
      <c r="H176" s="79">
        <v>0.28</v>
      </c>
    </row>
    <row r="177">
      <c r="A177" s="6">
        <v>48.0</v>
      </c>
      <c r="B177" s="50" t="str">
        <f>IFERROR(VLOOKUP($A177,EVENTO!$A$2:$C$4999,2,FALSE),"")</f>
        <v>CADASTRO</v>
      </c>
      <c r="C177" s="50" t="str">
        <f>IFERROR(VLOOKUP($A177,EVENTO!$A$2:$C$4999,3,FALSE),"")</f>
        <v>MT </v>
      </c>
      <c r="D177" s="6" t="s">
        <v>1382</v>
      </c>
      <c r="E177" s="112" t="s">
        <v>2111</v>
      </c>
      <c r="F177" s="9" t="s">
        <v>2110</v>
      </c>
      <c r="G177" s="6">
        <v>586560.0</v>
      </c>
      <c r="H177" s="79">
        <v>0.14</v>
      </c>
    </row>
    <row r="178">
      <c r="A178" s="6">
        <v>48.0</v>
      </c>
      <c r="B178" s="50" t="str">
        <f>IFERROR(VLOOKUP($A178,EVENTO!$A$2:$C$4999,2,FALSE),"")</f>
        <v>CADASTRO</v>
      </c>
      <c r="C178" s="50" t="str">
        <f>IFERROR(VLOOKUP($A178,EVENTO!$A$2:$C$4999,3,FALSE),"")</f>
        <v>MT </v>
      </c>
      <c r="D178" s="6" t="s">
        <v>1431</v>
      </c>
      <c r="E178" s="112" t="s">
        <v>2112</v>
      </c>
      <c r="F178" s="9" t="s">
        <v>2109</v>
      </c>
      <c r="G178" s="6">
        <v>11088.0</v>
      </c>
      <c r="H178" s="79">
        <v>0.18</v>
      </c>
    </row>
    <row r="179">
      <c r="A179" s="6">
        <v>48.0</v>
      </c>
      <c r="B179" s="50" t="str">
        <f>IFERROR(VLOOKUP($A179,EVENTO!$A$2:$C$4999,2,FALSE),"")</f>
        <v>CADASTRO</v>
      </c>
      <c r="C179" s="50" t="str">
        <f>IFERROR(VLOOKUP($A179,EVENTO!$A$2:$C$4999,3,FALSE),"")</f>
        <v>MT </v>
      </c>
      <c r="D179" s="6" t="s">
        <v>1431</v>
      </c>
      <c r="E179" s="112" t="s">
        <v>2112</v>
      </c>
      <c r="F179" s="9" t="s">
        <v>2110</v>
      </c>
      <c r="G179" s="6">
        <v>7392.0</v>
      </c>
      <c r="H179" s="79">
        <v>0.1</v>
      </c>
    </row>
    <row r="180">
      <c r="A180" s="6">
        <v>48.0</v>
      </c>
      <c r="B180" s="50" t="str">
        <f>IFERROR(VLOOKUP($A180,EVENTO!$A$2:$C$4999,2,FALSE),"")</f>
        <v>CADASTRO</v>
      </c>
      <c r="C180" s="50" t="str">
        <f>IFERROR(VLOOKUP($A180,EVENTO!$A$2:$C$4999,3,FALSE),"")</f>
        <v>MT </v>
      </c>
      <c r="D180" s="6" t="s">
        <v>1431</v>
      </c>
      <c r="E180" s="112" t="s">
        <v>2129</v>
      </c>
      <c r="F180" s="9" t="s">
        <v>2109</v>
      </c>
      <c r="G180" s="6">
        <v>50160.0</v>
      </c>
      <c r="H180" s="79">
        <v>0.38</v>
      </c>
    </row>
    <row r="181">
      <c r="A181" s="6">
        <v>48.0</v>
      </c>
      <c r="B181" s="50" t="str">
        <f>IFERROR(VLOOKUP($A181,EVENTO!$A$2:$C$4999,2,FALSE),"")</f>
        <v>CADASTRO</v>
      </c>
      <c r="C181" s="50" t="str">
        <f>IFERROR(VLOOKUP($A181,EVENTO!$A$2:$C$4999,3,FALSE),"")</f>
        <v>MT </v>
      </c>
      <c r="D181" s="6" t="s">
        <v>1431</v>
      </c>
      <c r="E181" s="112" t="s">
        <v>2129</v>
      </c>
      <c r="F181" s="9" t="s">
        <v>2110</v>
      </c>
      <c r="G181" s="6">
        <v>33264.0</v>
      </c>
      <c r="H181" s="79">
        <v>0.19</v>
      </c>
    </row>
    <row r="182">
      <c r="A182" s="6">
        <v>49.0</v>
      </c>
      <c r="B182" s="50" t="str">
        <f>IFERROR(VLOOKUP($A182,EVENTO!$A$2:$C$4999,2,FALSE),"")</f>
        <v>APOSTILAMENTO</v>
      </c>
      <c r="C182" s="50" t="str">
        <f>IFERROR(VLOOKUP($A182,EVENTO!$A$2:$C$4999,3,FALSE),"")</f>
        <v>MT </v>
      </c>
      <c r="D182" s="11"/>
      <c r="E182" s="112" t="s">
        <v>2108</v>
      </c>
      <c r="F182" s="9" t="s">
        <v>2109</v>
      </c>
      <c r="G182" s="6">
        <v>1864800.0</v>
      </c>
      <c r="H182" s="79">
        <v>0.0644</v>
      </c>
    </row>
    <row r="183">
      <c r="A183" s="6">
        <v>49.0</v>
      </c>
      <c r="B183" s="50" t="str">
        <f>IFERROR(VLOOKUP($A183,EVENTO!$A$2:$C$4999,2,FALSE),"")</f>
        <v>APOSTILAMENTO</v>
      </c>
      <c r="C183" s="50" t="str">
        <f>IFERROR(VLOOKUP($A183,EVENTO!$A$2:$C$4999,3,FALSE),"")</f>
        <v>MT </v>
      </c>
      <c r="D183" s="11"/>
      <c r="E183" s="112" t="s">
        <v>2108</v>
      </c>
      <c r="F183" s="9" t="s">
        <v>2110</v>
      </c>
      <c r="G183" s="6">
        <v>1243200.0</v>
      </c>
      <c r="H183" s="79">
        <v>0.0429</v>
      </c>
    </row>
    <row r="184">
      <c r="A184" s="6">
        <v>49.0</v>
      </c>
      <c r="B184" s="50" t="str">
        <f>IFERROR(VLOOKUP($A184,EVENTO!$A$2:$C$4999,2,FALSE),"")</f>
        <v>APOSTILAMENTO</v>
      </c>
      <c r="C184" s="50" t="str">
        <f>IFERROR(VLOOKUP($A184,EVENTO!$A$2:$C$4999,3,FALSE),"")</f>
        <v>MT </v>
      </c>
      <c r="D184" s="11"/>
      <c r="E184" s="112" t="s">
        <v>2111</v>
      </c>
      <c r="F184" s="9" t="s">
        <v>2109</v>
      </c>
      <c r="G184" s="6">
        <v>879360.0</v>
      </c>
      <c r="H184" s="79">
        <v>0.3003</v>
      </c>
    </row>
    <row r="185">
      <c r="A185" s="6">
        <v>49.0</v>
      </c>
      <c r="B185" s="50" t="str">
        <f>IFERROR(VLOOKUP($A185,EVENTO!$A$2:$C$4999,2,FALSE),"")</f>
        <v>APOSTILAMENTO</v>
      </c>
      <c r="C185" s="50" t="str">
        <f>IFERROR(VLOOKUP($A185,EVENTO!$A$2:$C$4999,3,FALSE),"")</f>
        <v>MT </v>
      </c>
      <c r="D185" s="11"/>
      <c r="E185" s="112" t="s">
        <v>2111</v>
      </c>
      <c r="F185" s="9" t="s">
        <v>2110</v>
      </c>
      <c r="G185" s="6">
        <v>586560.0</v>
      </c>
      <c r="H185" s="79">
        <v>0.1502</v>
      </c>
    </row>
    <row r="186">
      <c r="A186" s="6">
        <v>49.0</v>
      </c>
      <c r="B186" s="50" t="str">
        <f>IFERROR(VLOOKUP($A186,EVENTO!$A$2:$C$4999,2,FALSE),"")</f>
        <v>APOSTILAMENTO</v>
      </c>
      <c r="C186" s="50" t="str">
        <f>IFERROR(VLOOKUP($A186,EVENTO!$A$2:$C$4999,3,FALSE),"")</f>
        <v>MT </v>
      </c>
      <c r="D186" s="11"/>
      <c r="E186" s="112" t="s">
        <v>2112</v>
      </c>
      <c r="F186" s="9" t="s">
        <v>2109</v>
      </c>
      <c r="G186" s="6">
        <v>11088.0</v>
      </c>
      <c r="H186" s="79">
        <v>0.1931</v>
      </c>
    </row>
    <row r="187">
      <c r="A187" s="6">
        <v>49.0</v>
      </c>
      <c r="B187" s="50" t="str">
        <f>IFERROR(VLOOKUP($A187,EVENTO!$A$2:$C$4999,2,FALSE),"")</f>
        <v>APOSTILAMENTO</v>
      </c>
      <c r="C187" s="50" t="str">
        <f>IFERROR(VLOOKUP($A187,EVENTO!$A$2:$C$4999,3,FALSE),"")</f>
        <v>MT </v>
      </c>
      <c r="D187" s="11"/>
      <c r="E187" s="112" t="s">
        <v>2112</v>
      </c>
      <c r="F187" s="9" t="s">
        <v>2110</v>
      </c>
      <c r="G187" s="6">
        <v>7392.0</v>
      </c>
      <c r="H187" s="79">
        <v>0.1073</v>
      </c>
    </row>
    <row r="188">
      <c r="A188" s="6">
        <v>49.0</v>
      </c>
      <c r="B188" s="50" t="str">
        <f>IFERROR(VLOOKUP($A188,EVENTO!$A$2:$C$4999,2,FALSE),"")</f>
        <v>APOSTILAMENTO</v>
      </c>
      <c r="C188" s="50" t="str">
        <f>IFERROR(VLOOKUP($A188,EVENTO!$A$2:$C$4999,3,FALSE),"")</f>
        <v>MT </v>
      </c>
      <c r="D188" s="11"/>
      <c r="E188" s="112" t="s">
        <v>2129</v>
      </c>
      <c r="F188" s="9" t="s">
        <v>2109</v>
      </c>
      <c r="G188" s="6">
        <v>50160.0</v>
      </c>
      <c r="H188" s="79">
        <v>0.4076</v>
      </c>
    </row>
    <row r="189">
      <c r="A189" s="6">
        <v>49.0</v>
      </c>
      <c r="B189" s="50" t="str">
        <f>IFERROR(VLOOKUP($A189,EVENTO!$A$2:$C$4999,2,FALSE),"")</f>
        <v>APOSTILAMENTO</v>
      </c>
      <c r="C189" s="50" t="str">
        <f>IFERROR(VLOOKUP($A189,EVENTO!$A$2:$C$4999,3,FALSE),"")</f>
        <v>MT </v>
      </c>
      <c r="D189" s="11"/>
      <c r="E189" s="112" t="s">
        <v>2129</v>
      </c>
      <c r="F189" s="9" t="s">
        <v>2110</v>
      </c>
      <c r="G189" s="6">
        <v>33264.0</v>
      </c>
      <c r="H189" s="79">
        <v>0.2038</v>
      </c>
    </row>
    <row r="190">
      <c r="A190" s="6">
        <v>50.0</v>
      </c>
      <c r="B190" s="50" t="str">
        <f>IFERROR(VLOOKUP($A190,EVENTO!$A$2:$C$4999,2,FALSE),"")</f>
        <v>CADASTRO</v>
      </c>
      <c r="C190" s="50" t="str">
        <f>IFERROR(VLOOKUP($A190,EVENTO!$A$2:$C$4999,3,FALSE),"")</f>
        <v>MINISTÉRIO DA DEFESA - COMANDO DA AERONÁUTICA - GRUPAMENTO DE APOIO DE BRASÍLIA </v>
      </c>
      <c r="D190" s="6" t="s">
        <v>1380</v>
      </c>
      <c r="E190" s="112" t="s">
        <v>2108</v>
      </c>
      <c r="F190" s="9" t="s">
        <v>2109</v>
      </c>
      <c r="G190" s="6">
        <v>51140.0</v>
      </c>
      <c r="H190" s="79">
        <v>0.06</v>
      </c>
    </row>
    <row r="191">
      <c r="A191" s="6">
        <v>50.0</v>
      </c>
      <c r="B191" s="50" t="str">
        <f>IFERROR(VLOOKUP($A191,EVENTO!$A$2:$C$4999,2,FALSE),"")</f>
        <v>CADASTRO</v>
      </c>
      <c r="C191" s="50" t="str">
        <f>IFERROR(VLOOKUP($A191,EVENTO!$A$2:$C$4999,3,FALSE),"")</f>
        <v>MINISTÉRIO DA DEFESA - COMANDO DA AERONÁUTICA - GRUPAMENTO DE APOIO DE BRASÍLIA </v>
      </c>
      <c r="D191" s="6" t="s">
        <v>1380</v>
      </c>
      <c r="E191" s="112" t="s">
        <v>2108</v>
      </c>
      <c r="F191" s="9" t="s">
        <v>2110</v>
      </c>
      <c r="G191" s="6">
        <v>34093.0</v>
      </c>
      <c r="H191" s="79">
        <v>0.02</v>
      </c>
    </row>
    <row r="192">
      <c r="A192" s="6">
        <v>50.0</v>
      </c>
      <c r="B192" s="50" t="str">
        <f>IFERROR(VLOOKUP($A192,EVENTO!$A$2:$C$4999,2,FALSE),"")</f>
        <v>CADASTRO</v>
      </c>
      <c r="C192" s="50" t="str">
        <f>IFERROR(VLOOKUP($A192,EVENTO!$A$2:$C$4999,3,FALSE),"")</f>
        <v>MINISTÉRIO DA DEFESA - COMANDO DA AERONÁUTICA - GRUPAMENTO DE APOIO DE BRASÍLIA </v>
      </c>
      <c r="D192" s="6" t="s">
        <v>1382</v>
      </c>
      <c r="E192" s="112" t="s">
        <v>2111</v>
      </c>
      <c r="F192" s="9" t="s">
        <v>2109</v>
      </c>
      <c r="G192" s="6">
        <v>17145.0</v>
      </c>
      <c r="H192" s="79">
        <v>0.35</v>
      </c>
    </row>
    <row r="193">
      <c r="A193" s="6">
        <v>50.0</v>
      </c>
      <c r="B193" s="50" t="str">
        <f>IFERROR(VLOOKUP($A193,EVENTO!$A$2:$C$4999,2,FALSE),"")</f>
        <v>CADASTRO</v>
      </c>
      <c r="C193" s="50" t="str">
        <f>IFERROR(VLOOKUP($A193,EVENTO!$A$2:$C$4999,3,FALSE),"")</f>
        <v>MINISTÉRIO DA DEFESA - COMANDO DA AERONÁUTICA - GRUPAMENTO DE APOIO DE BRASÍLIA </v>
      </c>
      <c r="D193" s="6" t="s">
        <v>1382</v>
      </c>
      <c r="E193" s="112" t="s">
        <v>2111</v>
      </c>
      <c r="F193" s="9" t="s">
        <v>2110</v>
      </c>
      <c r="G193" s="6">
        <v>11430.0</v>
      </c>
      <c r="H193" s="79">
        <v>0.09</v>
      </c>
    </row>
    <row r="194">
      <c r="A194" s="6">
        <v>51.0</v>
      </c>
      <c r="B194" s="50" t="str">
        <f>IFERROR(VLOOKUP($A194,EVENTO!$A$2:$C$4999,2,FALSE),"")</f>
        <v>CADASTRO</v>
      </c>
      <c r="C194" s="50" t="str">
        <f>IFERROR(VLOOKUP($A194,EVENTO!$A$2:$C$4999,3,FALSE),"")</f>
        <v>COMANDO DA 8º REGIÃO MILITAR</v>
      </c>
      <c r="D194" s="6" t="s">
        <v>1380</v>
      </c>
      <c r="E194" s="112" t="s">
        <v>2108</v>
      </c>
      <c r="F194" s="9" t="s">
        <v>2109</v>
      </c>
      <c r="G194" s="6">
        <v>660000.0</v>
      </c>
      <c r="H194" s="79">
        <v>0.09</v>
      </c>
    </row>
    <row r="195">
      <c r="A195" s="6">
        <v>51.0</v>
      </c>
      <c r="B195" s="50" t="str">
        <f>IFERROR(VLOOKUP($A195,EVENTO!$A$2:$C$4999,2,FALSE),"")</f>
        <v>CADASTRO</v>
      </c>
      <c r="C195" s="50" t="str">
        <f>IFERROR(VLOOKUP($A195,EVENTO!$A$2:$C$4999,3,FALSE),"")</f>
        <v>COMANDO DA 8º REGIÃO MILITAR</v>
      </c>
      <c r="D195" s="6" t="s">
        <v>1382</v>
      </c>
      <c r="E195" s="112" t="s">
        <v>2111</v>
      </c>
      <c r="F195" s="9" t="s">
        <v>2109</v>
      </c>
      <c r="G195" s="6">
        <v>72000.0</v>
      </c>
      <c r="H195" s="79">
        <v>0.66</v>
      </c>
    </row>
    <row r="196">
      <c r="A196" s="6">
        <v>52.0</v>
      </c>
      <c r="B196" s="50" t="str">
        <f>IFERROR(VLOOKUP($A196,EVENTO!$A$2:$C$4999,2,FALSE),"")</f>
        <v>ADITIVO DE REAJUSTE E PRAZO</v>
      </c>
      <c r="C196" s="50" t="str">
        <f>IFERROR(VLOOKUP($A196,EVENTO!$A$2:$C$4999,3,FALSE),"")</f>
        <v>COMANDO DA 8º REGIÃO MILITAR</v>
      </c>
      <c r="D196" s="11"/>
      <c r="E196" s="112" t="s">
        <v>2108</v>
      </c>
      <c r="F196" s="9" t="s">
        <v>2109</v>
      </c>
      <c r="G196" s="6">
        <v>660000.0</v>
      </c>
      <c r="H196" s="79">
        <v>0.0906</v>
      </c>
    </row>
    <row r="197">
      <c r="A197" s="6">
        <v>52.0</v>
      </c>
      <c r="B197" s="50" t="str">
        <f>IFERROR(VLOOKUP($A197,EVENTO!$A$2:$C$4999,2,FALSE),"")</f>
        <v>ADITIVO DE REAJUSTE E PRAZO</v>
      </c>
      <c r="C197" s="50" t="str">
        <f>IFERROR(VLOOKUP($A197,EVENTO!$A$2:$C$4999,3,FALSE),"")</f>
        <v>COMANDO DA 8º REGIÃO MILITAR</v>
      </c>
      <c r="D197" s="11"/>
      <c r="E197" s="112" t="s">
        <v>2111</v>
      </c>
      <c r="F197" s="9" t="s">
        <v>2109</v>
      </c>
      <c r="G197" s="6">
        <v>72000.0</v>
      </c>
      <c r="H197" s="79">
        <v>0.6642</v>
      </c>
    </row>
    <row r="198">
      <c r="A198" s="6">
        <v>53.0</v>
      </c>
      <c r="B198" s="50" t="str">
        <f>IFERROR(VLOOKUP($A198,EVENTO!$A$2:$C$4999,2,FALSE),"")</f>
        <v>ADITIVO DE REAJUSTE E PRAZO</v>
      </c>
      <c r="C198" s="50" t="str">
        <f>IFERROR(VLOOKUP($A198,EVENTO!$A$2:$C$4999,3,FALSE),"")</f>
        <v>COMANDO DA 8º REGIÃO MILITAR</v>
      </c>
      <c r="D198" s="11"/>
      <c r="E198" s="112" t="s">
        <v>2108</v>
      </c>
      <c r="F198" s="9" t="s">
        <v>2109</v>
      </c>
      <c r="G198" s="6">
        <v>660000.0</v>
      </c>
      <c r="H198" s="79">
        <v>0.094</v>
      </c>
    </row>
    <row r="199">
      <c r="A199" s="6">
        <v>53.0</v>
      </c>
      <c r="B199" s="50" t="str">
        <f>IFERROR(VLOOKUP($A199,EVENTO!$A$2:$C$4999,2,FALSE),"")</f>
        <v>ADITIVO DE REAJUSTE E PRAZO</v>
      </c>
      <c r="C199" s="50" t="str">
        <f>IFERROR(VLOOKUP($A199,EVENTO!$A$2:$C$4999,3,FALSE),"")</f>
        <v>COMANDO DA 8º REGIÃO MILITAR</v>
      </c>
      <c r="D199" s="11"/>
      <c r="E199" s="112" t="s">
        <v>2111</v>
      </c>
      <c r="F199" s="9" t="s">
        <v>2109</v>
      </c>
      <c r="G199" s="6">
        <v>72000.0</v>
      </c>
      <c r="H199" s="79">
        <v>0.6893</v>
      </c>
    </row>
    <row r="200">
      <c r="A200" s="6">
        <v>54.0</v>
      </c>
      <c r="B200" s="50" t="str">
        <f>IFERROR(VLOOKUP($A200,EVENTO!$A$2:$C$4999,2,FALSE),"")</f>
        <v>CADASTRO</v>
      </c>
      <c r="C200" s="50" t="str">
        <f>IFERROR(VLOOKUP($A200,EVENTO!$A$2:$C$4999,3,FALSE),"")</f>
        <v>HUJB</v>
      </c>
      <c r="D200" s="6" t="s">
        <v>1380</v>
      </c>
      <c r="E200" s="112" t="s">
        <v>2108</v>
      </c>
      <c r="F200" s="9" t="s">
        <v>2109</v>
      </c>
      <c r="G200" s="6">
        <v>1332536.0</v>
      </c>
      <c r="H200" s="79">
        <v>0.06</v>
      </c>
    </row>
    <row r="201">
      <c r="A201" s="6">
        <v>54.0</v>
      </c>
      <c r="B201" s="50" t="str">
        <f>IFERROR(VLOOKUP($A201,EVENTO!$A$2:$C$4999,2,FALSE),"")</f>
        <v>CADASTRO</v>
      </c>
      <c r="C201" s="50" t="str">
        <f>IFERROR(VLOOKUP($A201,EVENTO!$A$2:$C$4999,3,FALSE),"")</f>
        <v>HUJB</v>
      </c>
      <c r="D201" s="6" t="s">
        <v>1380</v>
      </c>
      <c r="E201" s="112" t="s">
        <v>2108</v>
      </c>
      <c r="F201" s="9" t="s">
        <v>2110</v>
      </c>
      <c r="G201" s="6">
        <v>888358.0</v>
      </c>
      <c r="H201" s="79">
        <v>0.04</v>
      </c>
    </row>
    <row r="202">
      <c r="A202" s="6">
        <v>54.0</v>
      </c>
      <c r="B202" s="50" t="str">
        <f>IFERROR(VLOOKUP($A202,EVENTO!$A$2:$C$4999,2,FALSE),"")</f>
        <v>CADASTRO</v>
      </c>
      <c r="C202" s="50" t="str">
        <f>IFERROR(VLOOKUP($A202,EVENTO!$A$2:$C$4999,3,FALSE),"")</f>
        <v>HUJB</v>
      </c>
      <c r="D202" s="6" t="s">
        <v>1382</v>
      </c>
      <c r="E202" s="112" t="s">
        <v>2111</v>
      </c>
      <c r="F202" s="9" t="s">
        <v>2109</v>
      </c>
      <c r="G202" s="6">
        <v>178797.0</v>
      </c>
      <c r="H202" s="79">
        <v>0.27</v>
      </c>
    </row>
    <row r="203">
      <c r="A203" s="6">
        <v>54.0</v>
      </c>
      <c r="B203" s="50" t="str">
        <f>IFERROR(VLOOKUP($A203,EVENTO!$A$2:$C$4999,2,FALSE),"")</f>
        <v>CADASTRO</v>
      </c>
      <c r="C203" s="50" t="str">
        <f>IFERROR(VLOOKUP($A203,EVENTO!$A$2:$C$4999,3,FALSE),"")</f>
        <v>HUJB</v>
      </c>
      <c r="D203" s="6" t="s">
        <v>1382</v>
      </c>
      <c r="E203" s="112" t="s">
        <v>2111</v>
      </c>
      <c r="F203" s="9" t="s">
        <v>2110</v>
      </c>
      <c r="G203" s="6">
        <v>119198.0</v>
      </c>
      <c r="H203" s="79">
        <v>0.16</v>
      </c>
    </row>
    <row r="204">
      <c r="A204" s="6">
        <v>55.0</v>
      </c>
      <c r="B204" s="50" t="str">
        <f>IFERROR(VLOOKUP($A204,EVENTO!$A$2:$C$4999,2,FALSE),"")</f>
        <v>CADASTRO</v>
      </c>
      <c r="C204" s="50" t="str">
        <f>IFERROR(VLOOKUP($A204,EVENTO!$A$2:$C$4999,3,FALSE),"")</f>
        <v>HUAC</v>
      </c>
      <c r="D204" s="6" t="s">
        <v>1380</v>
      </c>
      <c r="E204" s="112" t="s">
        <v>2108</v>
      </c>
      <c r="F204" s="9" t="s">
        <v>2109</v>
      </c>
      <c r="G204" s="6">
        <v>4339336.0</v>
      </c>
      <c r="H204" s="79">
        <v>0.06</v>
      </c>
    </row>
    <row r="205">
      <c r="A205" s="6">
        <v>55.0</v>
      </c>
      <c r="B205" s="50" t="str">
        <f>IFERROR(VLOOKUP($A205,EVENTO!$A$2:$C$4999,2,FALSE),"")</f>
        <v>CADASTRO</v>
      </c>
      <c r="C205" s="50" t="str">
        <f>IFERROR(VLOOKUP($A205,EVENTO!$A$2:$C$4999,3,FALSE),"")</f>
        <v>HUAC</v>
      </c>
      <c r="D205" s="6" t="s">
        <v>1380</v>
      </c>
      <c r="E205" s="112" t="s">
        <v>2108</v>
      </c>
      <c r="F205" s="9" t="s">
        <v>2110</v>
      </c>
      <c r="G205" s="6">
        <v>2892891.0</v>
      </c>
      <c r="H205" s="79">
        <v>0.04</v>
      </c>
    </row>
    <row r="206">
      <c r="A206" s="6">
        <v>55.0</v>
      </c>
      <c r="B206" s="50" t="str">
        <f>IFERROR(VLOOKUP($A206,EVENTO!$A$2:$C$4999,2,FALSE),"")</f>
        <v>CADASTRO</v>
      </c>
      <c r="C206" s="50" t="str">
        <f>IFERROR(VLOOKUP($A206,EVENTO!$A$2:$C$4999,3,FALSE),"")</f>
        <v>HUAC</v>
      </c>
      <c r="D206" s="6" t="s">
        <v>1382</v>
      </c>
      <c r="E206" s="112" t="s">
        <v>2111</v>
      </c>
      <c r="F206" s="9" t="s">
        <v>2109</v>
      </c>
      <c r="G206" s="6">
        <v>207360.0</v>
      </c>
      <c r="H206" s="79">
        <v>0.27</v>
      </c>
    </row>
    <row r="207">
      <c r="A207" s="6">
        <v>55.0</v>
      </c>
      <c r="B207" s="50" t="str">
        <f>IFERROR(VLOOKUP($A207,EVENTO!$A$2:$C$4999,2,FALSE),"")</f>
        <v>CADASTRO</v>
      </c>
      <c r="C207" s="50" t="str">
        <f>IFERROR(VLOOKUP($A207,EVENTO!$A$2:$C$4999,3,FALSE),"")</f>
        <v>HUAC</v>
      </c>
      <c r="D207" s="6" t="s">
        <v>1382</v>
      </c>
      <c r="E207" s="112" t="s">
        <v>2111</v>
      </c>
      <c r="F207" s="9" t="s">
        <v>2110</v>
      </c>
      <c r="G207" s="6">
        <v>138240.0</v>
      </c>
      <c r="H207" s="79">
        <v>0.16</v>
      </c>
    </row>
    <row r="208">
      <c r="A208" s="6">
        <v>56.0</v>
      </c>
      <c r="B208" s="50" t="str">
        <f>IFERROR(VLOOKUP($A208,EVENTO!$A$2:$C$4999,2,FALSE),"")</f>
        <v>CADASTRO</v>
      </c>
      <c r="C208" s="50" t="str">
        <f>IFERROR(VLOOKUP($A208,EVENTO!$A$2:$C$4999,3,FALSE),"")</f>
        <v>HULW</v>
      </c>
      <c r="D208" s="6" t="s">
        <v>1380</v>
      </c>
      <c r="E208" s="112" t="s">
        <v>2108</v>
      </c>
      <c r="F208" s="9" t="s">
        <v>2109</v>
      </c>
      <c r="G208" s="6">
        <v>7637044.0</v>
      </c>
      <c r="H208" s="79">
        <v>0.06</v>
      </c>
    </row>
    <row r="209">
      <c r="A209" s="6">
        <v>56.0</v>
      </c>
      <c r="B209" s="50" t="str">
        <f>IFERROR(VLOOKUP($A209,EVENTO!$A$2:$C$4999,2,FALSE),"")</f>
        <v>CADASTRO</v>
      </c>
      <c r="C209" s="50" t="str">
        <f>IFERROR(VLOOKUP($A209,EVENTO!$A$2:$C$4999,3,FALSE),"")</f>
        <v>HULW</v>
      </c>
      <c r="D209" s="6" t="s">
        <v>1380</v>
      </c>
      <c r="E209" s="112" t="s">
        <v>2108</v>
      </c>
      <c r="F209" s="9" t="s">
        <v>2110</v>
      </c>
      <c r="G209" s="6">
        <v>5091363.0</v>
      </c>
      <c r="H209" s="79">
        <v>0.04</v>
      </c>
    </row>
    <row r="210">
      <c r="A210" s="6">
        <v>56.0</v>
      </c>
      <c r="B210" s="50" t="str">
        <f>IFERROR(VLOOKUP($A210,EVENTO!$A$2:$C$4999,2,FALSE),"")</f>
        <v>CADASTRO</v>
      </c>
      <c r="C210" s="50" t="str">
        <f>IFERROR(VLOOKUP($A210,EVENTO!$A$2:$C$4999,3,FALSE),"")</f>
        <v>HULW</v>
      </c>
      <c r="D210" s="6" t="s">
        <v>1382</v>
      </c>
      <c r="E210" s="112" t="s">
        <v>2111</v>
      </c>
      <c r="F210" s="9" t="s">
        <v>2109</v>
      </c>
      <c r="G210" s="6">
        <v>410639.0</v>
      </c>
      <c r="H210" s="79">
        <v>0.27</v>
      </c>
    </row>
    <row r="211">
      <c r="A211" s="6">
        <v>56.0</v>
      </c>
      <c r="B211" s="50" t="str">
        <f>IFERROR(VLOOKUP($A211,EVENTO!$A$2:$C$4999,2,FALSE),"")</f>
        <v>CADASTRO</v>
      </c>
      <c r="C211" s="50" t="str">
        <f>IFERROR(VLOOKUP($A211,EVENTO!$A$2:$C$4999,3,FALSE),"")</f>
        <v>HULW</v>
      </c>
      <c r="D211" s="6" t="s">
        <v>1382</v>
      </c>
      <c r="E211" s="112" t="s">
        <v>2111</v>
      </c>
      <c r="F211" s="9" t="s">
        <v>2110</v>
      </c>
      <c r="G211" s="6">
        <v>273759.0</v>
      </c>
      <c r="H211" s="79">
        <v>0.16</v>
      </c>
    </row>
    <row r="212">
      <c r="A212" s="6">
        <v>57.0</v>
      </c>
      <c r="B212" s="50" t="str">
        <f>IFERROR(VLOOKUP($A212,EVENTO!$A$2:$C$4999,2,FALSE),"")</f>
        <v>CADASTRO</v>
      </c>
      <c r="C212" s="50" t="str">
        <f>IFERROR(VLOOKUP($A212,EVENTO!$A$2:$C$4999,3,FALSE),"")</f>
        <v>1o GRUPAMENTO DE ENGENHARIA</v>
      </c>
      <c r="D212" s="6" t="s">
        <v>1380</v>
      </c>
      <c r="E212" s="112" t="s">
        <v>2108</v>
      </c>
      <c r="F212" s="9" t="s">
        <v>2109</v>
      </c>
      <c r="G212" s="6">
        <v>3000000.0</v>
      </c>
      <c r="H212" s="79">
        <v>0.0455</v>
      </c>
    </row>
    <row r="213">
      <c r="A213" s="6">
        <v>57.0</v>
      </c>
      <c r="B213" s="50" t="str">
        <f>IFERROR(VLOOKUP($A213,EVENTO!$A$2:$C$4999,2,FALSE),"")</f>
        <v>CADASTRO</v>
      </c>
      <c r="C213" s="50" t="str">
        <f>IFERROR(VLOOKUP($A213,EVENTO!$A$2:$C$4999,3,FALSE),"")</f>
        <v>1o GRUPAMENTO DE ENGENHARIA</v>
      </c>
      <c r="D213" s="6" t="s">
        <v>1380</v>
      </c>
      <c r="E213" s="112" t="s">
        <v>2108</v>
      </c>
      <c r="F213" s="9" t="s">
        <v>2110</v>
      </c>
      <c r="G213" s="6">
        <v>1200000.0</v>
      </c>
      <c r="H213" s="79">
        <v>0.0195</v>
      </c>
    </row>
    <row r="214">
      <c r="A214" s="6">
        <v>57.0</v>
      </c>
      <c r="B214" s="50" t="str">
        <f>IFERROR(VLOOKUP($A214,EVENTO!$A$2:$C$4999,2,FALSE),"")</f>
        <v>CADASTRO</v>
      </c>
      <c r="C214" s="50" t="str">
        <f>IFERROR(VLOOKUP($A214,EVENTO!$A$2:$C$4999,3,FALSE),"")</f>
        <v>1o GRUPAMENTO DE ENGENHARIA</v>
      </c>
      <c r="D214" s="6" t="s">
        <v>1382</v>
      </c>
      <c r="E214" s="112" t="s">
        <v>2111</v>
      </c>
      <c r="F214" s="9" t="s">
        <v>2109</v>
      </c>
      <c r="G214" s="6">
        <v>288000.0</v>
      </c>
      <c r="H214" s="79">
        <v>0.298263</v>
      </c>
    </row>
    <row r="215">
      <c r="A215" s="6">
        <v>57.0</v>
      </c>
      <c r="B215" s="50" t="str">
        <f>IFERROR(VLOOKUP($A215,EVENTO!$A$2:$C$4999,2,FALSE),"")</f>
        <v>CADASTRO</v>
      </c>
      <c r="C215" s="50" t="str">
        <f>IFERROR(VLOOKUP($A215,EVENTO!$A$2:$C$4999,3,FALSE),"")</f>
        <v>1o GRUPAMENTO DE ENGENHARIA</v>
      </c>
      <c r="D215" s="6" t="s">
        <v>1382</v>
      </c>
      <c r="E215" s="112" t="s">
        <v>2111</v>
      </c>
      <c r="F215" s="9" t="s">
        <v>2110</v>
      </c>
      <c r="G215" s="6">
        <v>144000.0</v>
      </c>
      <c r="H215" s="79">
        <v>0.19375</v>
      </c>
    </row>
    <row r="216">
      <c r="A216" s="6">
        <v>58.0</v>
      </c>
      <c r="B216" s="50" t="str">
        <f>IFERROR(VLOOKUP($A216,EVENTO!$A$2:$C$4999,2,FALSE),"")</f>
        <v>ADITIVO DE QUANTIDADE</v>
      </c>
      <c r="C216" s="50" t="str">
        <f>IFERROR(VLOOKUP($A216,EVENTO!$A$2:$C$4999,3,FALSE),"")</f>
        <v>1o GRUPAMENTO DE ENGENHARIA</v>
      </c>
      <c r="D216" s="6" t="s">
        <v>1380</v>
      </c>
      <c r="E216" s="112" t="s">
        <v>2108</v>
      </c>
      <c r="F216" s="9" t="s">
        <v>2109</v>
      </c>
      <c r="G216" s="6">
        <v>3080000.0</v>
      </c>
      <c r="H216" s="79">
        <v>0.0455</v>
      </c>
    </row>
    <row r="217">
      <c r="A217" s="6">
        <v>58.0</v>
      </c>
      <c r="B217" s="50" t="str">
        <f>IFERROR(VLOOKUP($A217,EVENTO!$A$2:$C$4999,2,FALSE),"")</f>
        <v>ADITIVO DE QUANTIDADE</v>
      </c>
      <c r="C217" s="50" t="str">
        <f>IFERROR(VLOOKUP($A217,EVENTO!$A$2:$C$4999,3,FALSE),"")</f>
        <v>1o GRUPAMENTO DE ENGENHARIA</v>
      </c>
      <c r="D217" s="6" t="s">
        <v>1380</v>
      </c>
      <c r="E217" s="112" t="s">
        <v>2108</v>
      </c>
      <c r="F217" s="9" t="s">
        <v>2110</v>
      </c>
      <c r="G217" s="6">
        <v>1232000.0</v>
      </c>
      <c r="H217" s="79">
        <v>0.0195</v>
      </c>
    </row>
    <row r="218">
      <c r="A218" s="6">
        <v>58.0</v>
      </c>
      <c r="B218" s="50" t="str">
        <f>IFERROR(VLOOKUP($A218,EVENTO!$A$2:$C$4999,2,FALSE),"")</f>
        <v>ADITIVO DE QUANTIDADE</v>
      </c>
      <c r="C218" s="50" t="str">
        <f>IFERROR(VLOOKUP($A218,EVENTO!$A$2:$C$4999,3,FALSE),"")</f>
        <v>1o GRUPAMENTO DE ENGENHARIA</v>
      </c>
      <c r="D218" s="6" t="s">
        <v>1382</v>
      </c>
      <c r="E218" s="112" t="s">
        <v>2111</v>
      </c>
      <c r="F218" s="9" t="s">
        <v>2109</v>
      </c>
      <c r="G218" s="6">
        <v>288000.0</v>
      </c>
      <c r="H218" s="79">
        <v>0.298263</v>
      </c>
    </row>
    <row r="219">
      <c r="A219" s="6">
        <v>58.0</v>
      </c>
      <c r="B219" s="50" t="str">
        <f>IFERROR(VLOOKUP($A219,EVENTO!$A$2:$C$4999,2,FALSE),"")</f>
        <v>ADITIVO DE QUANTIDADE</v>
      </c>
      <c r="C219" s="50" t="str">
        <f>IFERROR(VLOOKUP($A219,EVENTO!$A$2:$C$4999,3,FALSE),"")</f>
        <v>1o GRUPAMENTO DE ENGENHARIA</v>
      </c>
      <c r="D219" s="6" t="s">
        <v>1382</v>
      </c>
      <c r="E219" s="112" t="s">
        <v>2111</v>
      </c>
      <c r="F219" s="9" t="s">
        <v>2110</v>
      </c>
      <c r="G219" s="6">
        <v>144000.0</v>
      </c>
      <c r="H219" s="79">
        <v>0.19375</v>
      </c>
    </row>
    <row r="220">
      <c r="A220" s="11"/>
      <c r="B220" s="50" t="str">
        <f>IFERROR(VLOOKUP($A220,EVENTO!$A$2:$C$4999,2,FALSE),"")</f>
        <v/>
      </c>
      <c r="C220" s="50" t="str">
        <f>IFERROR(VLOOKUP($A220,EVENTO!$A$2:$C$4999,3,FALSE),"")</f>
        <v/>
      </c>
      <c r="D220" s="6" t="s">
        <v>1380</v>
      </c>
      <c r="E220" s="112" t="s">
        <v>2108</v>
      </c>
      <c r="F220" s="9" t="s">
        <v>2109</v>
      </c>
      <c r="G220" s="6">
        <v>15000.0</v>
      </c>
      <c r="H220" s="79">
        <v>390.0</v>
      </c>
    </row>
    <row r="221">
      <c r="A221" s="6">
        <v>59.0</v>
      </c>
      <c r="B221" s="50" t="str">
        <f>IFERROR(VLOOKUP($A221,EVENTO!$A$2:$C$4999,2,FALSE),"")</f>
        <v>CADASTRO</v>
      </c>
      <c r="C221" s="50" t="str">
        <f>IFERROR(VLOOKUP($A221,EVENTO!$A$2:$C$4999,3,FALSE),"")</f>
        <v>COLEGIO MILITAR DE SÃO PAULO</v>
      </c>
      <c r="D221" s="6" t="s">
        <v>1380</v>
      </c>
      <c r="E221" s="112" t="s">
        <v>2108</v>
      </c>
      <c r="F221" s="9" t="s">
        <v>2110</v>
      </c>
      <c r="G221" s="6">
        <v>72000.0</v>
      </c>
      <c r="H221" s="79">
        <v>0.06</v>
      </c>
    </row>
    <row r="222">
      <c r="A222" s="6">
        <v>59.0</v>
      </c>
      <c r="B222" s="50" t="str">
        <f>IFERROR(VLOOKUP($A222,EVENTO!$A$2:$C$4999,2,FALSE),"")</f>
        <v>CADASTRO</v>
      </c>
      <c r="C222" s="50" t="str">
        <f>IFERROR(VLOOKUP($A222,EVENTO!$A$2:$C$4999,3,FALSE),"")</f>
        <v>COLEGIO MILITAR DE SÃO PAULO</v>
      </c>
      <c r="D222" s="6" t="s">
        <v>1382</v>
      </c>
      <c r="E222" s="112" t="s">
        <v>2111</v>
      </c>
      <c r="F222" s="9" t="s">
        <v>2110</v>
      </c>
      <c r="G222" s="6">
        <v>24000.0</v>
      </c>
      <c r="H222" s="79">
        <v>0.3</v>
      </c>
    </row>
    <row r="223">
      <c r="A223" s="6">
        <v>60.0</v>
      </c>
      <c r="B223" s="50" t="str">
        <f>IFERROR(VLOOKUP($A223,EVENTO!$A$2:$C$4999,2,FALSE),"")</f>
        <v>ADITIVO DE REAJUSTE E PRAZO</v>
      </c>
      <c r="C223" s="50" t="str">
        <f>IFERROR(VLOOKUP($A223,EVENTO!$A$2:$C$4999,3,FALSE),"")</f>
        <v>COLEGIO MILITAR DE SÃO PAULO</v>
      </c>
      <c r="D223" s="6" t="s">
        <v>1380</v>
      </c>
      <c r="E223" s="112" t="s">
        <v>2108</v>
      </c>
      <c r="F223" s="9" t="s">
        <v>2110</v>
      </c>
      <c r="G223" s="6">
        <v>72000.0</v>
      </c>
      <c r="H223" s="79">
        <v>0.06</v>
      </c>
    </row>
    <row r="224">
      <c r="A224" s="6">
        <v>60.0</v>
      </c>
      <c r="B224" s="50" t="str">
        <f>IFERROR(VLOOKUP($A224,EVENTO!$A$2:$C$4999,2,FALSE),"")</f>
        <v>ADITIVO DE REAJUSTE E PRAZO</v>
      </c>
      <c r="C224" s="50" t="str">
        <f>IFERROR(VLOOKUP($A224,EVENTO!$A$2:$C$4999,3,FALSE),"")</f>
        <v>COLEGIO MILITAR DE SÃO PAULO</v>
      </c>
      <c r="D224" s="6" t="s">
        <v>1382</v>
      </c>
      <c r="E224" s="112" t="s">
        <v>2111</v>
      </c>
      <c r="F224" s="9" t="s">
        <v>2110</v>
      </c>
      <c r="G224" s="6">
        <v>24000.0</v>
      </c>
      <c r="H224" s="79">
        <v>0.3</v>
      </c>
    </row>
    <row r="225">
      <c r="A225" s="6">
        <v>62.0</v>
      </c>
      <c r="B225" s="50" t="str">
        <f>IFERROR(VLOOKUP($A225,EVENTO!$A$2:$C$4999,2,FALSE),"")</f>
        <v>APOSTILAMENTO</v>
      </c>
      <c r="C225" s="50" t="str">
        <f>IFERROR(VLOOKUP($A225,EVENTO!$A$2:$C$4999,3,FALSE),"")</f>
        <v>COLEGIO MILITAR DE SÃO PAULO</v>
      </c>
      <c r="D225" s="6" t="s">
        <v>1380</v>
      </c>
      <c r="E225" s="112" t="s">
        <v>2108</v>
      </c>
      <c r="F225" s="9" t="s">
        <v>2110</v>
      </c>
      <c r="G225" s="6">
        <v>72000.0</v>
      </c>
      <c r="H225" s="79">
        <v>0.0642</v>
      </c>
    </row>
    <row r="226">
      <c r="A226" s="6">
        <v>62.0</v>
      </c>
      <c r="B226" s="50" t="str">
        <f>IFERROR(VLOOKUP($A226,EVENTO!$A$2:$C$4999,2,FALSE),"")</f>
        <v>APOSTILAMENTO</v>
      </c>
      <c r="C226" s="50" t="str">
        <f>IFERROR(VLOOKUP($A226,EVENTO!$A$2:$C$4999,3,FALSE),"")</f>
        <v>COLEGIO MILITAR DE SÃO PAULO</v>
      </c>
      <c r="D226" s="6" t="s">
        <v>1382</v>
      </c>
      <c r="E226" s="112" t="s">
        <v>2111</v>
      </c>
      <c r="F226" s="9" t="s">
        <v>2110</v>
      </c>
      <c r="G226" s="6">
        <v>24000.0</v>
      </c>
      <c r="H226" s="79">
        <v>0.3209</v>
      </c>
    </row>
    <row r="227">
      <c r="A227" s="6">
        <v>63.0</v>
      </c>
      <c r="B227" s="50" t="str">
        <f>IFERROR(VLOOKUP($A227,EVENTO!$A$2:$C$4999,2,FALSE),"")</f>
        <v>CADASTRO</v>
      </c>
      <c r="C227" s="50" t="str">
        <f>IFERROR(VLOOKUP($A227,EVENTO!$A$2:$C$4999,3,FALSE),"")</f>
        <v>INCRA</v>
      </c>
      <c r="D227" s="6" t="s">
        <v>1380</v>
      </c>
      <c r="E227" s="112" t="s">
        <v>2108</v>
      </c>
      <c r="F227" s="9" t="s">
        <v>2109</v>
      </c>
      <c r="G227" s="6">
        <v>619200.0</v>
      </c>
      <c r="H227" s="79">
        <v>0.049</v>
      </c>
    </row>
    <row r="228">
      <c r="A228" s="6">
        <v>63.0</v>
      </c>
      <c r="B228" s="50" t="str">
        <f>IFERROR(VLOOKUP($A228,EVENTO!$A$2:$C$4999,2,FALSE),"")</f>
        <v>CADASTRO</v>
      </c>
      <c r="C228" s="50" t="str">
        <f>IFERROR(VLOOKUP($A228,EVENTO!$A$2:$C$4999,3,FALSE),"")</f>
        <v>INCRA</v>
      </c>
      <c r="D228" s="6" t="s">
        <v>1380</v>
      </c>
      <c r="E228" s="112" t="s">
        <v>2108</v>
      </c>
      <c r="F228" s="9" t="s">
        <v>2110</v>
      </c>
      <c r="G228" s="6">
        <v>661920.0</v>
      </c>
      <c r="H228" s="79">
        <v>0.04</v>
      </c>
    </row>
    <row r="229">
      <c r="A229" s="6">
        <v>63.0</v>
      </c>
      <c r="B229" s="50" t="str">
        <f>IFERROR(VLOOKUP($A229,EVENTO!$A$2:$C$4999,2,FALSE),"")</f>
        <v>CADASTRO</v>
      </c>
      <c r="C229" s="50" t="str">
        <f>IFERROR(VLOOKUP($A229,EVENTO!$A$2:$C$4999,3,FALSE),"")</f>
        <v>INCRA</v>
      </c>
      <c r="D229" s="6" t="s">
        <v>1382</v>
      </c>
      <c r="E229" s="112" t="s">
        <v>2111</v>
      </c>
      <c r="F229" s="9" t="s">
        <v>2109</v>
      </c>
      <c r="G229" s="6">
        <v>69660.0</v>
      </c>
      <c r="H229" s="79">
        <v>0.29</v>
      </c>
    </row>
    <row r="230">
      <c r="A230" s="6">
        <v>63.0</v>
      </c>
      <c r="B230" s="50" t="str">
        <f>IFERROR(VLOOKUP($A230,EVENTO!$A$2:$C$4999,2,FALSE),"")</f>
        <v>CADASTRO</v>
      </c>
      <c r="C230" s="50" t="str">
        <f>IFERROR(VLOOKUP($A230,EVENTO!$A$2:$C$4999,3,FALSE),"")</f>
        <v>INCRA</v>
      </c>
      <c r="D230" s="6" t="s">
        <v>1382</v>
      </c>
      <c r="E230" s="112" t="s">
        <v>2111</v>
      </c>
      <c r="F230" s="9" t="s">
        <v>2110</v>
      </c>
      <c r="G230" s="6">
        <v>6966.0</v>
      </c>
      <c r="H230" s="79">
        <v>0.19</v>
      </c>
    </row>
    <row r="231">
      <c r="A231" s="6">
        <v>64.0</v>
      </c>
      <c r="B231" s="50" t="str">
        <f>IFERROR(VLOOKUP($A231,EVENTO!$A$2:$C$4999,2,FALSE),"")</f>
        <v>ADITIVO DE REAJUSTE E PRAZO</v>
      </c>
      <c r="C231" s="50" t="str">
        <f>IFERROR(VLOOKUP($A231,EVENTO!$A$2:$C$4999,3,FALSE),"")</f>
        <v>INCRA</v>
      </c>
      <c r="D231" s="11"/>
      <c r="E231" s="112" t="s">
        <v>2108</v>
      </c>
      <c r="F231" s="9" t="s">
        <v>2109</v>
      </c>
      <c r="G231" s="6">
        <v>619200.0</v>
      </c>
      <c r="H231" s="79">
        <v>0.0514</v>
      </c>
    </row>
    <row r="232">
      <c r="A232" s="6">
        <v>64.0</v>
      </c>
      <c r="B232" s="50" t="str">
        <f>IFERROR(VLOOKUP($A232,EVENTO!$A$2:$C$4999,2,FALSE),"")</f>
        <v>ADITIVO DE REAJUSTE E PRAZO</v>
      </c>
      <c r="C232" s="50" t="str">
        <f>IFERROR(VLOOKUP($A232,EVENTO!$A$2:$C$4999,3,FALSE),"")</f>
        <v>INCRA</v>
      </c>
      <c r="D232" s="11"/>
      <c r="E232" s="112" t="s">
        <v>2108</v>
      </c>
      <c r="F232" s="9" t="s">
        <v>2110</v>
      </c>
      <c r="G232" s="6">
        <v>661920.0</v>
      </c>
      <c r="H232" s="79">
        <v>0.0419</v>
      </c>
    </row>
    <row r="233">
      <c r="A233" s="6">
        <v>64.0</v>
      </c>
      <c r="B233" s="50" t="str">
        <f>IFERROR(VLOOKUP($A233,EVENTO!$A$2:$C$4999,2,FALSE),"")</f>
        <v>ADITIVO DE REAJUSTE E PRAZO</v>
      </c>
      <c r="C233" s="50" t="str">
        <f>IFERROR(VLOOKUP($A233,EVENTO!$A$2:$C$4999,3,FALSE),"")</f>
        <v>INCRA</v>
      </c>
      <c r="D233" s="11"/>
      <c r="E233" s="112" t="s">
        <v>2111</v>
      </c>
      <c r="F233" s="9" t="s">
        <v>2109</v>
      </c>
      <c r="G233" s="6">
        <v>69660.0</v>
      </c>
      <c r="H233" s="79">
        <v>0.304</v>
      </c>
    </row>
    <row r="234">
      <c r="A234" s="6">
        <v>64.0</v>
      </c>
      <c r="B234" s="50" t="str">
        <f>IFERROR(VLOOKUP($A234,EVENTO!$A$2:$C$4999,2,FALSE),"")</f>
        <v>ADITIVO DE REAJUSTE E PRAZO</v>
      </c>
      <c r="C234" s="50" t="str">
        <f>IFERROR(VLOOKUP($A234,EVENTO!$A$2:$C$4999,3,FALSE),"")</f>
        <v>INCRA</v>
      </c>
      <c r="D234" s="11"/>
      <c r="E234" s="112" t="s">
        <v>2111</v>
      </c>
      <c r="F234" s="9" t="s">
        <v>2110</v>
      </c>
      <c r="G234" s="6">
        <v>6966.0</v>
      </c>
      <c r="H234" s="79">
        <v>0.1992</v>
      </c>
    </row>
    <row r="235">
      <c r="A235" s="6">
        <v>69.0</v>
      </c>
      <c r="B235" s="50" t="str">
        <f>IFERROR(VLOOKUP($A235,EVENTO!$A$2:$C$4999,2,FALSE),"")</f>
        <v>CADASTRO</v>
      </c>
      <c r="C235" s="50" t="str">
        <f>IFERROR(VLOOKUP($A235,EVENTO!$A$2:$C$4999,3,FALSE),"")</f>
        <v>DETRAN MA</v>
      </c>
      <c r="D235" s="6" t="s">
        <v>1456</v>
      </c>
      <c r="E235" s="6" t="s">
        <v>2132</v>
      </c>
      <c r="F235" s="6" t="s">
        <v>2133</v>
      </c>
      <c r="G235" s="6">
        <v>300.0</v>
      </c>
      <c r="H235" s="79">
        <v>377.0</v>
      </c>
    </row>
    <row r="236">
      <c r="A236" s="6">
        <v>69.0</v>
      </c>
      <c r="B236" s="50" t="str">
        <f>IFERROR(VLOOKUP($A236,EVENTO!$A$2:$C$4999,2,FALSE),"")</f>
        <v>CADASTRO</v>
      </c>
      <c r="C236" s="50" t="str">
        <f>IFERROR(VLOOKUP($A236,EVENTO!$A$2:$C$4999,3,FALSE),"")</f>
        <v>DETRAN MA</v>
      </c>
      <c r="D236" s="6" t="s">
        <v>1458</v>
      </c>
      <c r="E236" s="6" t="s">
        <v>2132</v>
      </c>
      <c r="F236" s="6" t="s">
        <v>2133</v>
      </c>
      <c r="G236" s="6">
        <v>70.0</v>
      </c>
      <c r="H236" s="79">
        <v>593.33</v>
      </c>
    </row>
    <row r="237">
      <c r="A237" s="6">
        <v>74.0</v>
      </c>
      <c r="B237" s="50" t="str">
        <f>IFERROR(VLOOKUP($A237,EVENTO!$A$2:$C$4999,2,FALSE),"")</f>
        <v>CADASTRO</v>
      </c>
      <c r="C237" s="50" t="str">
        <f>IFERROR(VLOOKUP($A237,EVENTO!$A$2:$C$4999,3,FALSE),"")</f>
        <v>PCDF </v>
      </c>
      <c r="D237" s="6" t="s">
        <v>1382</v>
      </c>
      <c r="E237" s="112" t="s">
        <v>2111</v>
      </c>
      <c r="F237" s="9" t="s">
        <v>2109</v>
      </c>
      <c r="G237" s="6">
        <v>2.16E7</v>
      </c>
      <c r="H237" s="79">
        <v>0.2088</v>
      </c>
    </row>
    <row r="238">
      <c r="A238" s="6">
        <v>74.0</v>
      </c>
      <c r="B238" s="50" t="str">
        <f>IFERROR(VLOOKUP($A238,EVENTO!$A$2:$C$4999,2,FALSE),"")</f>
        <v>CADASTRO</v>
      </c>
      <c r="C238" s="50" t="str">
        <f>IFERROR(VLOOKUP($A238,EVENTO!$A$2:$C$4999,3,FALSE),"")</f>
        <v>PCDF </v>
      </c>
      <c r="D238" s="6" t="s">
        <v>1382</v>
      </c>
      <c r="E238" s="112" t="s">
        <v>2111</v>
      </c>
      <c r="F238" s="9" t="s">
        <v>2110</v>
      </c>
      <c r="G238" s="6">
        <v>1.5E7</v>
      </c>
      <c r="H238" s="79">
        <v>0.146</v>
      </c>
    </row>
    <row r="239">
      <c r="A239" s="6">
        <v>74.0</v>
      </c>
      <c r="B239" s="50" t="str">
        <f>IFERROR(VLOOKUP($A239,EVENTO!$A$2:$C$4999,2,FALSE),"")</f>
        <v>CADASTRO</v>
      </c>
      <c r="C239" s="50" t="str">
        <f>IFERROR(VLOOKUP($A239,EVENTO!$A$2:$C$4999,3,FALSE),"")</f>
        <v>PCDF </v>
      </c>
      <c r="D239" s="6" t="s">
        <v>1380</v>
      </c>
      <c r="E239" s="112" t="s">
        <v>2108</v>
      </c>
      <c r="F239" s="9" t="s">
        <v>2109</v>
      </c>
      <c r="G239" s="6">
        <v>1.8E7</v>
      </c>
      <c r="H239" s="79">
        <v>0.1023</v>
      </c>
    </row>
    <row r="240">
      <c r="A240" s="6">
        <v>74.0</v>
      </c>
      <c r="B240" s="50" t="str">
        <f>IFERROR(VLOOKUP($A240,EVENTO!$A$2:$C$4999,2,FALSE),"")</f>
        <v>CADASTRO</v>
      </c>
      <c r="C240" s="50" t="str">
        <f>IFERROR(VLOOKUP($A240,EVENTO!$A$2:$C$4999,3,FALSE),"")</f>
        <v>PCDF </v>
      </c>
      <c r="D240" s="6" t="s">
        <v>1380</v>
      </c>
      <c r="E240" s="112" t="s">
        <v>2108</v>
      </c>
      <c r="F240" s="9" t="s">
        <v>2110</v>
      </c>
      <c r="G240" s="6">
        <v>1.2E7</v>
      </c>
      <c r="H240" s="79">
        <v>0.0351</v>
      </c>
    </row>
    <row r="241">
      <c r="A241" s="6">
        <v>74.0</v>
      </c>
      <c r="B241" s="50" t="str">
        <f>IFERROR(VLOOKUP($A241,EVENTO!$A$2:$C$4999,2,FALSE),"")</f>
        <v>CADASTRO</v>
      </c>
      <c r="C241" s="50" t="str">
        <f>IFERROR(VLOOKUP($A241,EVENTO!$A$2:$C$4999,3,FALSE),"")</f>
        <v>PCDF </v>
      </c>
      <c r="D241" s="6" t="s">
        <v>1465</v>
      </c>
      <c r="E241" s="112" t="s">
        <v>2129</v>
      </c>
      <c r="F241" s="9" t="s">
        <v>2109</v>
      </c>
      <c r="G241" s="6">
        <v>2160000.0</v>
      </c>
      <c r="H241" s="79">
        <v>0.541</v>
      </c>
    </row>
    <row r="242">
      <c r="A242" s="6">
        <v>74.0</v>
      </c>
      <c r="B242" s="50" t="str">
        <f>IFERROR(VLOOKUP($A242,EVENTO!$A$2:$C$4999,2,FALSE),"")</f>
        <v>CADASTRO</v>
      </c>
      <c r="C242" s="50" t="str">
        <f>IFERROR(VLOOKUP($A242,EVENTO!$A$2:$C$4999,3,FALSE),"")</f>
        <v>PCDF </v>
      </c>
      <c r="D242" s="6" t="s">
        <v>1465</v>
      </c>
      <c r="E242" s="112" t="s">
        <v>2129</v>
      </c>
      <c r="F242" s="9" t="s">
        <v>2110</v>
      </c>
      <c r="G242" s="6">
        <v>1500000.0</v>
      </c>
      <c r="H242" s="79">
        <v>0.15</v>
      </c>
    </row>
    <row r="243">
      <c r="A243" s="6">
        <v>74.0</v>
      </c>
      <c r="B243" s="50" t="str">
        <f>IFERROR(VLOOKUP($A243,EVENTO!$A$2:$C$4999,2,FALSE),"")</f>
        <v>CADASTRO</v>
      </c>
      <c r="C243" s="50" t="str">
        <f>IFERROR(VLOOKUP($A243,EVENTO!$A$2:$C$4999,3,FALSE),"")</f>
        <v>PCDF </v>
      </c>
      <c r="D243" s="6" t="s">
        <v>1465</v>
      </c>
      <c r="E243" s="112" t="s">
        <v>2112</v>
      </c>
      <c r="F243" s="9" t="s">
        <v>2109</v>
      </c>
      <c r="G243" s="6">
        <v>300000.0</v>
      </c>
      <c r="H243" s="79">
        <v>0.17</v>
      </c>
    </row>
    <row r="244">
      <c r="A244" s="6">
        <v>74.0</v>
      </c>
      <c r="B244" s="50" t="str">
        <f>IFERROR(VLOOKUP($A244,EVENTO!$A$2:$C$4999,2,FALSE),"")</f>
        <v>CADASTRO</v>
      </c>
      <c r="C244" s="50" t="str">
        <f>IFERROR(VLOOKUP($A244,EVENTO!$A$2:$C$4999,3,FALSE),"")</f>
        <v>PCDF </v>
      </c>
      <c r="D244" s="6" t="s">
        <v>1465</v>
      </c>
      <c r="E244" s="112" t="s">
        <v>2112</v>
      </c>
      <c r="F244" s="9" t="s">
        <v>2110</v>
      </c>
      <c r="G244" s="6">
        <v>204000.0</v>
      </c>
      <c r="H244" s="79">
        <v>0.1311</v>
      </c>
    </row>
    <row r="245">
      <c r="A245" s="6">
        <v>70.0</v>
      </c>
      <c r="B245" s="50" t="str">
        <f>IFERROR(VLOOKUP($A245,EVENTO!$A$2:$C$4999,2,FALSE),"")</f>
        <v>CADASTRO</v>
      </c>
      <c r="C245" s="50" t="str">
        <f>IFERROR(VLOOKUP($A245,EVENTO!$A$2:$C$4999,3,FALSE),"")</f>
        <v>IPAM</v>
      </c>
      <c r="D245" s="6" t="s">
        <v>1460</v>
      </c>
      <c r="E245" s="9" t="s">
        <v>2132</v>
      </c>
      <c r="F245" s="9" t="s">
        <v>2134</v>
      </c>
      <c r="G245" s="6">
        <v>10.0</v>
      </c>
      <c r="H245" s="79" t="s">
        <v>2135</v>
      </c>
    </row>
    <row r="246">
      <c r="A246" s="6">
        <v>70.0</v>
      </c>
      <c r="B246" s="50" t="str">
        <f>IFERROR(VLOOKUP($A246,EVENTO!$A$2:$C$4999,2,FALSE),"")</f>
        <v>CADASTRO</v>
      </c>
      <c r="C246" s="50" t="str">
        <f>IFERROR(VLOOKUP($A246,EVENTO!$A$2:$C$4999,3,FALSE),"")</f>
        <v>IPAM</v>
      </c>
      <c r="D246" s="6" t="s">
        <v>1467</v>
      </c>
      <c r="E246" s="6" t="s">
        <v>2132</v>
      </c>
      <c r="F246" s="6" t="s">
        <v>2134</v>
      </c>
      <c r="G246" s="6">
        <v>30.0</v>
      </c>
      <c r="H246" s="79" t="s">
        <v>2136</v>
      </c>
    </row>
    <row r="247">
      <c r="A247" s="6">
        <v>71.0</v>
      </c>
      <c r="B247" s="50" t="str">
        <f>IFERROR(VLOOKUP($A247,EVENTO!$A$2:$C$4999,2,FALSE),"")</f>
        <v>ADITIVO DE QUANTIDADE E PRAZO</v>
      </c>
      <c r="C247" s="50" t="str">
        <f>IFERROR(VLOOKUP($A247,EVENTO!$A$2:$C$4999,3,FALSE),"")</f>
        <v>IPAM</v>
      </c>
      <c r="D247" s="6" t="s">
        <v>1460</v>
      </c>
      <c r="E247" s="6" t="s">
        <v>2132</v>
      </c>
      <c r="F247" s="6" t="s">
        <v>2134</v>
      </c>
      <c r="G247" s="6">
        <v>12.0</v>
      </c>
      <c r="H247" s="79" t="s">
        <v>2135</v>
      </c>
    </row>
    <row r="248">
      <c r="A248" s="6">
        <v>76.0</v>
      </c>
      <c r="B248" s="50" t="str">
        <f>IFERROR(VLOOKUP($A248,EVENTO!$A$2:$C$4999,2,FALSE),"")</f>
        <v>CADASTRO</v>
      </c>
      <c r="C248" s="50" t="str">
        <f>IFERROR(VLOOKUP($A248,EVENTO!$A$2:$C$4999,3,FALSE),"")</f>
        <v>ALEMA</v>
      </c>
      <c r="D248" s="6" t="s">
        <v>1469</v>
      </c>
      <c r="E248" s="9" t="s">
        <v>2132</v>
      </c>
      <c r="F248" s="6" t="s">
        <v>2134</v>
      </c>
      <c r="G248" s="6">
        <v>712.0</v>
      </c>
      <c r="H248" s="79" t="s">
        <v>2137</v>
      </c>
    </row>
    <row r="249">
      <c r="A249" s="6">
        <v>71.0</v>
      </c>
      <c r="B249" s="50" t="str">
        <f>IFERROR(VLOOKUP($A249,EVENTO!$A$2:$C$4999,2,FALSE),"")</f>
        <v>ADITIVO DE QUANTIDADE E PRAZO</v>
      </c>
      <c r="C249" s="50" t="str">
        <f>IFERROR(VLOOKUP($A249,EVENTO!$A$2:$C$4999,3,FALSE),"")</f>
        <v>IPAM</v>
      </c>
      <c r="D249" s="6" t="s">
        <v>1467</v>
      </c>
      <c r="E249" s="6" t="s">
        <v>2132</v>
      </c>
      <c r="F249" s="6" t="s">
        <v>2132</v>
      </c>
      <c r="G249" s="6">
        <v>30.0</v>
      </c>
      <c r="H249" s="79" t="s">
        <v>2136</v>
      </c>
    </row>
    <row r="250">
      <c r="A250" s="6">
        <v>76.0</v>
      </c>
      <c r="B250" s="50" t="str">
        <f>IFERROR(VLOOKUP($A250,EVENTO!$A$2:$C$4999,2,FALSE),"")</f>
        <v>CADASTRO</v>
      </c>
      <c r="C250" s="50" t="str">
        <f>IFERROR(VLOOKUP($A250,EVENTO!$A$2:$C$4999,3,FALSE),"")</f>
        <v>ALEMA</v>
      </c>
      <c r="D250" s="6" t="s">
        <v>1471</v>
      </c>
      <c r="E250" s="9" t="s">
        <v>2132</v>
      </c>
      <c r="F250" s="9" t="s">
        <v>2132</v>
      </c>
      <c r="G250" s="6">
        <v>712.0</v>
      </c>
      <c r="H250" s="79">
        <v>100.9</v>
      </c>
    </row>
    <row r="251">
      <c r="A251" s="6">
        <v>72.0</v>
      </c>
      <c r="B251" s="50" t="str">
        <f>IFERROR(VLOOKUP($A251,EVENTO!$A$2:$C$4999,2,FALSE),"")</f>
        <v>ADITIVO DE PRAZO</v>
      </c>
      <c r="C251" s="50" t="str">
        <f>IFERROR(VLOOKUP($A251,EVENTO!$A$2:$C$4999,3,FALSE),"")</f>
        <v>IPAM</v>
      </c>
      <c r="D251" s="6" t="s">
        <v>1460</v>
      </c>
      <c r="E251" s="9" t="s">
        <v>2132</v>
      </c>
      <c r="F251" s="9" t="s">
        <v>2132</v>
      </c>
      <c r="G251" s="6">
        <v>12.0</v>
      </c>
      <c r="H251" s="79" t="s">
        <v>2138</v>
      </c>
    </row>
    <row r="252">
      <c r="A252" s="6">
        <v>72.0</v>
      </c>
      <c r="B252" s="50" t="str">
        <f>IFERROR(VLOOKUP($A252,EVENTO!$A$2:$C$4999,2,FALSE),"")</f>
        <v>ADITIVO DE PRAZO</v>
      </c>
      <c r="C252" s="50" t="str">
        <f>IFERROR(VLOOKUP($A252,EVENTO!$A$2:$C$4999,3,FALSE),"")</f>
        <v>IPAM</v>
      </c>
      <c r="D252" s="6" t="s">
        <v>1467</v>
      </c>
      <c r="E252" s="6" t="s">
        <v>2132</v>
      </c>
      <c r="F252" s="9" t="s">
        <v>2132</v>
      </c>
      <c r="G252" s="6">
        <v>30.0</v>
      </c>
      <c r="H252" s="79" t="s">
        <v>2136</v>
      </c>
    </row>
    <row r="253">
      <c r="A253" s="6">
        <v>73.0</v>
      </c>
      <c r="B253" s="50" t="str">
        <f>IFERROR(VLOOKUP($A253,EVENTO!$A$2:$C$4999,2,FALSE),"")</f>
        <v>ADITIVO DE REAJUSTE E PRAZO</v>
      </c>
      <c r="C253" s="50" t="str">
        <f>IFERROR(VLOOKUP($A253,EVENTO!$A$2:$C$4999,3,FALSE),"")</f>
        <v>IPAM</v>
      </c>
      <c r="D253" s="6" t="s">
        <v>1460</v>
      </c>
      <c r="E253" s="6" t="s">
        <v>2132</v>
      </c>
      <c r="F253" s="9" t="s">
        <v>2132</v>
      </c>
      <c r="G253" s="6">
        <v>30.0</v>
      </c>
      <c r="H253" s="79" t="s">
        <v>2139</v>
      </c>
    </row>
    <row r="254">
      <c r="A254" s="6">
        <v>73.0</v>
      </c>
      <c r="B254" s="50" t="str">
        <f>IFERROR(VLOOKUP($A254,EVENTO!$A$2:$C$4999,2,FALSE),"")</f>
        <v>ADITIVO DE REAJUSTE E PRAZO</v>
      </c>
      <c r="C254" s="50" t="str">
        <f>IFERROR(VLOOKUP($A254,EVENTO!$A$2:$C$4999,3,FALSE),"")</f>
        <v>IPAM</v>
      </c>
      <c r="D254" s="6" t="s">
        <v>1460</v>
      </c>
      <c r="E254" s="6" t="s">
        <v>2132</v>
      </c>
      <c r="F254" s="9" t="s">
        <v>2132</v>
      </c>
      <c r="G254" s="6">
        <v>12.0</v>
      </c>
      <c r="H254" s="79" t="s">
        <v>2140</v>
      </c>
    </row>
    <row r="255">
      <c r="A255" s="6">
        <v>78.0</v>
      </c>
      <c r="B255" s="50" t="str">
        <f>IFERROR(VLOOKUP($A255,EVENTO!$A$2:$C$4999,2,FALSE),"")</f>
        <v>CADASTRO</v>
      </c>
      <c r="C255" s="50" t="str">
        <f>IFERROR(VLOOKUP($A255,EVENTO!$A$2:$C$4999,3,FALSE),"")</f>
        <v>SEAP-PB</v>
      </c>
      <c r="D255" s="6" t="s">
        <v>1380</v>
      </c>
      <c r="E255" s="112" t="s">
        <v>2141</v>
      </c>
      <c r="F255" s="9" t="s">
        <v>2109</v>
      </c>
      <c r="G255" s="6">
        <v>1000.0</v>
      </c>
      <c r="H255" s="79">
        <v>0.0</v>
      </c>
    </row>
    <row r="256">
      <c r="A256" s="6">
        <v>81.0</v>
      </c>
      <c r="B256" s="50" t="str">
        <f>IFERROR(VLOOKUP($A256,EVENTO!$A$2:$C$4999,2,FALSE),"")</f>
        <v>CADASTRO</v>
      </c>
      <c r="C256" s="50" t="str">
        <f>IFERROR(VLOOKUP($A256,EVENTO!$A$2:$C$4999,3,FALSE),"")</f>
        <v>PCPB</v>
      </c>
      <c r="D256" s="6" t="s">
        <v>1380</v>
      </c>
      <c r="E256" s="112" t="s">
        <v>2108</v>
      </c>
      <c r="F256" s="9" t="s">
        <v>2109</v>
      </c>
      <c r="G256" s="6">
        <v>40000.0</v>
      </c>
      <c r="H256" s="80"/>
    </row>
    <row r="257">
      <c r="A257" s="6">
        <v>81.0</v>
      </c>
      <c r="B257" s="50" t="str">
        <f>IFERROR(VLOOKUP($A257,EVENTO!$A$2:$C$4999,2,FALSE),"")</f>
        <v>CADASTRO</v>
      </c>
      <c r="C257" s="50" t="str">
        <f>IFERROR(VLOOKUP($A257,EVENTO!$A$2:$C$4999,3,FALSE),"")</f>
        <v>PCPB</v>
      </c>
      <c r="D257" s="6" t="s">
        <v>1477</v>
      </c>
      <c r="E257" s="112" t="s">
        <v>2142</v>
      </c>
      <c r="F257" s="9" t="s">
        <v>2109</v>
      </c>
      <c r="G257" s="6">
        <v>4000.0</v>
      </c>
      <c r="H257" s="80"/>
    </row>
    <row r="258">
      <c r="A258" s="6">
        <v>78.0</v>
      </c>
      <c r="B258" s="50" t="str">
        <f>IFERROR(VLOOKUP($A258,EVENTO!$A$2:$C$4999,2,FALSE),"")</f>
        <v>CADASTRO</v>
      </c>
      <c r="C258" s="50" t="str">
        <f>IFERROR(VLOOKUP($A258,EVENTO!$A$2:$C$4999,3,FALSE),"")</f>
        <v>SEAP-PB</v>
      </c>
      <c r="D258" s="6" t="s">
        <v>1380</v>
      </c>
      <c r="E258" s="112" t="s">
        <v>2141</v>
      </c>
      <c r="F258" s="9" t="s">
        <v>2109</v>
      </c>
      <c r="G258" s="6">
        <v>2000.0</v>
      </c>
      <c r="H258" s="79">
        <v>0.0</v>
      </c>
    </row>
    <row r="259">
      <c r="A259" s="6">
        <v>83.0</v>
      </c>
      <c r="B259" s="50" t="str">
        <f>IFERROR(VLOOKUP($A259,EVENTO!$A$2:$C$4999,2,FALSE),"")</f>
        <v>CADASTRO</v>
      </c>
      <c r="C259" s="50" t="str">
        <f>IFERROR(VLOOKUP($A259,EVENTO!$A$2:$C$4999,3,FALSE),"")</f>
        <v>SETUR</v>
      </c>
      <c r="D259" s="6" t="s">
        <v>1409</v>
      </c>
      <c r="E259" s="82" t="s">
        <v>1409</v>
      </c>
      <c r="F259" s="9" t="s">
        <v>2109</v>
      </c>
      <c r="G259" s="6">
        <v>3500.0</v>
      </c>
      <c r="H259" s="80"/>
    </row>
    <row r="260">
      <c r="A260" s="6">
        <v>83.0</v>
      </c>
      <c r="B260" s="50" t="str">
        <f>IFERROR(VLOOKUP($A260,EVENTO!$A$2:$C$4999,2,FALSE),"")</f>
        <v>CADASTRO</v>
      </c>
      <c r="C260" s="50" t="str">
        <f>IFERROR(VLOOKUP($A260,EVENTO!$A$2:$C$4999,3,FALSE),"")</f>
        <v>SETUR</v>
      </c>
      <c r="D260" s="6" t="s">
        <v>1409</v>
      </c>
      <c r="E260" s="82" t="s">
        <v>1409</v>
      </c>
      <c r="F260" s="9" t="s">
        <v>2109</v>
      </c>
      <c r="G260" s="6">
        <v>3500.0</v>
      </c>
      <c r="H260" s="79"/>
    </row>
    <row r="261">
      <c r="A261" s="6">
        <v>91.0</v>
      </c>
      <c r="B261" s="50" t="str">
        <f>IFERROR(VLOOKUP($A261,EVENTO!$A$2:$C$4999,2,FALSE),"")</f>
        <v>CADASTRO</v>
      </c>
      <c r="C261" s="50" t="str">
        <f>IFERROR(VLOOKUP($A261,EVENTO!$A$2:$C$4999,3,FALSE),"")</f>
        <v>CAMARA DE HORTOLANDIA </v>
      </c>
      <c r="D261" s="6" t="s">
        <v>1380</v>
      </c>
      <c r="E261" s="112" t="s">
        <v>2108</v>
      </c>
      <c r="F261" s="9" t="s">
        <v>2143</v>
      </c>
      <c r="G261" s="6">
        <v>300000.0</v>
      </c>
      <c r="H261" s="79">
        <v>0.14</v>
      </c>
    </row>
    <row r="262">
      <c r="A262" s="6">
        <v>91.0</v>
      </c>
      <c r="B262" s="50" t="str">
        <f>IFERROR(VLOOKUP($A262,EVENTO!$A$2:$C$4999,2,FALSE),"")</f>
        <v>CADASTRO</v>
      </c>
      <c r="C262" s="50" t="str">
        <f>IFERROR(VLOOKUP($A262,EVENTO!$A$2:$C$4999,3,FALSE),"")</f>
        <v>CAMARA DE HORTOLANDIA </v>
      </c>
      <c r="D262" s="6" t="s">
        <v>1380</v>
      </c>
      <c r="E262" s="112" t="s">
        <v>2108</v>
      </c>
      <c r="F262" s="9" t="s">
        <v>2144</v>
      </c>
      <c r="G262" s="6">
        <v>75000.0</v>
      </c>
      <c r="H262" s="79">
        <v>0.1</v>
      </c>
    </row>
    <row r="263">
      <c r="A263" s="6">
        <v>91.0</v>
      </c>
      <c r="B263" s="50" t="str">
        <f>IFERROR(VLOOKUP($A263,EVENTO!$A$2:$C$4999,2,FALSE),"")</f>
        <v>CADASTRO</v>
      </c>
      <c r="C263" s="50" t="str">
        <f>IFERROR(VLOOKUP($A263,EVENTO!$A$2:$C$4999,3,FALSE),"")</f>
        <v>CAMARA DE HORTOLANDIA </v>
      </c>
      <c r="D263" s="6" t="s">
        <v>1477</v>
      </c>
      <c r="E263" s="112" t="s">
        <v>2111</v>
      </c>
      <c r="F263" s="9" t="s">
        <v>2143</v>
      </c>
      <c r="G263" s="6">
        <v>162000.0</v>
      </c>
      <c r="H263" s="79">
        <v>0.46</v>
      </c>
    </row>
    <row r="264">
      <c r="A264" s="6">
        <v>91.0</v>
      </c>
      <c r="B264" s="50" t="str">
        <f>IFERROR(VLOOKUP($A264,EVENTO!$A$2:$C$4999,2,FALSE),"")</f>
        <v>CADASTRO</v>
      </c>
      <c r="C264" s="50" t="str">
        <f>IFERROR(VLOOKUP($A264,EVENTO!$A$2:$C$4999,3,FALSE),"")</f>
        <v>CAMARA DE HORTOLANDIA </v>
      </c>
      <c r="D264" s="6" t="s">
        <v>1477</v>
      </c>
      <c r="E264" s="112" t="s">
        <v>2111</v>
      </c>
      <c r="F264" s="9" t="s">
        <v>2144</v>
      </c>
      <c r="G264" s="6">
        <v>78000.0</v>
      </c>
      <c r="H264" s="79">
        <v>0.41</v>
      </c>
    </row>
    <row r="265">
      <c r="A265" s="6">
        <v>91.0</v>
      </c>
      <c r="B265" s="50" t="str">
        <f>IFERROR(VLOOKUP($A265,EVENTO!$A$2:$C$4999,2,FALSE),"")</f>
        <v>CADASTRO</v>
      </c>
      <c r="C265" s="50" t="str">
        <f>IFERROR(VLOOKUP($A265,EVENTO!$A$2:$C$4999,3,FALSE),"")</f>
        <v>CAMARA DE HORTOLANDIA </v>
      </c>
      <c r="D265" s="6" t="s">
        <v>1509</v>
      </c>
      <c r="E265" s="112" t="s">
        <v>2129</v>
      </c>
      <c r="F265" s="9" t="s">
        <v>2143</v>
      </c>
      <c r="G265" s="6">
        <v>18000.0</v>
      </c>
      <c r="H265" s="79">
        <v>0.73</v>
      </c>
    </row>
    <row r="266">
      <c r="A266" s="6">
        <v>91.0</v>
      </c>
      <c r="B266" s="50" t="str">
        <f>IFERROR(VLOOKUP($A266,EVENTO!$A$2:$C$4999,2,FALSE),"")</f>
        <v>CADASTRO</v>
      </c>
      <c r="C266" s="50" t="str">
        <f>IFERROR(VLOOKUP($A266,EVENTO!$A$2:$C$4999,3,FALSE),"")</f>
        <v>CAMARA DE HORTOLANDIA </v>
      </c>
      <c r="D266" s="6" t="s">
        <v>1509</v>
      </c>
      <c r="E266" s="112" t="s">
        <v>2129</v>
      </c>
      <c r="F266" s="9" t="s">
        <v>2144</v>
      </c>
      <c r="G266" s="6">
        <v>12000.0</v>
      </c>
      <c r="H266" s="79">
        <v>0.57</v>
      </c>
    </row>
    <row r="267">
      <c r="A267" s="6">
        <v>92.0</v>
      </c>
      <c r="B267" s="50" t="str">
        <f>IFERROR(VLOOKUP($A267,EVENTO!$A$2:$C$4999,2,FALSE),"")</f>
        <v>ADITIVO DE REAJUSTE E PRAZO</v>
      </c>
      <c r="C267" s="50" t="str">
        <f>IFERROR(VLOOKUP($A267,EVENTO!$A$2:$C$4999,3,FALSE),"")</f>
        <v>CAMARA DE HORTOLANDIA </v>
      </c>
      <c r="D267" s="11"/>
      <c r="E267" s="112" t="s">
        <v>2108</v>
      </c>
      <c r="F267" s="9" t="s">
        <v>2143</v>
      </c>
      <c r="G267" s="6">
        <v>300000.0</v>
      </c>
      <c r="H267" s="79">
        <v>0.1462</v>
      </c>
    </row>
    <row r="268">
      <c r="A268" s="6">
        <v>92.0</v>
      </c>
      <c r="B268" s="50" t="str">
        <f>IFERROR(VLOOKUP($A268,EVENTO!$A$2:$C$4999,2,FALSE),"")</f>
        <v>ADITIVO DE REAJUSTE E PRAZO</v>
      </c>
      <c r="C268" s="50" t="str">
        <f>IFERROR(VLOOKUP($A268,EVENTO!$A$2:$C$4999,3,FALSE),"")</f>
        <v>CAMARA DE HORTOLANDIA </v>
      </c>
      <c r="D268" s="11"/>
      <c r="E268" s="112" t="s">
        <v>2108</v>
      </c>
      <c r="F268" s="9" t="s">
        <v>2144</v>
      </c>
      <c r="G268" s="6">
        <v>75000.0</v>
      </c>
      <c r="H268" s="79">
        <v>0.1043</v>
      </c>
    </row>
    <row r="269">
      <c r="A269" s="6">
        <v>92.0</v>
      </c>
      <c r="B269" s="50" t="str">
        <f>IFERROR(VLOOKUP($A269,EVENTO!$A$2:$C$4999,2,FALSE),"")</f>
        <v>ADITIVO DE REAJUSTE E PRAZO</v>
      </c>
      <c r="C269" s="50" t="str">
        <f>IFERROR(VLOOKUP($A269,EVENTO!$A$2:$C$4999,3,FALSE),"")</f>
        <v>CAMARA DE HORTOLANDIA </v>
      </c>
      <c r="D269" s="11"/>
      <c r="E269" s="112" t="s">
        <v>2111</v>
      </c>
      <c r="F269" s="9" t="s">
        <v>2143</v>
      </c>
      <c r="G269" s="6">
        <v>162000.0</v>
      </c>
      <c r="H269" s="79">
        <v>0.4807</v>
      </c>
    </row>
    <row r="270">
      <c r="A270" s="6">
        <v>92.0</v>
      </c>
      <c r="B270" s="50" t="str">
        <f>IFERROR(VLOOKUP($A270,EVENTO!$A$2:$C$4999,2,FALSE),"")</f>
        <v>ADITIVO DE REAJUSTE E PRAZO</v>
      </c>
      <c r="C270" s="50" t="str">
        <f>IFERROR(VLOOKUP($A270,EVENTO!$A$2:$C$4999,3,FALSE),"")</f>
        <v>CAMARA DE HORTOLANDIA </v>
      </c>
      <c r="D270" s="11"/>
      <c r="E270" s="112" t="s">
        <v>2111</v>
      </c>
      <c r="F270" s="9" t="s">
        <v>2144</v>
      </c>
      <c r="G270" s="6">
        <v>78000.0</v>
      </c>
      <c r="H270" s="79">
        <v>0.4283</v>
      </c>
    </row>
    <row r="271">
      <c r="A271" s="6">
        <v>92.0</v>
      </c>
      <c r="B271" s="50" t="str">
        <f>IFERROR(VLOOKUP($A271,EVENTO!$A$2:$C$4999,2,FALSE),"")</f>
        <v>ADITIVO DE REAJUSTE E PRAZO</v>
      </c>
      <c r="C271" s="50" t="str">
        <f>IFERROR(VLOOKUP($A271,EVENTO!$A$2:$C$4999,3,FALSE),"")</f>
        <v>CAMARA DE HORTOLANDIA </v>
      </c>
      <c r="D271" s="11"/>
      <c r="E271" s="112" t="s">
        <v>2129</v>
      </c>
      <c r="F271" s="9" t="s">
        <v>2143</v>
      </c>
      <c r="G271" s="6">
        <v>18000.0</v>
      </c>
      <c r="H271" s="79">
        <v>0.7627</v>
      </c>
    </row>
    <row r="272">
      <c r="A272" s="6">
        <v>92.0</v>
      </c>
      <c r="B272" s="50" t="str">
        <f>IFERROR(VLOOKUP($A272,EVENTO!$A$2:$C$4999,2,FALSE),"")</f>
        <v>ADITIVO DE REAJUSTE E PRAZO</v>
      </c>
      <c r="C272" s="50" t="str">
        <f>IFERROR(VLOOKUP($A272,EVENTO!$A$2:$C$4999,3,FALSE),"")</f>
        <v>CAMARA DE HORTOLANDIA </v>
      </c>
      <c r="D272" s="11"/>
      <c r="E272" s="112" t="s">
        <v>2129</v>
      </c>
      <c r="F272" s="9" t="s">
        <v>2144</v>
      </c>
      <c r="G272" s="6">
        <v>12000.0</v>
      </c>
      <c r="H272" s="79">
        <v>0.5955</v>
      </c>
      <c r="J272" s="6" t="s">
        <v>2145</v>
      </c>
    </row>
    <row r="273">
      <c r="A273" s="6">
        <v>93.0</v>
      </c>
      <c r="B273" s="50" t="str">
        <f>IFERROR(VLOOKUP($A273,EVENTO!$A$2:$C$4999,2,FALSE),"")</f>
        <v>ADITIVO DE REAJUSTE E PRAZO</v>
      </c>
      <c r="C273" s="50" t="str">
        <f>IFERROR(VLOOKUP($A273,EVENTO!$A$2:$C$4999,3,FALSE),"")</f>
        <v>CAMARA DE HORTOLANDIA </v>
      </c>
      <c r="D273" s="11"/>
      <c r="E273" s="112" t="s">
        <v>2108</v>
      </c>
      <c r="F273" s="9" t="s">
        <v>2143</v>
      </c>
      <c r="G273" s="6">
        <v>300000.0</v>
      </c>
      <c r="H273" s="79">
        <v>0.15231</v>
      </c>
    </row>
    <row r="274">
      <c r="A274" s="6">
        <v>93.0</v>
      </c>
      <c r="B274" s="50" t="str">
        <f>IFERROR(VLOOKUP($A274,EVENTO!$A$2:$C$4999,2,FALSE),"")</f>
        <v>ADITIVO DE REAJUSTE E PRAZO</v>
      </c>
      <c r="C274" s="50" t="str">
        <f>IFERROR(VLOOKUP($A274,EVENTO!$A$2:$C$4999,3,FALSE),"")</f>
        <v>CAMARA DE HORTOLANDIA </v>
      </c>
      <c r="D274" s="11"/>
      <c r="E274" s="112" t="s">
        <v>2108</v>
      </c>
      <c r="F274" s="9" t="s">
        <v>2144</v>
      </c>
      <c r="G274" s="6">
        <v>75000.0</v>
      </c>
      <c r="H274" s="79">
        <v>0.10866</v>
      </c>
    </row>
    <row r="275">
      <c r="A275" s="6">
        <v>93.0</v>
      </c>
      <c r="B275" s="50" t="str">
        <f>IFERROR(VLOOKUP($A275,EVENTO!$A$2:$C$4999,2,FALSE),"")</f>
        <v>ADITIVO DE REAJUSTE E PRAZO</v>
      </c>
      <c r="C275" s="50" t="str">
        <f>IFERROR(VLOOKUP($A275,EVENTO!$A$2:$C$4999,3,FALSE),"")</f>
        <v>CAMARA DE HORTOLANDIA </v>
      </c>
      <c r="D275" s="11"/>
      <c r="E275" s="112" t="s">
        <v>2111</v>
      </c>
      <c r="F275" s="9" t="s">
        <v>2143</v>
      </c>
      <c r="G275" s="6">
        <v>162000.0</v>
      </c>
      <c r="H275" s="79">
        <v>0.5008</v>
      </c>
    </row>
    <row r="276">
      <c r="A276" s="6">
        <v>93.0</v>
      </c>
      <c r="B276" s="50" t="str">
        <f>IFERROR(VLOOKUP($A276,EVENTO!$A$2:$C$4999,2,FALSE),"")</f>
        <v>ADITIVO DE REAJUSTE E PRAZO</v>
      </c>
      <c r="C276" s="50" t="str">
        <f>IFERROR(VLOOKUP($A276,EVENTO!$A$2:$C$4999,3,FALSE),"")</f>
        <v>CAMARA DE HORTOLANDIA </v>
      </c>
      <c r="D276" s="11"/>
      <c r="E276" s="112" t="s">
        <v>2111</v>
      </c>
      <c r="F276" s="9" t="s">
        <v>2144</v>
      </c>
      <c r="G276" s="6">
        <v>78000.0</v>
      </c>
      <c r="H276" s="79">
        <v>0.44621</v>
      </c>
    </row>
    <row r="277">
      <c r="A277" s="6">
        <v>93.0</v>
      </c>
      <c r="B277" s="50" t="str">
        <f>IFERROR(VLOOKUP($A277,EVENTO!$A$2:$C$4999,2,FALSE),"")</f>
        <v>ADITIVO DE REAJUSTE E PRAZO</v>
      </c>
      <c r="C277" s="50" t="str">
        <f>IFERROR(VLOOKUP($A277,EVENTO!$A$2:$C$4999,3,FALSE),"")</f>
        <v>CAMARA DE HORTOLANDIA </v>
      </c>
      <c r="D277" s="11"/>
      <c r="E277" s="112" t="s">
        <v>2129</v>
      </c>
      <c r="F277" s="9" t="s">
        <v>2143</v>
      </c>
      <c r="G277" s="6">
        <v>18000.0</v>
      </c>
      <c r="H277" s="79">
        <v>0.79459</v>
      </c>
    </row>
    <row r="278">
      <c r="A278" s="6">
        <v>93.0</v>
      </c>
      <c r="B278" s="50" t="str">
        <f>IFERROR(VLOOKUP($A278,EVENTO!$A$2:$C$4999,2,FALSE),"")</f>
        <v>ADITIVO DE REAJUSTE E PRAZO</v>
      </c>
      <c r="C278" s="50" t="str">
        <f>IFERROR(VLOOKUP($A278,EVENTO!$A$2:$C$4999,3,FALSE),"")</f>
        <v>CAMARA DE HORTOLANDIA </v>
      </c>
      <c r="D278" s="11"/>
      <c r="E278" s="112" t="s">
        <v>2129</v>
      </c>
      <c r="F278" s="9" t="s">
        <v>2144</v>
      </c>
      <c r="G278" s="6">
        <v>12000.0</v>
      </c>
      <c r="H278" s="79">
        <v>0.6204</v>
      </c>
    </row>
    <row r="279">
      <c r="A279" s="6">
        <v>85.0</v>
      </c>
      <c r="B279" s="50" t="str">
        <f>IFERROR(VLOOKUP($A279,EVENTO!$A$2:$C$4999,2,FALSE),"")</f>
        <v>CADASTRO</v>
      </c>
      <c r="C279" s="50" t="str">
        <f>IFERROR(VLOOKUP($A279,EVENTO!$A$2:$C$4999,3,FALSE),"")</f>
        <v>RESENDE / SMA</v>
      </c>
      <c r="D279" s="11"/>
      <c r="E279" s="112" t="s">
        <v>2146</v>
      </c>
      <c r="F279" s="9" t="s">
        <v>2110</v>
      </c>
      <c r="G279" s="6">
        <v>90000.0</v>
      </c>
      <c r="H279" s="79">
        <v>0.05</v>
      </c>
    </row>
    <row r="280">
      <c r="A280" s="6">
        <v>95.0</v>
      </c>
      <c r="B280" s="50" t="str">
        <f>IFERROR(VLOOKUP($A280,EVENTO!$A$2:$C$4999,2,FALSE),"")</f>
        <v>CADASTRO</v>
      </c>
      <c r="C280" s="50" t="str">
        <f>IFERROR(VLOOKUP($A280,EVENTO!$A$2:$C$4999,3,FALSE),"")</f>
        <v>FMS PB</v>
      </c>
      <c r="D280" s="6" t="s">
        <v>1513</v>
      </c>
      <c r="E280" s="6" t="s">
        <v>1513</v>
      </c>
      <c r="F280" s="9" t="s">
        <v>2147</v>
      </c>
      <c r="G280" s="6"/>
      <c r="H280" s="79"/>
    </row>
    <row r="281">
      <c r="A281" s="6">
        <v>95.0</v>
      </c>
      <c r="B281" s="50" t="str">
        <f>IFERROR(VLOOKUP($A281,EVENTO!$A$2:$C$4999,2,FALSE),"")</f>
        <v>CADASTRO</v>
      </c>
      <c r="C281" s="50" t="str">
        <f>IFERROR(VLOOKUP($A281,EVENTO!$A$2:$C$4999,3,FALSE),"")</f>
        <v>FMS PB</v>
      </c>
      <c r="D281" s="6" t="s">
        <v>1487</v>
      </c>
      <c r="E281" s="112" t="s">
        <v>2108</v>
      </c>
      <c r="F281" s="9" t="s">
        <v>2148</v>
      </c>
      <c r="G281" s="37">
        <v>3000.0</v>
      </c>
      <c r="H281" s="79"/>
    </row>
    <row r="282">
      <c r="A282" s="6">
        <v>95.0</v>
      </c>
      <c r="B282" s="50" t="str">
        <f>IFERROR(VLOOKUP($A282,EVENTO!$A$2:$C$4999,2,FALSE),"")</f>
        <v>CADASTRO</v>
      </c>
      <c r="C282" s="50" t="str">
        <f>IFERROR(VLOOKUP($A282,EVENTO!$A$2:$C$4999,3,FALSE),"")</f>
        <v>FMS PB</v>
      </c>
      <c r="D282" s="6" t="s">
        <v>1380</v>
      </c>
      <c r="E282" s="112" t="s">
        <v>2108</v>
      </c>
      <c r="F282" s="9" t="s">
        <v>2148</v>
      </c>
      <c r="G282" s="6">
        <v>5000.0</v>
      </c>
      <c r="H282" s="80"/>
    </row>
    <row r="283">
      <c r="A283" s="6">
        <v>95.0</v>
      </c>
      <c r="B283" s="50" t="str">
        <f>IFERROR(VLOOKUP($A283,EVENTO!$A$2:$C$4999,2,FALSE),"")</f>
        <v>CADASTRO</v>
      </c>
      <c r="C283" s="50" t="str">
        <f>IFERROR(VLOOKUP($A283,EVENTO!$A$2:$C$4999,3,FALSE),"")</f>
        <v>FMS PB</v>
      </c>
      <c r="D283" s="6" t="s">
        <v>1409</v>
      </c>
      <c r="E283" s="112" t="s">
        <v>2127</v>
      </c>
      <c r="F283" s="9" t="s">
        <v>2148</v>
      </c>
      <c r="G283" s="6">
        <v>80000.0</v>
      </c>
      <c r="H283" s="80"/>
    </row>
    <row r="284">
      <c r="A284" s="6">
        <v>95.0</v>
      </c>
      <c r="B284" s="50" t="str">
        <f>IFERROR(VLOOKUP($A284,EVENTO!$A$2:$C$4999,2,FALSE),"")</f>
        <v>CADASTRO</v>
      </c>
      <c r="C284" s="50" t="str">
        <f>IFERROR(VLOOKUP($A284,EVENTO!$A$2:$C$4999,3,FALSE),"")</f>
        <v>FMS PB</v>
      </c>
      <c r="D284" s="6" t="s">
        <v>1477</v>
      </c>
      <c r="E284" s="112" t="s">
        <v>2111</v>
      </c>
      <c r="F284" s="9" t="s">
        <v>2148</v>
      </c>
      <c r="G284" s="6">
        <v>2000.0</v>
      </c>
      <c r="H284" s="80"/>
    </row>
    <row r="285">
      <c r="A285" s="6">
        <v>95.0</v>
      </c>
      <c r="B285" s="50" t="str">
        <f>IFERROR(VLOOKUP($A285,EVENTO!$A$2:$C$4999,2,FALSE),"")</f>
        <v>CADASTRO</v>
      </c>
      <c r="C285" s="50" t="str">
        <f>IFERROR(VLOOKUP($A285,EVENTO!$A$2:$C$4999,3,FALSE),"")</f>
        <v>FMS PB</v>
      </c>
      <c r="D285" s="6" t="s">
        <v>1532</v>
      </c>
      <c r="E285" s="9" t="s">
        <v>2149</v>
      </c>
      <c r="F285" s="9" t="s">
        <v>2148</v>
      </c>
      <c r="G285" s="40" t="s">
        <v>2150</v>
      </c>
      <c r="H285" s="80"/>
    </row>
    <row r="286">
      <c r="A286" s="6">
        <v>96.0</v>
      </c>
      <c r="B286" s="50" t="str">
        <f>IFERROR(VLOOKUP($A286,EVENTO!$A$2:$C$4999,2,FALSE),"")</f>
        <v>ADITIVO DE PRAZO</v>
      </c>
      <c r="C286" s="50" t="str">
        <f>IFERROR(VLOOKUP($A286,EVENTO!$A$2:$C$4999,3,FALSE),"")</f>
        <v>FMS PB</v>
      </c>
      <c r="D286" s="6" t="s">
        <v>1513</v>
      </c>
      <c r="E286" s="6" t="s">
        <v>1513</v>
      </c>
      <c r="F286" s="9" t="s">
        <v>2147</v>
      </c>
      <c r="H286" s="79"/>
    </row>
    <row r="287">
      <c r="A287" s="6">
        <v>96.0</v>
      </c>
      <c r="B287" s="50" t="str">
        <f>IFERROR(VLOOKUP($A287,EVENTO!$A$2:$C$4999,2,FALSE),"")</f>
        <v>ADITIVO DE PRAZO</v>
      </c>
      <c r="C287" s="50" t="str">
        <f>IFERROR(VLOOKUP($A287,EVENTO!$A$2:$C$4999,3,FALSE),"")</f>
        <v>FMS PB</v>
      </c>
      <c r="D287" s="6" t="s">
        <v>1487</v>
      </c>
      <c r="E287" s="112" t="s">
        <v>2108</v>
      </c>
      <c r="F287" s="9" t="s">
        <v>2148</v>
      </c>
      <c r="G287" s="37">
        <v>3000.0</v>
      </c>
      <c r="H287" s="79"/>
    </row>
    <row r="288">
      <c r="A288" s="6">
        <v>96.0</v>
      </c>
      <c r="B288" s="50" t="str">
        <f>IFERROR(VLOOKUP($A288,EVENTO!$A$2:$C$4999,2,FALSE),"")</f>
        <v>ADITIVO DE PRAZO</v>
      </c>
      <c r="C288" s="50" t="str">
        <f>IFERROR(VLOOKUP($A288,EVENTO!$A$2:$C$4999,3,FALSE),"")</f>
        <v>FMS PB</v>
      </c>
      <c r="D288" s="6" t="s">
        <v>1380</v>
      </c>
      <c r="E288" s="112" t="s">
        <v>2108</v>
      </c>
      <c r="F288" s="9" t="s">
        <v>2148</v>
      </c>
      <c r="G288" s="6">
        <v>5000.0</v>
      </c>
      <c r="H288" s="80"/>
    </row>
    <row r="289">
      <c r="A289" s="6">
        <v>96.0</v>
      </c>
      <c r="B289" s="50" t="str">
        <f>IFERROR(VLOOKUP($A289,EVENTO!$A$2:$C$4999,2,FALSE),"")</f>
        <v>ADITIVO DE PRAZO</v>
      </c>
      <c r="C289" s="50" t="str">
        <f>IFERROR(VLOOKUP($A289,EVENTO!$A$2:$C$4999,3,FALSE),"")</f>
        <v>FMS PB</v>
      </c>
      <c r="D289" s="6" t="s">
        <v>1409</v>
      </c>
      <c r="E289" s="112" t="s">
        <v>2127</v>
      </c>
      <c r="F289" s="9" t="s">
        <v>2148</v>
      </c>
      <c r="G289" s="6">
        <v>80000.0</v>
      </c>
      <c r="H289" s="80"/>
    </row>
    <row r="290">
      <c r="A290" s="6">
        <v>96.0</v>
      </c>
      <c r="B290" s="50" t="str">
        <f>IFERROR(VLOOKUP($A290,EVENTO!$A$2:$C$4999,2,FALSE),"")</f>
        <v>ADITIVO DE PRAZO</v>
      </c>
      <c r="C290" s="50" t="str">
        <f>IFERROR(VLOOKUP($A290,EVENTO!$A$2:$C$4999,3,FALSE),"")</f>
        <v>FMS PB</v>
      </c>
      <c r="D290" s="6" t="s">
        <v>1477</v>
      </c>
      <c r="E290" s="112" t="s">
        <v>2111</v>
      </c>
      <c r="F290" s="9" t="s">
        <v>2148</v>
      </c>
      <c r="G290" s="6">
        <v>2000.0</v>
      </c>
      <c r="H290" s="80"/>
    </row>
    <row r="291">
      <c r="A291" s="6">
        <v>96.0</v>
      </c>
      <c r="B291" s="50" t="str">
        <f>IFERROR(VLOOKUP($A291,EVENTO!$A$2:$C$4999,2,FALSE),"")</f>
        <v>ADITIVO DE PRAZO</v>
      </c>
      <c r="C291" s="50" t="str">
        <f>IFERROR(VLOOKUP($A291,EVENTO!$A$2:$C$4999,3,FALSE),"")</f>
        <v>FMS PB</v>
      </c>
      <c r="D291" s="6" t="s">
        <v>1532</v>
      </c>
      <c r="E291" s="9" t="s">
        <v>2149</v>
      </c>
      <c r="F291" s="9" t="s">
        <v>2148</v>
      </c>
      <c r="G291" s="40" t="s">
        <v>2150</v>
      </c>
      <c r="H291" s="80"/>
    </row>
    <row r="292">
      <c r="A292" s="6">
        <v>97.0</v>
      </c>
      <c r="B292" s="50" t="str">
        <f>IFERROR(VLOOKUP($A292,EVENTO!$A$2:$C$4999,2,FALSE),"")</f>
        <v>ADITIVO DE PRAZO</v>
      </c>
      <c r="C292" s="50" t="str">
        <f>IFERROR(VLOOKUP($A292,EVENTO!$A$2:$C$4999,3,FALSE),"")</f>
        <v>FMS PB</v>
      </c>
      <c r="D292" s="6" t="s">
        <v>1513</v>
      </c>
      <c r="E292" s="6" t="s">
        <v>1513</v>
      </c>
      <c r="F292" s="9" t="s">
        <v>2147</v>
      </c>
      <c r="H292" s="80"/>
    </row>
    <row r="293">
      <c r="A293" s="6">
        <v>97.0</v>
      </c>
      <c r="B293" s="50" t="str">
        <f>IFERROR(VLOOKUP($A293,EVENTO!$A$2:$C$4999,2,FALSE),"")</f>
        <v>ADITIVO DE PRAZO</v>
      </c>
      <c r="C293" s="50" t="str">
        <f>IFERROR(VLOOKUP($A293,EVENTO!$A$2:$C$4999,3,FALSE),"")</f>
        <v>FMS PB</v>
      </c>
      <c r="D293" s="6" t="s">
        <v>1487</v>
      </c>
      <c r="E293" s="112" t="s">
        <v>2108</v>
      </c>
      <c r="F293" s="9" t="s">
        <v>2148</v>
      </c>
      <c r="G293" s="37">
        <v>3000.0</v>
      </c>
      <c r="H293" s="80"/>
    </row>
    <row r="294">
      <c r="A294" s="6">
        <v>97.0</v>
      </c>
      <c r="B294" s="50" t="str">
        <f>IFERROR(VLOOKUP($A294,EVENTO!$A$2:$C$4999,2,FALSE),"")</f>
        <v>ADITIVO DE PRAZO</v>
      </c>
      <c r="C294" s="50" t="str">
        <f>IFERROR(VLOOKUP($A294,EVENTO!$A$2:$C$4999,3,FALSE),"")</f>
        <v>FMS PB</v>
      </c>
      <c r="D294" s="6" t="s">
        <v>1380</v>
      </c>
      <c r="E294" s="112" t="s">
        <v>2108</v>
      </c>
      <c r="F294" s="9" t="s">
        <v>2148</v>
      </c>
      <c r="G294" s="6">
        <v>5000.0</v>
      </c>
      <c r="H294" s="80"/>
    </row>
    <row r="295">
      <c r="A295" s="6">
        <v>97.0</v>
      </c>
      <c r="B295" s="50" t="str">
        <f>IFERROR(VLOOKUP($A295,EVENTO!$A$2:$C$4999,2,FALSE),"")</f>
        <v>ADITIVO DE PRAZO</v>
      </c>
      <c r="C295" s="50" t="str">
        <f>IFERROR(VLOOKUP($A295,EVENTO!$A$2:$C$4999,3,FALSE),"")</f>
        <v>FMS PB</v>
      </c>
      <c r="D295" s="6" t="s">
        <v>1409</v>
      </c>
      <c r="E295" s="112" t="s">
        <v>2127</v>
      </c>
      <c r="F295" s="9" t="s">
        <v>2148</v>
      </c>
      <c r="G295" s="6">
        <v>80000.0</v>
      </c>
      <c r="H295" s="80"/>
    </row>
    <row r="296">
      <c r="A296" s="6">
        <v>97.0</v>
      </c>
      <c r="B296" s="50" t="str">
        <f>IFERROR(VLOOKUP($A296,EVENTO!$A$2:$C$4999,2,FALSE),"")</f>
        <v>ADITIVO DE PRAZO</v>
      </c>
      <c r="C296" s="50" t="str">
        <f>IFERROR(VLOOKUP($A296,EVENTO!$A$2:$C$4999,3,FALSE),"")</f>
        <v>FMS PB</v>
      </c>
      <c r="D296" s="6" t="s">
        <v>1477</v>
      </c>
      <c r="E296" s="112" t="s">
        <v>2111</v>
      </c>
      <c r="F296" s="9" t="s">
        <v>2148</v>
      </c>
      <c r="G296" s="6">
        <v>2000.0</v>
      </c>
      <c r="H296" s="80"/>
    </row>
    <row r="297">
      <c r="A297" s="6">
        <v>97.0</v>
      </c>
      <c r="B297" s="50" t="str">
        <f>IFERROR(VLOOKUP($A297,EVENTO!$A$2:$C$4999,2,FALSE),"")</f>
        <v>ADITIVO DE PRAZO</v>
      </c>
      <c r="C297" s="50" t="str">
        <f>IFERROR(VLOOKUP($A297,EVENTO!$A$2:$C$4999,3,FALSE),"")</f>
        <v>FMS PB</v>
      </c>
      <c r="D297" s="6" t="s">
        <v>1532</v>
      </c>
      <c r="E297" s="9" t="s">
        <v>2149</v>
      </c>
      <c r="F297" s="9" t="s">
        <v>2148</v>
      </c>
      <c r="G297" s="40" t="s">
        <v>2150</v>
      </c>
      <c r="H297" s="80"/>
    </row>
    <row r="298">
      <c r="A298" s="6">
        <v>105.0</v>
      </c>
      <c r="B298" s="50" t="str">
        <f>IFERROR(VLOOKUP($A298,EVENTO!$A$2:$C$4999,2,FALSE),"")</f>
        <v>CADASTRO</v>
      </c>
      <c r="C298" s="50" t="str">
        <f>IFERROR(VLOOKUP($A298,EVENTO!$A$2:$C$4999,3,FALSE),"")</f>
        <v>SEMCAS - 019-2022</v>
      </c>
      <c r="D298" s="6" t="s">
        <v>1542</v>
      </c>
      <c r="E298" s="6" t="s">
        <v>1543</v>
      </c>
      <c r="F298" s="9" t="s">
        <v>2148</v>
      </c>
      <c r="G298" s="6">
        <v>7000.0</v>
      </c>
      <c r="H298" s="80"/>
    </row>
    <row r="299">
      <c r="A299" s="6">
        <v>110.0</v>
      </c>
      <c r="B299" s="50" t="str">
        <f>IFERROR(VLOOKUP($A299,EVENTO!$A$2:$C$4999,2,FALSE),"")</f>
        <v>CADASTRO</v>
      </c>
      <c r="C299" s="50" t="str">
        <f>IFERROR(VLOOKUP($A299,EVENTO!$A$2:$C$4999,3,FALSE),"")</f>
        <v>PREFEITURA MUNICIPAL DE ARACATI - CASA CIVIL</v>
      </c>
      <c r="D299" s="6" t="s">
        <v>1553</v>
      </c>
      <c r="E299" s="112" t="s">
        <v>2108</v>
      </c>
      <c r="F299" s="9" t="s">
        <v>2148</v>
      </c>
      <c r="G299" s="6">
        <v>7000.0</v>
      </c>
      <c r="H299" s="80"/>
    </row>
    <row r="300">
      <c r="A300" s="6">
        <v>110.0</v>
      </c>
      <c r="B300" s="50" t="str">
        <f>IFERROR(VLOOKUP($A300,EVENTO!$A$2:$C$4999,2,FALSE),"")</f>
        <v>CADASTRO</v>
      </c>
      <c r="C300" s="50" t="str">
        <f>IFERROR(VLOOKUP($A300,EVENTO!$A$2:$C$4999,3,FALSE),"")</f>
        <v>PREFEITURA MUNICIPAL DE ARACATI - CASA CIVIL</v>
      </c>
      <c r="D300" s="6" t="s">
        <v>1487</v>
      </c>
      <c r="E300" s="112" t="s">
        <v>2108</v>
      </c>
      <c r="F300" s="9" t="s">
        <v>2148</v>
      </c>
      <c r="G300" s="6">
        <v>7000.0</v>
      </c>
      <c r="H300" s="80"/>
    </row>
    <row r="301">
      <c r="A301" s="6">
        <v>110.0</v>
      </c>
      <c r="B301" s="50" t="str">
        <f>IFERROR(VLOOKUP($A301,EVENTO!$A$2:$C$4999,2,FALSE),"")</f>
        <v>CADASTRO</v>
      </c>
      <c r="C301" s="50" t="str">
        <f>IFERROR(VLOOKUP($A301,EVENTO!$A$2:$C$4999,3,FALSE),"")</f>
        <v>PREFEITURA MUNICIPAL DE ARACATI - CASA CIVIL</v>
      </c>
      <c r="D301" s="6" t="s">
        <v>1554</v>
      </c>
      <c r="E301" s="112" t="s">
        <v>2128</v>
      </c>
      <c r="F301" s="9" t="s">
        <v>2148</v>
      </c>
      <c r="G301" s="6">
        <v>5000.0</v>
      </c>
      <c r="H301" s="80"/>
    </row>
    <row r="302">
      <c r="A302" s="6">
        <v>110.0</v>
      </c>
      <c r="B302" s="50" t="str">
        <f>IFERROR(VLOOKUP($A302,EVENTO!$A$2:$C$4999,2,FALSE),"")</f>
        <v>CADASTRO</v>
      </c>
      <c r="C302" s="50" t="str">
        <f>IFERROR(VLOOKUP($A302,EVENTO!$A$2:$C$4999,3,FALSE),"")</f>
        <v>PREFEITURA MUNICIPAL DE ARACATI - CASA CIVIL</v>
      </c>
      <c r="D302" s="6" t="s">
        <v>1556</v>
      </c>
      <c r="E302" s="112" t="s">
        <v>2151</v>
      </c>
      <c r="F302" s="9" t="s">
        <v>2147</v>
      </c>
      <c r="H302" s="80"/>
    </row>
    <row r="303">
      <c r="A303" s="6">
        <v>111.0</v>
      </c>
      <c r="B303" s="50" t="str">
        <f>IFERROR(VLOOKUP($A303,EVENTO!$A$2:$C$4999,2,FALSE),"")</f>
        <v>ADITIVO DE PRAZO</v>
      </c>
      <c r="C303" s="50" t="str">
        <f>IFERROR(VLOOKUP($A303,EVENTO!$A$2:$C$4999,3,FALSE),"")</f>
        <v>PREFEITURA MUNICIPAL DE ARACATI - CASA CIVIL</v>
      </c>
      <c r="D303" s="6" t="s">
        <v>1553</v>
      </c>
      <c r="E303" s="112" t="s">
        <v>2108</v>
      </c>
      <c r="F303" s="9" t="s">
        <v>2148</v>
      </c>
      <c r="G303" s="6">
        <v>7000.0</v>
      </c>
      <c r="H303" s="80"/>
    </row>
    <row r="304">
      <c r="A304" s="6">
        <v>111.0</v>
      </c>
      <c r="B304" s="50" t="str">
        <f>IFERROR(VLOOKUP($A304,EVENTO!$A$2:$C$4999,2,FALSE),"")</f>
        <v>ADITIVO DE PRAZO</v>
      </c>
      <c r="C304" s="50" t="str">
        <f>IFERROR(VLOOKUP($A304,EVENTO!$A$2:$C$4999,3,FALSE),"")</f>
        <v>PREFEITURA MUNICIPAL DE ARACATI - CASA CIVIL</v>
      </c>
      <c r="D304" s="6" t="s">
        <v>1487</v>
      </c>
      <c r="E304" s="112" t="s">
        <v>2108</v>
      </c>
      <c r="F304" s="9" t="s">
        <v>2148</v>
      </c>
      <c r="G304" s="6">
        <v>7000.0</v>
      </c>
      <c r="H304" s="80"/>
    </row>
    <row r="305">
      <c r="A305" s="6">
        <v>111.0</v>
      </c>
      <c r="B305" s="50" t="str">
        <f>IFERROR(VLOOKUP($A305,EVENTO!$A$2:$C$4999,2,FALSE),"")</f>
        <v>ADITIVO DE PRAZO</v>
      </c>
      <c r="C305" s="50" t="str">
        <f>IFERROR(VLOOKUP($A305,EVENTO!$A$2:$C$4999,3,FALSE),"")</f>
        <v>PREFEITURA MUNICIPAL DE ARACATI - CASA CIVIL</v>
      </c>
      <c r="D305" s="6" t="s">
        <v>1554</v>
      </c>
      <c r="E305" s="112" t="s">
        <v>2128</v>
      </c>
      <c r="F305" s="9" t="s">
        <v>2148</v>
      </c>
      <c r="G305" s="6">
        <v>5000.0</v>
      </c>
      <c r="H305" s="80"/>
    </row>
    <row r="306">
      <c r="A306" s="6">
        <v>111.0</v>
      </c>
      <c r="B306" s="50" t="str">
        <f>IFERROR(VLOOKUP($A306,EVENTO!$A$2:$C$4999,2,FALSE),"")</f>
        <v>ADITIVO DE PRAZO</v>
      </c>
      <c r="C306" s="50" t="str">
        <f>IFERROR(VLOOKUP($A306,EVENTO!$A$2:$C$4999,3,FALSE),"")</f>
        <v>PREFEITURA MUNICIPAL DE ARACATI - CASA CIVIL</v>
      </c>
      <c r="D306" s="6" t="s">
        <v>1556</v>
      </c>
      <c r="E306" s="112" t="s">
        <v>2151</v>
      </c>
      <c r="F306" s="9" t="s">
        <v>2147</v>
      </c>
      <c r="H306" s="80"/>
    </row>
    <row r="307">
      <c r="A307" s="6">
        <v>112.0</v>
      </c>
      <c r="B307" s="50" t="str">
        <f>IFERROR(VLOOKUP($A307,EVENTO!$A$2:$C$4999,2,FALSE),"")</f>
        <v>ADITIVO DE PRAZO</v>
      </c>
      <c r="C307" s="50" t="str">
        <f>IFERROR(VLOOKUP($A307,EVENTO!$A$2:$C$4999,3,FALSE),"")</f>
        <v>PREFEITURA MUNICIPAL DE ARACATI - CASA CIVIL</v>
      </c>
      <c r="D307" s="6" t="s">
        <v>1553</v>
      </c>
      <c r="E307" s="112" t="s">
        <v>2108</v>
      </c>
      <c r="F307" s="9" t="s">
        <v>2148</v>
      </c>
      <c r="G307" s="6">
        <v>7000.0</v>
      </c>
      <c r="H307" s="80"/>
    </row>
    <row r="308">
      <c r="A308" s="6">
        <v>112.0</v>
      </c>
      <c r="B308" s="50" t="str">
        <f>IFERROR(VLOOKUP($A308,EVENTO!$A$2:$C$4999,2,FALSE),"")</f>
        <v>ADITIVO DE PRAZO</v>
      </c>
      <c r="C308" s="50" t="str">
        <f>IFERROR(VLOOKUP($A308,EVENTO!$A$2:$C$4999,3,FALSE),"")</f>
        <v>PREFEITURA MUNICIPAL DE ARACATI - CASA CIVIL</v>
      </c>
      <c r="D308" s="6" t="s">
        <v>1487</v>
      </c>
      <c r="E308" s="112" t="s">
        <v>2108</v>
      </c>
      <c r="F308" s="9" t="s">
        <v>2148</v>
      </c>
      <c r="G308" s="6">
        <v>7000.0</v>
      </c>
      <c r="H308" s="80"/>
    </row>
    <row r="309">
      <c r="A309" s="6">
        <v>112.0</v>
      </c>
      <c r="B309" s="50" t="str">
        <f>IFERROR(VLOOKUP($A309,EVENTO!$A$2:$C$4999,2,FALSE),"")</f>
        <v>ADITIVO DE PRAZO</v>
      </c>
      <c r="C309" s="50" t="str">
        <f>IFERROR(VLOOKUP($A309,EVENTO!$A$2:$C$4999,3,FALSE),"")</f>
        <v>PREFEITURA MUNICIPAL DE ARACATI - CASA CIVIL</v>
      </c>
      <c r="D309" s="6" t="s">
        <v>1554</v>
      </c>
      <c r="E309" s="112" t="s">
        <v>2128</v>
      </c>
      <c r="F309" s="9" t="s">
        <v>2148</v>
      </c>
      <c r="G309" s="6">
        <v>5000.0</v>
      </c>
      <c r="H309" s="80"/>
    </row>
    <row r="310">
      <c r="A310" s="6">
        <v>112.0</v>
      </c>
      <c r="B310" s="50" t="str">
        <f>IFERROR(VLOOKUP($A310,EVENTO!$A$2:$C$4999,2,FALSE),"")</f>
        <v>ADITIVO DE PRAZO</v>
      </c>
      <c r="C310" s="50" t="str">
        <f>IFERROR(VLOOKUP($A310,EVENTO!$A$2:$C$4999,3,FALSE),"")</f>
        <v>PREFEITURA MUNICIPAL DE ARACATI - CASA CIVIL</v>
      </c>
      <c r="D310" s="6" t="s">
        <v>1556</v>
      </c>
      <c r="E310" s="112" t="s">
        <v>2151</v>
      </c>
      <c r="F310" s="9" t="s">
        <v>2147</v>
      </c>
      <c r="H310" s="80"/>
    </row>
    <row r="311">
      <c r="A311" s="6">
        <v>113.0</v>
      </c>
      <c r="B311" s="50" t="str">
        <f>IFERROR(VLOOKUP($A311,EVENTO!$A$2:$C$4999,2,FALSE),"")</f>
        <v>ADITIVO DE PRAZO</v>
      </c>
      <c r="C311" s="50" t="str">
        <f>IFERROR(VLOOKUP($A311,EVENTO!$A$2:$C$4999,3,FALSE),"")</f>
        <v>PREFEITURA MUNICIPAL DE ARACATI - CASA CIVIL</v>
      </c>
      <c r="D311" s="6" t="s">
        <v>1553</v>
      </c>
      <c r="E311" s="112" t="s">
        <v>2108</v>
      </c>
      <c r="F311" s="9" t="s">
        <v>2148</v>
      </c>
      <c r="G311" s="6">
        <v>7000.0</v>
      </c>
      <c r="H311" s="80"/>
    </row>
    <row r="312">
      <c r="A312" s="6">
        <v>113.0</v>
      </c>
      <c r="B312" s="50" t="str">
        <f>IFERROR(VLOOKUP($A312,EVENTO!$A$2:$C$4999,2,FALSE),"")</f>
        <v>ADITIVO DE PRAZO</v>
      </c>
      <c r="C312" s="50" t="str">
        <f>IFERROR(VLOOKUP($A312,EVENTO!$A$2:$C$4999,3,FALSE),"")</f>
        <v>PREFEITURA MUNICIPAL DE ARACATI - CASA CIVIL</v>
      </c>
      <c r="D312" s="6" t="s">
        <v>1487</v>
      </c>
      <c r="E312" s="112" t="s">
        <v>2108</v>
      </c>
      <c r="F312" s="9" t="s">
        <v>2148</v>
      </c>
      <c r="G312" s="6">
        <v>7000.0</v>
      </c>
      <c r="H312" s="80"/>
    </row>
    <row r="313">
      <c r="A313" s="6">
        <v>113.0</v>
      </c>
      <c r="B313" s="50" t="str">
        <f>IFERROR(VLOOKUP($A313,EVENTO!$A$2:$C$4999,2,FALSE),"")</f>
        <v>ADITIVO DE PRAZO</v>
      </c>
      <c r="C313" s="50" t="str">
        <f>IFERROR(VLOOKUP($A313,EVENTO!$A$2:$C$4999,3,FALSE),"")</f>
        <v>PREFEITURA MUNICIPAL DE ARACATI - CASA CIVIL</v>
      </c>
      <c r="D313" s="6" t="s">
        <v>1554</v>
      </c>
      <c r="E313" s="112" t="s">
        <v>2128</v>
      </c>
      <c r="F313" s="9" t="s">
        <v>2148</v>
      </c>
      <c r="G313" s="6">
        <v>5000.0</v>
      </c>
      <c r="H313" s="80"/>
    </row>
    <row r="314">
      <c r="A314" s="6">
        <v>113.0</v>
      </c>
      <c r="B314" s="50" t="str">
        <f>IFERROR(VLOOKUP($A314,EVENTO!$A$2:$C$4999,2,FALSE),"")</f>
        <v>ADITIVO DE PRAZO</v>
      </c>
      <c r="C314" s="50" t="str">
        <f>IFERROR(VLOOKUP($A314,EVENTO!$A$2:$C$4999,3,FALSE),"")</f>
        <v>PREFEITURA MUNICIPAL DE ARACATI - CASA CIVIL</v>
      </c>
      <c r="D314" s="6" t="s">
        <v>1556</v>
      </c>
      <c r="E314" s="112" t="s">
        <v>2151</v>
      </c>
      <c r="F314" s="9" t="s">
        <v>2147</v>
      </c>
      <c r="H314" s="80"/>
    </row>
    <row r="315">
      <c r="A315" s="6">
        <v>114.0</v>
      </c>
      <c r="B315" s="50" t="str">
        <f>IFERROR(VLOOKUP($A315,EVENTO!$A$2:$C$4999,2,FALSE),"")</f>
        <v>ADITIVO DE PRAZO</v>
      </c>
      <c r="C315" s="50" t="str">
        <f>IFERROR(VLOOKUP($A315,EVENTO!$A$2:$C$4999,3,FALSE),"")</f>
        <v>PREFEITURA MUNICIPAL DE ARACATI - CASA CIVIL</v>
      </c>
      <c r="D315" s="6" t="s">
        <v>1553</v>
      </c>
      <c r="E315" s="112" t="s">
        <v>2108</v>
      </c>
      <c r="F315" s="9" t="s">
        <v>2148</v>
      </c>
      <c r="G315" s="6">
        <v>7000.0</v>
      </c>
      <c r="H315" s="80"/>
    </row>
    <row r="316">
      <c r="A316" s="6">
        <v>114.0</v>
      </c>
      <c r="B316" s="50" t="str">
        <f>IFERROR(VLOOKUP($A316,EVENTO!$A$2:$C$4999,2,FALSE),"")</f>
        <v>ADITIVO DE PRAZO</v>
      </c>
      <c r="C316" s="50" t="str">
        <f>IFERROR(VLOOKUP($A316,EVENTO!$A$2:$C$4999,3,FALSE),"")</f>
        <v>PREFEITURA MUNICIPAL DE ARACATI - CASA CIVIL</v>
      </c>
      <c r="D316" s="6" t="s">
        <v>1487</v>
      </c>
      <c r="E316" s="112" t="s">
        <v>2108</v>
      </c>
      <c r="F316" s="9" t="s">
        <v>2148</v>
      </c>
      <c r="G316" s="6">
        <v>7000.0</v>
      </c>
      <c r="H316" s="80"/>
    </row>
    <row r="317">
      <c r="A317" s="6">
        <v>114.0</v>
      </c>
      <c r="B317" s="50" t="str">
        <f>IFERROR(VLOOKUP($A317,EVENTO!$A$2:$C$4999,2,FALSE),"")</f>
        <v>ADITIVO DE PRAZO</v>
      </c>
      <c r="C317" s="50" t="str">
        <f>IFERROR(VLOOKUP($A317,EVENTO!$A$2:$C$4999,3,FALSE),"")</f>
        <v>PREFEITURA MUNICIPAL DE ARACATI - CASA CIVIL</v>
      </c>
      <c r="D317" s="6" t="s">
        <v>1554</v>
      </c>
      <c r="E317" s="112" t="s">
        <v>2128</v>
      </c>
      <c r="F317" s="9" t="s">
        <v>2148</v>
      </c>
      <c r="G317" s="6">
        <v>5000.0</v>
      </c>
      <c r="H317" s="80"/>
    </row>
    <row r="318">
      <c r="A318" s="6">
        <v>114.0</v>
      </c>
      <c r="B318" s="50" t="str">
        <f>IFERROR(VLOOKUP($A318,EVENTO!$A$2:$C$4999,2,FALSE),"")</f>
        <v>ADITIVO DE PRAZO</v>
      </c>
      <c r="C318" s="50" t="str">
        <f>IFERROR(VLOOKUP($A318,EVENTO!$A$2:$C$4999,3,FALSE),"")</f>
        <v>PREFEITURA MUNICIPAL DE ARACATI - CASA CIVIL</v>
      </c>
      <c r="D318" s="6" t="s">
        <v>1556</v>
      </c>
      <c r="E318" s="112" t="s">
        <v>2151</v>
      </c>
      <c r="F318" s="9" t="s">
        <v>2147</v>
      </c>
      <c r="H318" s="80"/>
    </row>
    <row r="319">
      <c r="A319" s="6">
        <v>117.0</v>
      </c>
      <c r="B319" s="50" t="str">
        <f>IFERROR(VLOOKUP($A319,EVENTO!$A$2:$C$4999,2,FALSE),"")</f>
        <v>ADITIVO DE PRAZO</v>
      </c>
      <c r="C319" s="50" t="str">
        <f>IFERROR(VLOOKUP($A319,EVENTO!$A$2:$C$4999,3,FALSE),"")</f>
        <v>PREFEITURA MUNICIPAL DE ARACATI - CASA CIVIL</v>
      </c>
      <c r="D319" s="6" t="s">
        <v>1553</v>
      </c>
      <c r="E319" s="112" t="s">
        <v>2108</v>
      </c>
      <c r="F319" s="9" t="s">
        <v>2148</v>
      </c>
      <c r="G319" s="6">
        <v>7000.0</v>
      </c>
      <c r="H319" s="80"/>
    </row>
    <row r="320">
      <c r="A320" s="6">
        <v>117.0</v>
      </c>
      <c r="B320" s="50" t="str">
        <f>IFERROR(VLOOKUP($A320,EVENTO!$A$2:$C$4999,2,FALSE),"")</f>
        <v>ADITIVO DE PRAZO</v>
      </c>
      <c r="C320" s="50" t="str">
        <f>IFERROR(VLOOKUP($A320,EVENTO!$A$2:$C$4999,3,FALSE),"")</f>
        <v>PREFEITURA MUNICIPAL DE ARACATI - CASA CIVIL</v>
      </c>
      <c r="D320" s="6" t="s">
        <v>1487</v>
      </c>
      <c r="E320" s="112" t="s">
        <v>2108</v>
      </c>
      <c r="F320" s="9" t="s">
        <v>2148</v>
      </c>
      <c r="G320" s="6">
        <v>7000.0</v>
      </c>
      <c r="H320" s="80"/>
    </row>
    <row r="321">
      <c r="A321" s="6">
        <v>117.0</v>
      </c>
      <c r="B321" s="50" t="str">
        <f>IFERROR(VLOOKUP($A321,EVENTO!$A$2:$C$4999,2,FALSE),"")</f>
        <v>ADITIVO DE PRAZO</v>
      </c>
      <c r="C321" s="50" t="str">
        <f>IFERROR(VLOOKUP($A321,EVENTO!$A$2:$C$4999,3,FALSE),"")</f>
        <v>PREFEITURA MUNICIPAL DE ARACATI - CASA CIVIL</v>
      </c>
      <c r="D321" s="6" t="s">
        <v>1554</v>
      </c>
      <c r="E321" s="112" t="s">
        <v>2128</v>
      </c>
      <c r="F321" s="9" t="s">
        <v>2148</v>
      </c>
      <c r="G321" s="6">
        <v>5000.0</v>
      </c>
      <c r="H321" s="80"/>
    </row>
    <row r="322">
      <c r="A322" s="6">
        <v>117.0</v>
      </c>
      <c r="B322" s="50" t="str">
        <f>IFERROR(VLOOKUP($A322,EVENTO!$A$2:$C$4999,2,FALSE),"")</f>
        <v>ADITIVO DE PRAZO</v>
      </c>
      <c r="C322" s="50" t="str">
        <f>IFERROR(VLOOKUP($A322,EVENTO!$A$2:$C$4999,3,FALSE),"")</f>
        <v>PREFEITURA MUNICIPAL DE ARACATI - CASA CIVIL</v>
      </c>
      <c r="D322" s="6" t="s">
        <v>1556</v>
      </c>
      <c r="E322" s="112" t="s">
        <v>2151</v>
      </c>
      <c r="F322" s="9" t="s">
        <v>2147</v>
      </c>
      <c r="H322" s="80"/>
    </row>
    <row r="323">
      <c r="A323" s="6">
        <v>116.0</v>
      </c>
      <c r="B323" s="50" t="str">
        <f>IFERROR(VLOOKUP($A323,EVENTO!$A$2:$C$4999,2,FALSE),"")</f>
        <v>CADASTRO</v>
      </c>
      <c r="C323" s="50" t="str">
        <f>IFERROR(VLOOKUP($A323,EVENTO!$A$2:$C$4999,3,FALSE),"")</f>
        <v>PREF. MUNICIPAL DE CANINDE - AGRICULTURA</v>
      </c>
      <c r="D323" s="6" t="s">
        <v>2152</v>
      </c>
      <c r="E323" s="9" t="s">
        <v>2153</v>
      </c>
      <c r="F323" s="9" t="s">
        <v>2148</v>
      </c>
      <c r="G323" s="6">
        <v>10000.0</v>
      </c>
      <c r="H323" s="80"/>
    </row>
    <row r="324">
      <c r="A324" s="6">
        <v>120.0</v>
      </c>
      <c r="B324" s="50" t="str">
        <f>IFERROR(VLOOKUP($A324,EVENTO!$A$2:$C$4999,2,FALSE),"")</f>
        <v>CADASTRO</v>
      </c>
      <c r="C324" s="50" t="str">
        <f>IFERROR(VLOOKUP($A324,EVENTO!$A$2:$C$4999,3,FALSE),"")</f>
        <v>PREF. MUNICIPAL DE ARACATI - SEGURANÇA CIDADÃ - 017-2022</v>
      </c>
      <c r="D324" s="6" t="s">
        <v>1553</v>
      </c>
      <c r="E324" s="112" t="s">
        <v>2108</v>
      </c>
      <c r="F324" s="9" t="s">
        <v>2148</v>
      </c>
      <c r="G324" s="6">
        <v>7000.0</v>
      </c>
      <c r="H324" s="80"/>
    </row>
    <row r="325">
      <c r="A325" s="6">
        <v>120.0</v>
      </c>
      <c r="B325" s="50" t="str">
        <f>IFERROR(VLOOKUP($A325,EVENTO!$A$2:$C$4999,2,FALSE),"")</f>
        <v>CADASTRO</v>
      </c>
      <c r="C325" s="50" t="str">
        <f>IFERROR(VLOOKUP($A325,EVENTO!$A$2:$C$4999,3,FALSE),"")</f>
        <v>PREF. MUNICIPAL DE ARACATI - SEGURANÇA CIDADÃ - 017-2022</v>
      </c>
      <c r="D325" s="6" t="s">
        <v>1487</v>
      </c>
      <c r="E325" s="112" t="s">
        <v>2108</v>
      </c>
      <c r="F325" s="9" t="s">
        <v>2148</v>
      </c>
      <c r="G325" s="6">
        <v>7000.0</v>
      </c>
      <c r="H325" s="80"/>
    </row>
    <row r="326">
      <c r="A326" s="6">
        <v>120.0</v>
      </c>
      <c r="B326" s="50" t="str">
        <f>IFERROR(VLOOKUP($A326,EVENTO!$A$2:$C$4999,2,FALSE),"")</f>
        <v>CADASTRO</v>
      </c>
      <c r="C326" s="50" t="str">
        <f>IFERROR(VLOOKUP($A326,EVENTO!$A$2:$C$4999,3,FALSE),"")</f>
        <v>PREF. MUNICIPAL DE ARACATI - SEGURANÇA CIDADÃ - 017-2022</v>
      </c>
      <c r="D326" s="6" t="s">
        <v>1556</v>
      </c>
      <c r="E326" s="112" t="s">
        <v>2108</v>
      </c>
      <c r="F326" s="9" t="s">
        <v>2147</v>
      </c>
      <c r="H326" s="80"/>
    </row>
    <row r="327">
      <c r="A327" s="6">
        <v>121.0</v>
      </c>
      <c r="B327" s="50" t="str">
        <f>IFERROR(VLOOKUP($A327,EVENTO!$A$2:$C$4999,2,FALSE),"")</f>
        <v>ADITIVO DE PRAZO</v>
      </c>
      <c r="C327" s="50" t="str">
        <f>IFERROR(VLOOKUP($A327,EVENTO!$A$2:$C$4999,3,FALSE),"")</f>
        <v>PREF. MUNICIPAL DE ARACATI - SEGURANÇA CIDADÃ - 017-2022</v>
      </c>
      <c r="D327" s="6" t="s">
        <v>1553</v>
      </c>
      <c r="E327" s="112" t="s">
        <v>2108</v>
      </c>
      <c r="F327" s="9" t="s">
        <v>2148</v>
      </c>
      <c r="G327" s="6">
        <v>7000.0</v>
      </c>
      <c r="H327" s="80"/>
    </row>
    <row r="328">
      <c r="A328" s="6">
        <v>121.0</v>
      </c>
      <c r="B328" s="50" t="str">
        <f>IFERROR(VLOOKUP($A328,EVENTO!$A$2:$C$4999,2,FALSE),"")</f>
        <v>ADITIVO DE PRAZO</v>
      </c>
      <c r="C328" s="50" t="str">
        <f>IFERROR(VLOOKUP($A328,EVENTO!$A$2:$C$4999,3,FALSE),"")</f>
        <v>PREF. MUNICIPAL DE ARACATI - SEGURANÇA CIDADÃ - 017-2022</v>
      </c>
      <c r="D328" s="6" t="s">
        <v>1487</v>
      </c>
      <c r="E328" s="112" t="s">
        <v>2108</v>
      </c>
      <c r="F328" s="9" t="s">
        <v>2148</v>
      </c>
      <c r="G328" s="6">
        <v>7000.0</v>
      </c>
      <c r="H328" s="80"/>
    </row>
    <row r="329">
      <c r="A329" s="6">
        <v>121.0</v>
      </c>
      <c r="B329" s="50" t="str">
        <f>IFERROR(VLOOKUP($A329,EVENTO!$A$2:$C$4999,2,FALSE),"")</f>
        <v>ADITIVO DE PRAZO</v>
      </c>
      <c r="C329" s="50" t="str">
        <f>IFERROR(VLOOKUP($A329,EVENTO!$A$2:$C$4999,3,FALSE),"")</f>
        <v>PREF. MUNICIPAL DE ARACATI - SEGURANÇA CIDADÃ - 017-2022</v>
      </c>
      <c r="D329" s="6" t="s">
        <v>1556</v>
      </c>
      <c r="E329" s="112" t="s">
        <v>2108</v>
      </c>
      <c r="F329" s="9" t="s">
        <v>2147</v>
      </c>
      <c r="H329" s="80"/>
    </row>
    <row r="330">
      <c r="A330" s="6">
        <v>122.0</v>
      </c>
      <c r="B330" s="50" t="str">
        <f>IFERROR(VLOOKUP($A330,EVENTO!$A$2:$C$4999,2,FALSE),"")</f>
        <v>ADITIVO DE PRAZO</v>
      </c>
      <c r="C330" s="50" t="str">
        <f>IFERROR(VLOOKUP($A330,EVENTO!$A$2:$C$4999,3,FALSE),"")</f>
        <v>PREF. MUNICIPAL DE ARACATI - SEGURANÇA CIDADÃ - 017-2022</v>
      </c>
      <c r="D330" s="6" t="s">
        <v>1553</v>
      </c>
      <c r="E330" s="112" t="s">
        <v>2108</v>
      </c>
      <c r="F330" s="9" t="s">
        <v>2148</v>
      </c>
      <c r="G330" s="6">
        <v>7000.0</v>
      </c>
      <c r="H330" s="80"/>
    </row>
    <row r="331">
      <c r="A331" s="6">
        <v>122.0</v>
      </c>
      <c r="B331" s="50" t="str">
        <f>IFERROR(VLOOKUP($A331,EVENTO!$A$2:$C$4999,2,FALSE),"")</f>
        <v>ADITIVO DE PRAZO</v>
      </c>
      <c r="C331" s="50" t="str">
        <f>IFERROR(VLOOKUP($A331,EVENTO!$A$2:$C$4999,3,FALSE),"")</f>
        <v>PREF. MUNICIPAL DE ARACATI - SEGURANÇA CIDADÃ - 017-2022</v>
      </c>
      <c r="D331" s="6" t="s">
        <v>1487</v>
      </c>
      <c r="E331" s="112" t="s">
        <v>2108</v>
      </c>
      <c r="F331" s="9" t="s">
        <v>2148</v>
      </c>
      <c r="G331" s="6">
        <v>7000.0</v>
      </c>
      <c r="H331" s="80"/>
    </row>
    <row r="332">
      <c r="A332" s="6">
        <v>122.0</v>
      </c>
      <c r="B332" s="50" t="str">
        <f>IFERROR(VLOOKUP($A332,EVENTO!$A$2:$C$4999,2,FALSE),"")</f>
        <v>ADITIVO DE PRAZO</v>
      </c>
      <c r="C332" s="50" t="str">
        <f>IFERROR(VLOOKUP($A332,EVENTO!$A$2:$C$4999,3,FALSE),"")</f>
        <v>PREF. MUNICIPAL DE ARACATI - SEGURANÇA CIDADÃ - 017-2022</v>
      </c>
      <c r="D332" s="6" t="s">
        <v>1556</v>
      </c>
      <c r="E332" s="112" t="s">
        <v>2108</v>
      </c>
      <c r="F332" s="9" t="s">
        <v>2147</v>
      </c>
      <c r="H332" s="80"/>
    </row>
    <row r="333">
      <c r="A333" s="6">
        <v>123.0</v>
      </c>
      <c r="B333" s="50" t="str">
        <f>IFERROR(VLOOKUP($A333,EVENTO!$A$2:$C$4999,2,FALSE),"")</f>
        <v>ADITIVO DE PRAZO</v>
      </c>
      <c r="C333" s="50" t="str">
        <f>IFERROR(VLOOKUP($A333,EVENTO!$A$2:$C$4999,3,FALSE),"")</f>
        <v>PREF. MUNICIPAL DE ARACATI - SEGURANÇA CIDADÃ - 017-2022</v>
      </c>
      <c r="D333" s="6" t="s">
        <v>1553</v>
      </c>
      <c r="E333" s="112" t="s">
        <v>2108</v>
      </c>
      <c r="F333" s="9" t="s">
        <v>2148</v>
      </c>
      <c r="G333" s="6">
        <v>7000.0</v>
      </c>
      <c r="H333" s="80"/>
    </row>
    <row r="334">
      <c r="A334" s="6">
        <v>123.0</v>
      </c>
      <c r="B334" s="50" t="str">
        <f>IFERROR(VLOOKUP($A334,EVENTO!$A$2:$C$4999,2,FALSE),"")</f>
        <v>ADITIVO DE PRAZO</v>
      </c>
      <c r="C334" s="50" t="str">
        <f>IFERROR(VLOOKUP($A334,EVENTO!$A$2:$C$4999,3,FALSE),"")</f>
        <v>PREF. MUNICIPAL DE ARACATI - SEGURANÇA CIDADÃ - 017-2022</v>
      </c>
      <c r="D334" s="6" t="s">
        <v>1487</v>
      </c>
      <c r="E334" s="112" t="s">
        <v>2108</v>
      </c>
      <c r="F334" s="9" t="s">
        <v>2148</v>
      </c>
      <c r="G334" s="6">
        <v>7000.0</v>
      </c>
      <c r="H334" s="80"/>
    </row>
    <row r="335">
      <c r="A335" s="6">
        <v>123.0</v>
      </c>
      <c r="B335" s="50" t="str">
        <f>IFERROR(VLOOKUP($A335,EVENTO!$A$2:$C$4999,2,FALSE),"")</f>
        <v>ADITIVO DE PRAZO</v>
      </c>
      <c r="C335" s="50" t="str">
        <f>IFERROR(VLOOKUP($A335,EVENTO!$A$2:$C$4999,3,FALSE),"")</f>
        <v>PREF. MUNICIPAL DE ARACATI - SEGURANÇA CIDADÃ - 017-2022</v>
      </c>
      <c r="D335" s="6" t="s">
        <v>1556</v>
      </c>
      <c r="E335" s="112" t="s">
        <v>2108</v>
      </c>
      <c r="F335" s="9" t="s">
        <v>2147</v>
      </c>
      <c r="H335" s="80"/>
    </row>
    <row r="336">
      <c r="A336" s="6">
        <v>124.0</v>
      </c>
      <c r="B336" s="50" t="str">
        <f>IFERROR(VLOOKUP($A336,EVENTO!$A$2:$C$4999,2,FALSE),"")</f>
        <v>ADITIVO DE PRAZO</v>
      </c>
      <c r="C336" s="50" t="str">
        <f>IFERROR(VLOOKUP($A336,EVENTO!$A$2:$C$4999,3,FALSE),"")</f>
        <v>PREF. MUNICIPAL DE ARACATI - SEGURANÇA CIDADÃ - 017-2022</v>
      </c>
      <c r="D336" s="6" t="s">
        <v>1553</v>
      </c>
      <c r="E336" s="112" t="s">
        <v>2108</v>
      </c>
      <c r="F336" s="9" t="s">
        <v>2148</v>
      </c>
      <c r="G336" s="6">
        <v>7000.0</v>
      </c>
      <c r="H336" s="80"/>
    </row>
    <row r="337">
      <c r="A337" s="6">
        <v>124.0</v>
      </c>
      <c r="B337" s="50" t="str">
        <f>IFERROR(VLOOKUP($A337,EVENTO!$A$2:$C$4999,2,FALSE),"")</f>
        <v>ADITIVO DE PRAZO</v>
      </c>
      <c r="C337" s="50" t="str">
        <f>IFERROR(VLOOKUP($A337,EVENTO!$A$2:$C$4999,3,FALSE),"")</f>
        <v>PREF. MUNICIPAL DE ARACATI - SEGURANÇA CIDADÃ - 017-2022</v>
      </c>
      <c r="D337" s="6" t="s">
        <v>1487</v>
      </c>
      <c r="E337" s="112" t="s">
        <v>2108</v>
      </c>
      <c r="F337" s="9" t="s">
        <v>2148</v>
      </c>
      <c r="G337" s="6">
        <v>7000.0</v>
      </c>
      <c r="H337" s="80"/>
    </row>
    <row r="338">
      <c r="A338" s="6">
        <v>124.0</v>
      </c>
      <c r="B338" s="50" t="str">
        <f>IFERROR(VLOOKUP($A338,EVENTO!$A$2:$C$4999,2,FALSE),"")</f>
        <v>ADITIVO DE PRAZO</v>
      </c>
      <c r="C338" s="50" t="str">
        <f>IFERROR(VLOOKUP($A338,EVENTO!$A$2:$C$4999,3,FALSE),"")</f>
        <v>PREF. MUNICIPAL DE ARACATI - SEGURANÇA CIDADÃ - 017-2022</v>
      </c>
      <c r="D338" s="6" t="s">
        <v>1556</v>
      </c>
      <c r="E338" s="112" t="s">
        <v>2108</v>
      </c>
      <c r="F338" s="9" t="s">
        <v>2147</v>
      </c>
      <c r="H338" s="80"/>
    </row>
    <row r="339">
      <c r="A339" s="6">
        <v>125.0</v>
      </c>
      <c r="B339" s="50" t="str">
        <f>IFERROR(VLOOKUP($A339,EVENTO!$A$2:$C$4999,2,FALSE),"")</f>
        <v>ADITIVO DE PRAZO</v>
      </c>
      <c r="C339" s="50" t="str">
        <f>IFERROR(VLOOKUP($A339,EVENTO!$A$2:$C$4999,3,FALSE),"")</f>
        <v>PREF. MUNICIPAL DE ARACATI - SEGURANÇA CIDADÃ - 017-2022</v>
      </c>
      <c r="D339" s="6" t="s">
        <v>1553</v>
      </c>
      <c r="E339" s="112" t="s">
        <v>2108</v>
      </c>
      <c r="F339" s="9" t="s">
        <v>2148</v>
      </c>
      <c r="G339" s="6">
        <v>7000.0</v>
      </c>
      <c r="H339" s="80"/>
    </row>
    <row r="340">
      <c r="A340" s="6">
        <v>125.0</v>
      </c>
      <c r="B340" s="50" t="str">
        <f>IFERROR(VLOOKUP($A340,EVENTO!$A$2:$C$4999,2,FALSE),"")</f>
        <v>ADITIVO DE PRAZO</v>
      </c>
      <c r="C340" s="50" t="str">
        <f>IFERROR(VLOOKUP($A340,EVENTO!$A$2:$C$4999,3,FALSE),"")</f>
        <v>PREF. MUNICIPAL DE ARACATI - SEGURANÇA CIDADÃ - 017-2022</v>
      </c>
      <c r="D340" s="6" t="s">
        <v>1487</v>
      </c>
      <c r="E340" s="112" t="s">
        <v>2108</v>
      </c>
      <c r="F340" s="9" t="s">
        <v>2148</v>
      </c>
      <c r="G340" s="6">
        <v>7000.0</v>
      </c>
      <c r="H340" s="80"/>
    </row>
    <row r="341">
      <c r="A341" s="6">
        <v>125.0</v>
      </c>
      <c r="B341" s="50" t="str">
        <f>IFERROR(VLOOKUP($A341,EVENTO!$A$2:$C$4999,2,FALSE),"")</f>
        <v>ADITIVO DE PRAZO</v>
      </c>
      <c r="C341" s="50" t="str">
        <f>IFERROR(VLOOKUP($A341,EVENTO!$A$2:$C$4999,3,FALSE),"")</f>
        <v>PREF. MUNICIPAL DE ARACATI - SEGURANÇA CIDADÃ - 017-2022</v>
      </c>
      <c r="D341" s="6" t="s">
        <v>1556</v>
      </c>
      <c r="E341" s="112" t="s">
        <v>2108</v>
      </c>
      <c r="F341" s="9" t="s">
        <v>2147</v>
      </c>
      <c r="H341" s="80"/>
    </row>
    <row r="342">
      <c r="A342" s="6">
        <v>126.0</v>
      </c>
      <c r="B342" s="50" t="str">
        <f>IFERROR(VLOOKUP($A342,EVENTO!$A$2:$C$4999,2,FALSE),"")</f>
        <v>CADASTRO</v>
      </c>
      <c r="C342" s="50" t="str">
        <f>IFERROR(VLOOKUP($A342,EVENTO!$A$2:$C$4999,3,FALSE),"")</f>
        <v>PREF. MUNICIPAL DE ARACATI - SEGURANÇA CIDADÃ - 018-2022</v>
      </c>
      <c r="D342" s="6" t="s">
        <v>1553</v>
      </c>
      <c r="E342" s="112" t="s">
        <v>2108</v>
      </c>
      <c r="F342" s="9" t="s">
        <v>2148</v>
      </c>
      <c r="G342" s="6">
        <v>7000.0</v>
      </c>
      <c r="H342" s="80"/>
    </row>
    <row r="343">
      <c r="A343" s="6">
        <v>126.0</v>
      </c>
      <c r="B343" s="50" t="str">
        <f>IFERROR(VLOOKUP($A343,EVENTO!$A$2:$C$4999,2,FALSE),"")</f>
        <v>CADASTRO</v>
      </c>
      <c r="C343" s="50" t="str">
        <f>IFERROR(VLOOKUP($A343,EVENTO!$A$2:$C$4999,3,FALSE),"")</f>
        <v>PREF. MUNICIPAL DE ARACATI - SEGURANÇA CIDADÃ - 018-2022</v>
      </c>
      <c r="D343" s="6" t="s">
        <v>1487</v>
      </c>
      <c r="E343" s="112" t="s">
        <v>2108</v>
      </c>
      <c r="F343" s="9" t="s">
        <v>2148</v>
      </c>
      <c r="G343" s="6">
        <v>7000.0</v>
      </c>
      <c r="H343" s="80"/>
    </row>
    <row r="344">
      <c r="A344" s="6">
        <v>126.0</v>
      </c>
      <c r="B344" s="50" t="str">
        <f>IFERROR(VLOOKUP($A344,EVENTO!$A$2:$C$4999,2,FALSE),"")</f>
        <v>CADASTRO</v>
      </c>
      <c r="C344" s="50" t="str">
        <f>IFERROR(VLOOKUP($A344,EVENTO!$A$2:$C$4999,3,FALSE),"")</f>
        <v>PREF. MUNICIPAL DE ARACATI - SEGURANÇA CIDADÃ - 018-2022</v>
      </c>
      <c r="D344" s="6" t="s">
        <v>1556</v>
      </c>
      <c r="E344" s="112" t="s">
        <v>2108</v>
      </c>
      <c r="F344" s="9" t="s">
        <v>2147</v>
      </c>
      <c r="H344" s="80"/>
    </row>
    <row r="345">
      <c r="A345" s="6">
        <v>127.0</v>
      </c>
      <c r="B345" s="50" t="str">
        <f>IFERROR(VLOOKUP($A345,EVENTO!$A$2:$C$4999,2,FALSE),"")</f>
        <v>ADITIVO DE PRAZO</v>
      </c>
      <c r="C345" s="50" t="str">
        <f>IFERROR(VLOOKUP($A345,EVENTO!$A$2:$C$4999,3,FALSE),"")</f>
        <v>PREF. MUNICIPAL DE ARACATI - SEGURANÇA CIDADÃ - 018-2022</v>
      </c>
      <c r="D345" s="6" t="s">
        <v>1553</v>
      </c>
      <c r="E345" s="112" t="s">
        <v>2108</v>
      </c>
      <c r="F345" s="9" t="s">
        <v>2148</v>
      </c>
      <c r="G345" s="6">
        <v>7000.0</v>
      </c>
      <c r="H345" s="80"/>
    </row>
    <row r="346">
      <c r="A346" s="6">
        <v>127.0</v>
      </c>
      <c r="B346" s="50" t="str">
        <f>IFERROR(VLOOKUP($A346,EVENTO!$A$2:$C$4999,2,FALSE),"")</f>
        <v>ADITIVO DE PRAZO</v>
      </c>
      <c r="C346" s="50" t="str">
        <f>IFERROR(VLOOKUP($A346,EVENTO!$A$2:$C$4999,3,FALSE),"")</f>
        <v>PREF. MUNICIPAL DE ARACATI - SEGURANÇA CIDADÃ - 018-2022</v>
      </c>
      <c r="D346" s="6" t="s">
        <v>1487</v>
      </c>
      <c r="E346" s="112" t="s">
        <v>2108</v>
      </c>
      <c r="F346" s="9" t="s">
        <v>2148</v>
      </c>
      <c r="G346" s="6">
        <v>7000.0</v>
      </c>
      <c r="H346" s="80"/>
    </row>
    <row r="347">
      <c r="A347" s="6">
        <v>127.0</v>
      </c>
      <c r="B347" s="50" t="str">
        <f>IFERROR(VLOOKUP($A347,EVENTO!$A$2:$C$4999,2,FALSE),"")</f>
        <v>ADITIVO DE PRAZO</v>
      </c>
      <c r="C347" s="50" t="str">
        <f>IFERROR(VLOOKUP($A347,EVENTO!$A$2:$C$4999,3,FALSE),"")</f>
        <v>PREF. MUNICIPAL DE ARACATI - SEGURANÇA CIDADÃ - 018-2022</v>
      </c>
      <c r="D347" s="6" t="s">
        <v>1556</v>
      </c>
      <c r="E347" s="112" t="s">
        <v>2108</v>
      </c>
      <c r="F347" s="9" t="s">
        <v>2147</v>
      </c>
      <c r="H347" s="80"/>
    </row>
    <row r="348">
      <c r="A348" s="6">
        <v>128.0</v>
      </c>
      <c r="B348" s="50" t="str">
        <f>IFERROR(VLOOKUP($A348,EVENTO!$A$2:$C$4999,2,FALSE),"")</f>
        <v>ADITIVO DE PRAZO</v>
      </c>
      <c r="C348" s="50" t="str">
        <f>IFERROR(VLOOKUP($A348,EVENTO!$A$2:$C$4999,3,FALSE),"")</f>
        <v>PREF. MUNICIPAL DE ARACATI - SEGURANÇA CIDADÃ - 018-2022</v>
      </c>
      <c r="D348" s="6" t="s">
        <v>1553</v>
      </c>
      <c r="E348" s="112" t="s">
        <v>2108</v>
      </c>
      <c r="F348" s="9" t="s">
        <v>2148</v>
      </c>
      <c r="G348" s="6">
        <v>7000.0</v>
      </c>
      <c r="H348" s="80"/>
    </row>
    <row r="349">
      <c r="A349" s="6">
        <v>128.0</v>
      </c>
      <c r="B349" s="50" t="str">
        <f>IFERROR(VLOOKUP($A349,EVENTO!$A$2:$C$4999,2,FALSE),"")</f>
        <v>ADITIVO DE PRAZO</v>
      </c>
      <c r="C349" s="50" t="str">
        <f>IFERROR(VLOOKUP($A349,EVENTO!$A$2:$C$4999,3,FALSE),"")</f>
        <v>PREF. MUNICIPAL DE ARACATI - SEGURANÇA CIDADÃ - 018-2022</v>
      </c>
      <c r="D349" s="6" t="s">
        <v>1487</v>
      </c>
      <c r="E349" s="112" t="s">
        <v>2108</v>
      </c>
      <c r="F349" s="9" t="s">
        <v>2148</v>
      </c>
      <c r="G349" s="6">
        <v>7000.0</v>
      </c>
      <c r="H349" s="80"/>
    </row>
    <row r="350">
      <c r="A350" s="6">
        <v>128.0</v>
      </c>
      <c r="B350" s="50" t="str">
        <f>IFERROR(VLOOKUP($A350,EVENTO!$A$2:$C$4999,2,FALSE),"")</f>
        <v>ADITIVO DE PRAZO</v>
      </c>
      <c r="C350" s="50" t="str">
        <f>IFERROR(VLOOKUP($A350,EVENTO!$A$2:$C$4999,3,FALSE),"")</f>
        <v>PREF. MUNICIPAL DE ARACATI - SEGURANÇA CIDADÃ - 018-2022</v>
      </c>
      <c r="D350" s="6" t="s">
        <v>1556</v>
      </c>
      <c r="E350" s="112" t="s">
        <v>2108</v>
      </c>
      <c r="F350" s="9" t="s">
        <v>2147</v>
      </c>
      <c r="H350" s="80"/>
    </row>
    <row r="351">
      <c r="A351" s="6">
        <v>129.0</v>
      </c>
      <c r="B351" s="50" t="str">
        <f>IFERROR(VLOOKUP($A351,EVENTO!$A$2:$C$4999,2,FALSE),"")</f>
        <v>ADITIVO DE PRAZO</v>
      </c>
      <c r="C351" s="50" t="str">
        <f>IFERROR(VLOOKUP($A351,EVENTO!$A$2:$C$4999,3,FALSE),"")</f>
        <v>PREF. MUNICIPAL DE ARACATI - SEGURANÇA CIDADÃ - 018-2022</v>
      </c>
      <c r="D351" s="6" t="s">
        <v>1553</v>
      </c>
      <c r="E351" s="112" t="s">
        <v>2108</v>
      </c>
      <c r="F351" s="9" t="s">
        <v>2148</v>
      </c>
      <c r="G351" s="6">
        <v>7000.0</v>
      </c>
      <c r="H351" s="80"/>
    </row>
    <row r="352">
      <c r="A352" s="6">
        <v>129.0</v>
      </c>
      <c r="B352" s="50" t="str">
        <f>IFERROR(VLOOKUP($A352,EVENTO!$A$2:$C$4999,2,FALSE),"")</f>
        <v>ADITIVO DE PRAZO</v>
      </c>
      <c r="C352" s="50" t="str">
        <f>IFERROR(VLOOKUP($A352,EVENTO!$A$2:$C$4999,3,FALSE),"")</f>
        <v>PREF. MUNICIPAL DE ARACATI - SEGURANÇA CIDADÃ - 018-2022</v>
      </c>
      <c r="D352" s="6" t="s">
        <v>1487</v>
      </c>
      <c r="E352" s="112" t="s">
        <v>2108</v>
      </c>
      <c r="F352" s="9" t="s">
        <v>2148</v>
      </c>
      <c r="G352" s="6">
        <v>7000.0</v>
      </c>
      <c r="H352" s="80"/>
    </row>
    <row r="353">
      <c r="A353" s="6">
        <v>129.0</v>
      </c>
      <c r="B353" s="50" t="str">
        <f>IFERROR(VLOOKUP($A353,EVENTO!$A$2:$C$4999,2,FALSE),"")</f>
        <v>ADITIVO DE PRAZO</v>
      </c>
      <c r="C353" s="50" t="str">
        <f>IFERROR(VLOOKUP($A353,EVENTO!$A$2:$C$4999,3,FALSE),"")</f>
        <v>PREF. MUNICIPAL DE ARACATI - SEGURANÇA CIDADÃ - 018-2022</v>
      </c>
      <c r="D353" s="6" t="s">
        <v>1556</v>
      </c>
      <c r="E353" s="112" t="s">
        <v>2108</v>
      </c>
      <c r="F353" s="9" t="s">
        <v>2147</v>
      </c>
      <c r="H353" s="80"/>
    </row>
    <row r="354">
      <c r="A354" s="6">
        <v>130.0</v>
      </c>
      <c r="B354" s="50" t="str">
        <f>IFERROR(VLOOKUP($A354,EVENTO!$A$2:$C$4999,2,FALSE),"")</f>
        <v>ADITIVO DE PRAZO</v>
      </c>
      <c r="C354" s="50" t="str">
        <f>IFERROR(VLOOKUP($A354,EVENTO!$A$2:$C$4999,3,FALSE),"")</f>
        <v>PREF. MUNICIPAL DE ARACATI - SEGURANÇA CIDADÃ - 018-2022</v>
      </c>
      <c r="D354" s="6" t="s">
        <v>1553</v>
      </c>
      <c r="E354" s="112" t="s">
        <v>2108</v>
      </c>
      <c r="F354" s="9" t="s">
        <v>2148</v>
      </c>
      <c r="G354" s="6">
        <v>7000.0</v>
      </c>
      <c r="H354" s="80"/>
    </row>
    <row r="355">
      <c r="A355" s="6">
        <v>130.0</v>
      </c>
      <c r="B355" s="50" t="str">
        <f>IFERROR(VLOOKUP($A355,EVENTO!$A$2:$C$4999,2,FALSE),"")</f>
        <v>ADITIVO DE PRAZO</v>
      </c>
      <c r="C355" s="50" t="str">
        <f>IFERROR(VLOOKUP($A355,EVENTO!$A$2:$C$4999,3,FALSE),"")</f>
        <v>PREF. MUNICIPAL DE ARACATI - SEGURANÇA CIDADÃ - 018-2022</v>
      </c>
      <c r="D355" s="6" t="s">
        <v>1487</v>
      </c>
      <c r="E355" s="112" t="s">
        <v>2108</v>
      </c>
      <c r="F355" s="9" t="s">
        <v>2148</v>
      </c>
      <c r="G355" s="6">
        <v>7000.0</v>
      </c>
      <c r="H355" s="80"/>
    </row>
    <row r="356">
      <c r="A356" s="6">
        <v>130.0</v>
      </c>
      <c r="B356" s="50" t="str">
        <f>IFERROR(VLOOKUP($A356,EVENTO!$A$2:$C$4999,2,FALSE),"")</f>
        <v>ADITIVO DE PRAZO</v>
      </c>
      <c r="C356" s="50" t="str">
        <f>IFERROR(VLOOKUP($A356,EVENTO!$A$2:$C$4999,3,FALSE),"")</f>
        <v>PREF. MUNICIPAL DE ARACATI - SEGURANÇA CIDADÃ - 018-2022</v>
      </c>
      <c r="D356" s="6" t="s">
        <v>1556</v>
      </c>
      <c r="E356" s="112" t="s">
        <v>2108</v>
      </c>
      <c r="F356" s="9" t="s">
        <v>2147</v>
      </c>
      <c r="H356" s="80"/>
    </row>
    <row r="357">
      <c r="A357" s="6">
        <v>131.0</v>
      </c>
      <c r="B357" s="50" t="str">
        <f>IFERROR(VLOOKUP($A357,EVENTO!$A$2:$C$4999,2,FALSE),"")</f>
        <v>ADITIVO DE PRAZO</v>
      </c>
      <c r="C357" s="50" t="str">
        <f>IFERROR(VLOOKUP($A357,EVENTO!$A$2:$C$4999,3,FALSE),"")</f>
        <v>PREF. MUNICIPAL DE ARACATI - SEGURANÇA CIDADÃ - 018-2022</v>
      </c>
      <c r="D357" s="6" t="s">
        <v>1553</v>
      </c>
      <c r="E357" s="112" t="s">
        <v>2108</v>
      </c>
      <c r="F357" s="9" t="s">
        <v>2148</v>
      </c>
      <c r="G357" s="6">
        <v>7000.0</v>
      </c>
      <c r="H357" s="80"/>
    </row>
    <row r="358">
      <c r="A358" s="6">
        <v>131.0</v>
      </c>
      <c r="B358" s="50" t="str">
        <f>IFERROR(VLOOKUP($A358,EVENTO!$A$2:$C$4999,2,FALSE),"")</f>
        <v>ADITIVO DE PRAZO</v>
      </c>
      <c r="C358" s="50" t="str">
        <f>IFERROR(VLOOKUP($A358,EVENTO!$A$2:$C$4999,3,FALSE),"")</f>
        <v>PREF. MUNICIPAL DE ARACATI - SEGURANÇA CIDADÃ - 018-2022</v>
      </c>
      <c r="D358" s="6" t="s">
        <v>1487</v>
      </c>
      <c r="E358" s="112" t="s">
        <v>2108</v>
      </c>
      <c r="F358" s="9" t="s">
        <v>2148</v>
      </c>
      <c r="G358" s="6">
        <v>7000.0</v>
      </c>
      <c r="H358" s="80"/>
    </row>
    <row r="359">
      <c r="A359" s="6">
        <v>131.0</v>
      </c>
      <c r="B359" s="50" t="str">
        <f>IFERROR(VLOOKUP($A359,EVENTO!$A$2:$C$4999,2,FALSE),"")</f>
        <v>ADITIVO DE PRAZO</v>
      </c>
      <c r="C359" s="50" t="str">
        <f>IFERROR(VLOOKUP($A359,EVENTO!$A$2:$C$4999,3,FALSE),"")</f>
        <v>PREF. MUNICIPAL DE ARACATI - SEGURANÇA CIDADÃ - 018-2022</v>
      </c>
      <c r="D359" s="6" t="s">
        <v>1556</v>
      </c>
      <c r="E359" s="112" t="s">
        <v>2108</v>
      </c>
      <c r="F359" s="9" t="s">
        <v>2147</v>
      </c>
      <c r="H359" s="80"/>
    </row>
    <row r="360">
      <c r="A360" s="6">
        <v>132.0</v>
      </c>
      <c r="B360" s="50" t="str">
        <f>IFERROR(VLOOKUP($A360,EVENTO!$A$2:$C$4999,2,FALSE),"")</f>
        <v>CADASTRO</v>
      </c>
      <c r="C360" s="50" t="str">
        <f>IFERROR(VLOOKUP($A360,EVENTO!$A$2:$C$4999,3,FALSE),"")</f>
        <v>PREF. MUNICIPAL DE ARACATI - DESENVOLVIMENTO SOCIAL - 021-2022</v>
      </c>
      <c r="D360" s="6" t="s">
        <v>1553</v>
      </c>
      <c r="E360" s="112" t="s">
        <v>2108</v>
      </c>
      <c r="F360" s="9" t="s">
        <v>2148</v>
      </c>
      <c r="G360" s="6">
        <v>7000.0</v>
      </c>
      <c r="H360" s="80"/>
    </row>
    <row r="361">
      <c r="A361" s="6">
        <v>132.0</v>
      </c>
      <c r="B361" s="50" t="str">
        <f>IFERROR(VLOOKUP($A361,EVENTO!$A$2:$C$4999,2,FALSE),"")</f>
        <v>CADASTRO</v>
      </c>
      <c r="C361" s="50" t="str">
        <f>IFERROR(VLOOKUP($A361,EVENTO!$A$2:$C$4999,3,FALSE),"")</f>
        <v>PREF. MUNICIPAL DE ARACATI - DESENVOLVIMENTO SOCIAL - 021-2022</v>
      </c>
      <c r="D361" s="6" t="s">
        <v>1487</v>
      </c>
      <c r="E361" s="112" t="s">
        <v>2108</v>
      </c>
      <c r="F361" s="9" t="s">
        <v>2148</v>
      </c>
      <c r="G361" s="6">
        <v>7000.0</v>
      </c>
      <c r="H361" s="80"/>
    </row>
    <row r="362">
      <c r="A362" s="6">
        <v>132.0</v>
      </c>
      <c r="B362" s="50" t="str">
        <f>IFERROR(VLOOKUP($A362,EVENTO!$A$2:$C$4999,2,FALSE),"")</f>
        <v>CADASTRO</v>
      </c>
      <c r="C362" s="50" t="str">
        <f>IFERROR(VLOOKUP($A362,EVENTO!$A$2:$C$4999,3,FALSE),"")</f>
        <v>PREF. MUNICIPAL DE ARACATI - DESENVOLVIMENTO SOCIAL - 021-2022</v>
      </c>
      <c r="D362" s="6" t="s">
        <v>1556</v>
      </c>
      <c r="E362" s="112" t="s">
        <v>2108</v>
      </c>
      <c r="F362" s="9" t="s">
        <v>2147</v>
      </c>
      <c r="H362" s="80"/>
    </row>
    <row r="363">
      <c r="A363" s="6">
        <v>135.0</v>
      </c>
      <c r="B363" s="50" t="str">
        <f>IFERROR(VLOOKUP($A363,EVENTO!$A$2:$C$4999,2,FALSE),"")</f>
        <v>ADITIVO DE PRAZO</v>
      </c>
      <c r="C363" s="50" t="str">
        <f>IFERROR(VLOOKUP($A363,EVENTO!$A$2:$C$4999,3,FALSE),"")</f>
        <v>PREF. MUNICIPAL DE ARACATI - DESENVOLVIMENTO SOCIAL - 021-2022</v>
      </c>
      <c r="D363" s="6" t="s">
        <v>1553</v>
      </c>
      <c r="E363" s="112" t="s">
        <v>2108</v>
      </c>
      <c r="F363" s="9" t="s">
        <v>2148</v>
      </c>
      <c r="G363" s="6">
        <v>7000.0</v>
      </c>
      <c r="H363" s="80"/>
    </row>
    <row r="364">
      <c r="A364" s="6">
        <v>135.0</v>
      </c>
      <c r="B364" s="50" t="str">
        <f>IFERROR(VLOOKUP($A364,EVENTO!$A$2:$C$4999,2,FALSE),"")</f>
        <v>ADITIVO DE PRAZO</v>
      </c>
      <c r="C364" s="50" t="str">
        <f>IFERROR(VLOOKUP($A364,EVENTO!$A$2:$C$4999,3,FALSE),"")</f>
        <v>PREF. MUNICIPAL DE ARACATI - DESENVOLVIMENTO SOCIAL - 021-2022</v>
      </c>
      <c r="D364" s="6" t="s">
        <v>1487</v>
      </c>
      <c r="E364" s="112" t="s">
        <v>2108</v>
      </c>
      <c r="F364" s="9" t="s">
        <v>2148</v>
      </c>
      <c r="G364" s="6">
        <v>7000.0</v>
      </c>
      <c r="H364" s="80"/>
    </row>
    <row r="365">
      <c r="A365" s="6">
        <v>135.0</v>
      </c>
      <c r="B365" s="50" t="str">
        <f>IFERROR(VLOOKUP($A365,EVENTO!$A$2:$C$4999,2,FALSE),"")</f>
        <v>ADITIVO DE PRAZO</v>
      </c>
      <c r="C365" s="50" t="str">
        <f>IFERROR(VLOOKUP($A365,EVENTO!$A$2:$C$4999,3,FALSE),"")</f>
        <v>PREF. MUNICIPAL DE ARACATI - DESENVOLVIMENTO SOCIAL - 021-2022</v>
      </c>
      <c r="D365" s="6" t="s">
        <v>1556</v>
      </c>
      <c r="E365" s="112" t="s">
        <v>2108</v>
      </c>
      <c r="F365" s="9" t="s">
        <v>2147</v>
      </c>
      <c r="H365" s="80"/>
    </row>
    <row r="366">
      <c r="A366" s="6">
        <v>136.0</v>
      </c>
      <c r="B366" s="50" t="str">
        <f>IFERROR(VLOOKUP($A366,EVENTO!$A$2:$C$4999,2,FALSE),"")</f>
        <v>ADITIVO DE PRAZO</v>
      </c>
      <c r="C366" s="50" t="str">
        <f>IFERROR(VLOOKUP($A366,EVENTO!$A$2:$C$4999,3,FALSE),"")</f>
        <v>PREF. MUNICIPAL DE ARACATI - DESENVOLVIMENTO SOCIAL - 021-2022</v>
      </c>
      <c r="D366" s="6" t="s">
        <v>1553</v>
      </c>
      <c r="E366" s="112" t="s">
        <v>2108</v>
      </c>
      <c r="F366" s="9" t="s">
        <v>2148</v>
      </c>
      <c r="G366" s="6">
        <v>7000.0</v>
      </c>
      <c r="H366" s="80"/>
    </row>
    <row r="367">
      <c r="A367" s="6">
        <v>136.0</v>
      </c>
      <c r="B367" s="50" t="str">
        <f>IFERROR(VLOOKUP($A367,EVENTO!$A$2:$C$4999,2,FALSE),"")</f>
        <v>ADITIVO DE PRAZO</v>
      </c>
      <c r="C367" s="50" t="str">
        <f>IFERROR(VLOOKUP($A367,EVENTO!$A$2:$C$4999,3,FALSE),"")</f>
        <v>PREF. MUNICIPAL DE ARACATI - DESENVOLVIMENTO SOCIAL - 021-2022</v>
      </c>
      <c r="D367" s="6" t="s">
        <v>1487</v>
      </c>
      <c r="E367" s="112" t="s">
        <v>2108</v>
      </c>
      <c r="F367" s="9" t="s">
        <v>2148</v>
      </c>
      <c r="G367" s="6">
        <v>7000.0</v>
      </c>
      <c r="H367" s="80"/>
    </row>
    <row r="368">
      <c r="A368" s="6">
        <v>136.0</v>
      </c>
      <c r="B368" s="50" t="str">
        <f>IFERROR(VLOOKUP($A368,EVENTO!$A$2:$C$4999,2,FALSE),"")</f>
        <v>ADITIVO DE PRAZO</v>
      </c>
      <c r="C368" s="50" t="str">
        <f>IFERROR(VLOOKUP($A368,EVENTO!$A$2:$C$4999,3,FALSE),"")</f>
        <v>PREF. MUNICIPAL DE ARACATI - DESENVOLVIMENTO SOCIAL - 021-2022</v>
      </c>
      <c r="D368" s="6" t="s">
        <v>1556</v>
      </c>
      <c r="E368" s="112" t="s">
        <v>2108</v>
      </c>
      <c r="F368" s="9" t="s">
        <v>2147</v>
      </c>
      <c r="H368" s="80"/>
    </row>
    <row r="369">
      <c r="A369" s="6">
        <v>137.0</v>
      </c>
      <c r="B369" s="50" t="str">
        <f>IFERROR(VLOOKUP($A369,EVENTO!$A$2:$C$4999,2,FALSE),"")</f>
        <v>ADITIVO DE PRAZO</v>
      </c>
      <c r="C369" s="50" t="str">
        <f>IFERROR(VLOOKUP($A369,EVENTO!$A$2:$C$4999,3,FALSE),"")</f>
        <v>PREF. MUNICIPAL DE ARACATI - DESENVOLVIMENTO SOCIAL - 021-2022</v>
      </c>
      <c r="D369" s="6" t="s">
        <v>1553</v>
      </c>
      <c r="E369" s="112" t="s">
        <v>2108</v>
      </c>
      <c r="F369" s="9" t="s">
        <v>2148</v>
      </c>
      <c r="G369" s="6">
        <v>7000.0</v>
      </c>
      <c r="H369" s="80"/>
    </row>
    <row r="370">
      <c r="A370" s="6">
        <v>137.0</v>
      </c>
      <c r="B370" s="50" t="str">
        <f>IFERROR(VLOOKUP($A370,EVENTO!$A$2:$C$4999,2,FALSE),"")</f>
        <v>ADITIVO DE PRAZO</v>
      </c>
      <c r="C370" s="50" t="str">
        <f>IFERROR(VLOOKUP($A370,EVENTO!$A$2:$C$4999,3,FALSE),"")</f>
        <v>PREF. MUNICIPAL DE ARACATI - DESENVOLVIMENTO SOCIAL - 021-2022</v>
      </c>
      <c r="D370" s="6" t="s">
        <v>1487</v>
      </c>
      <c r="E370" s="112" t="s">
        <v>2108</v>
      </c>
      <c r="F370" s="9" t="s">
        <v>2148</v>
      </c>
      <c r="G370" s="6">
        <v>7000.0</v>
      </c>
      <c r="H370" s="80"/>
    </row>
    <row r="371">
      <c r="A371" s="6">
        <v>137.0</v>
      </c>
      <c r="B371" s="50" t="str">
        <f>IFERROR(VLOOKUP($A371,EVENTO!$A$2:$C$4999,2,FALSE),"")</f>
        <v>ADITIVO DE PRAZO</v>
      </c>
      <c r="C371" s="50" t="str">
        <f>IFERROR(VLOOKUP($A371,EVENTO!$A$2:$C$4999,3,FALSE),"")</f>
        <v>PREF. MUNICIPAL DE ARACATI - DESENVOLVIMENTO SOCIAL - 021-2022</v>
      </c>
      <c r="D371" s="6" t="s">
        <v>1556</v>
      </c>
      <c r="E371" s="112" t="s">
        <v>2108</v>
      </c>
      <c r="F371" s="9" t="s">
        <v>2147</v>
      </c>
      <c r="H371" s="80"/>
    </row>
    <row r="372">
      <c r="A372" s="6">
        <v>138.0</v>
      </c>
      <c r="B372" s="50" t="str">
        <f>IFERROR(VLOOKUP($A372,EVENTO!$A$2:$C$4999,2,FALSE),"")</f>
        <v>ADITIVO DE PRAZO</v>
      </c>
      <c r="C372" s="50" t="str">
        <f>IFERROR(VLOOKUP($A372,EVENTO!$A$2:$C$4999,3,FALSE),"")</f>
        <v>PREF. MUNICIPAL DE ARACATI - DESENVOLVIMENTO SOCIAL - 021-2022</v>
      </c>
      <c r="D372" s="6" t="s">
        <v>1553</v>
      </c>
      <c r="E372" s="112" t="s">
        <v>2108</v>
      </c>
      <c r="F372" s="9" t="s">
        <v>2148</v>
      </c>
      <c r="G372" s="6">
        <v>7000.0</v>
      </c>
      <c r="H372" s="80"/>
    </row>
    <row r="373">
      <c r="A373" s="6">
        <v>138.0</v>
      </c>
      <c r="B373" s="50" t="str">
        <f>IFERROR(VLOOKUP($A373,EVENTO!$A$2:$C$4999,2,FALSE),"")</f>
        <v>ADITIVO DE PRAZO</v>
      </c>
      <c r="C373" s="50" t="str">
        <f>IFERROR(VLOOKUP($A373,EVENTO!$A$2:$C$4999,3,FALSE),"")</f>
        <v>PREF. MUNICIPAL DE ARACATI - DESENVOLVIMENTO SOCIAL - 021-2022</v>
      </c>
      <c r="D373" s="6" t="s">
        <v>1487</v>
      </c>
      <c r="E373" s="112" t="s">
        <v>2108</v>
      </c>
      <c r="F373" s="9" t="s">
        <v>2148</v>
      </c>
      <c r="G373" s="6">
        <v>7000.0</v>
      </c>
      <c r="H373" s="80"/>
    </row>
    <row r="374">
      <c r="A374" s="6">
        <v>138.0</v>
      </c>
      <c r="B374" s="50" t="str">
        <f>IFERROR(VLOOKUP($A374,EVENTO!$A$2:$C$4999,2,FALSE),"")</f>
        <v>ADITIVO DE PRAZO</v>
      </c>
      <c r="C374" s="50" t="str">
        <f>IFERROR(VLOOKUP($A374,EVENTO!$A$2:$C$4999,3,FALSE),"")</f>
        <v>PREF. MUNICIPAL DE ARACATI - DESENVOLVIMENTO SOCIAL - 021-2022</v>
      </c>
      <c r="D374" s="6" t="s">
        <v>1556</v>
      </c>
      <c r="E374" s="112" t="s">
        <v>2108</v>
      </c>
      <c r="F374" s="9" t="s">
        <v>2147</v>
      </c>
      <c r="H374" s="80"/>
    </row>
    <row r="375">
      <c r="A375" s="6">
        <v>139.0</v>
      </c>
      <c r="B375" s="50" t="str">
        <f>IFERROR(VLOOKUP($A375,EVENTO!$A$2:$C$4999,2,FALSE),"")</f>
        <v>ADITIVO DE PRAZO</v>
      </c>
      <c r="C375" s="50" t="str">
        <f>IFERROR(VLOOKUP($A375,EVENTO!$A$2:$C$4999,3,FALSE),"")</f>
        <v>PREF. MUNICIPAL DE ARACATI - DESENVOLVIMENTO SOCIAL - 021-2022</v>
      </c>
      <c r="D375" s="6" t="s">
        <v>1553</v>
      </c>
      <c r="E375" s="112" t="s">
        <v>2108</v>
      </c>
      <c r="F375" s="9" t="s">
        <v>2148</v>
      </c>
      <c r="G375" s="6">
        <v>7000.0</v>
      </c>
      <c r="H375" s="80"/>
    </row>
    <row r="376">
      <c r="A376" s="6">
        <v>139.0</v>
      </c>
      <c r="B376" s="50" t="str">
        <f>IFERROR(VLOOKUP($A376,EVENTO!$A$2:$C$4999,2,FALSE),"")</f>
        <v>ADITIVO DE PRAZO</v>
      </c>
      <c r="C376" s="50" t="str">
        <f>IFERROR(VLOOKUP($A376,EVENTO!$A$2:$C$4999,3,FALSE),"")</f>
        <v>PREF. MUNICIPAL DE ARACATI - DESENVOLVIMENTO SOCIAL - 021-2022</v>
      </c>
      <c r="D376" s="6" t="s">
        <v>1487</v>
      </c>
      <c r="E376" s="112" t="s">
        <v>2108</v>
      </c>
      <c r="F376" s="9" t="s">
        <v>2148</v>
      </c>
      <c r="G376" s="6">
        <v>7000.0</v>
      </c>
      <c r="H376" s="80"/>
    </row>
    <row r="377">
      <c r="A377" s="6">
        <v>139.0</v>
      </c>
      <c r="B377" s="50" t="str">
        <f>IFERROR(VLOOKUP($A377,EVENTO!$A$2:$C$4999,2,FALSE),"")</f>
        <v>ADITIVO DE PRAZO</v>
      </c>
      <c r="C377" s="50" t="str">
        <f>IFERROR(VLOOKUP($A377,EVENTO!$A$2:$C$4999,3,FALSE),"")</f>
        <v>PREF. MUNICIPAL DE ARACATI - DESENVOLVIMENTO SOCIAL - 021-2022</v>
      </c>
      <c r="D377" s="6" t="s">
        <v>1556</v>
      </c>
      <c r="E377" s="112" t="s">
        <v>2108</v>
      </c>
      <c r="F377" s="9" t="s">
        <v>2147</v>
      </c>
      <c r="H377" s="80"/>
    </row>
    <row r="378">
      <c r="A378" s="6">
        <v>146.0</v>
      </c>
      <c r="B378" s="50" t="str">
        <f>IFERROR(VLOOKUP($A378,EVENTO!$A$2:$C$4999,2,FALSE),"")</f>
        <v>CADASTRO</v>
      </c>
      <c r="C378" s="50" t="str">
        <f>IFERROR(VLOOKUP($A378,EVENTO!$A$2:$C$4999,3,FALSE),"")</f>
        <v>PREF. MUNICIPAL DE ARACATI - CONTROLADORIA</v>
      </c>
      <c r="D378" s="6" t="s">
        <v>1553</v>
      </c>
      <c r="E378" s="112" t="s">
        <v>2108</v>
      </c>
      <c r="F378" s="9" t="s">
        <v>2148</v>
      </c>
      <c r="G378" s="6">
        <v>7000.0</v>
      </c>
      <c r="H378" s="80"/>
    </row>
    <row r="379">
      <c r="A379" s="6">
        <v>146.0</v>
      </c>
      <c r="B379" s="50" t="str">
        <f>IFERROR(VLOOKUP($A379,EVENTO!$A$2:$C$4999,2,FALSE),"")</f>
        <v>CADASTRO</v>
      </c>
      <c r="C379" s="50" t="str">
        <f>IFERROR(VLOOKUP($A379,EVENTO!$A$2:$C$4999,3,FALSE),"")</f>
        <v>PREF. MUNICIPAL DE ARACATI - CONTROLADORIA</v>
      </c>
      <c r="D379" s="6" t="s">
        <v>1556</v>
      </c>
      <c r="E379" s="112" t="s">
        <v>2108</v>
      </c>
      <c r="F379" s="9" t="s">
        <v>2147</v>
      </c>
    </row>
    <row r="380">
      <c r="A380" s="6">
        <v>147.0</v>
      </c>
      <c r="B380" s="50" t="str">
        <f>IFERROR(VLOOKUP($A380,EVENTO!$A$2:$C$4999,2,FALSE),"")</f>
        <v>ADITIVO DE PRAZO</v>
      </c>
      <c r="C380" s="50" t="str">
        <f>IFERROR(VLOOKUP($A380,EVENTO!$A$2:$C$4999,3,FALSE),"")</f>
        <v>PREF. MUNICIPAL DE ARACATI - CONTROLADORIA</v>
      </c>
      <c r="D380" s="6" t="s">
        <v>1553</v>
      </c>
      <c r="E380" s="112" t="s">
        <v>2108</v>
      </c>
      <c r="F380" s="9" t="s">
        <v>2148</v>
      </c>
      <c r="G380" s="6">
        <v>7000.0</v>
      </c>
      <c r="H380" s="80"/>
    </row>
    <row r="381">
      <c r="A381" s="6">
        <v>147.0</v>
      </c>
      <c r="B381" s="50" t="str">
        <f>IFERROR(VLOOKUP($A381,EVENTO!$A$2:$C$4999,2,FALSE),"")</f>
        <v>ADITIVO DE PRAZO</v>
      </c>
      <c r="C381" s="50" t="str">
        <f>IFERROR(VLOOKUP($A381,EVENTO!$A$2:$C$4999,3,FALSE),"")</f>
        <v>PREF. MUNICIPAL DE ARACATI - CONTROLADORIA</v>
      </c>
      <c r="D381" s="6" t="s">
        <v>1556</v>
      </c>
      <c r="E381" s="112" t="s">
        <v>2108</v>
      </c>
      <c r="F381" s="9" t="s">
        <v>2147</v>
      </c>
      <c r="H381" s="80"/>
    </row>
    <row r="382">
      <c r="A382" s="6">
        <v>148.0</v>
      </c>
      <c r="B382" s="50" t="str">
        <f>IFERROR(VLOOKUP($A382,EVENTO!$A$2:$C$4999,2,FALSE),"")</f>
        <v>ADITIVO DE PRAZO</v>
      </c>
      <c r="C382" s="50" t="str">
        <f>IFERROR(VLOOKUP($A382,EVENTO!$A$2:$C$4999,3,FALSE),"")</f>
        <v>PREF. MUNICIPAL DE ARACATI - CONTROLADORIA</v>
      </c>
      <c r="D382" s="6" t="s">
        <v>1553</v>
      </c>
      <c r="E382" s="112" t="s">
        <v>2108</v>
      </c>
      <c r="F382" s="9" t="s">
        <v>2148</v>
      </c>
      <c r="G382" s="6">
        <v>7000.0</v>
      </c>
      <c r="H382" s="80"/>
    </row>
    <row r="383">
      <c r="A383" s="6">
        <v>148.0</v>
      </c>
      <c r="B383" s="50" t="str">
        <f>IFERROR(VLOOKUP($A383,EVENTO!$A$2:$C$4999,2,FALSE),"")</f>
        <v>ADITIVO DE PRAZO</v>
      </c>
      <c r="C383" s="50" t="str">
        <f>IFERROR(VLOOKUP($A383,EVENTO!$A$2:$C$4999,3,FALSE),"")</f>
        <v>PREF. MUNICIPAL DE ARACATI - CONTROLADORIA</v>
      </c>
      <c r="D383" s="6" t="s">
        <v>1556</v>
      </c>
      <c r="E383" s="112" t="s">
        <v>2108</v>
      </c>
      <c r="F383" s="9" t="s">
        <v>2147</v>
      </c>
      <c r="H383" s="80"/>
    </row>
    <row r="384">
      <c r="A384" s="6">
        <v>149.0</v>
      </c>
      <c r="B384" s="50" t="str">
        <f>IFERROR(VLOOKUP($A384,EVENTO!$A$2:$C$4999,2,FALSE),"")</f>
        <v>ADITIVO DE PRAZO</v>
      </c>
      <c r="C384" s="50" t="str">
        <f>IFERROR(VLOOKUP($A384,EVENTO!$A$2:$C$4999,3,FALSE),"")</f>
        <v>PREF. MUNICIPAL DE ARACATI - CONTROLADORIA</v>
      </c>
      <c r="D384" s="6" t="s">
        <v>1553</v>
      </c>
      <c r="E384" s="112" t="s">
        <v>2108</v>
      </c>
      <c r="F384" s="9" t="s">
        <v>2148</v>
      </c>
      <c r="G384" s="6">
        <v>7000.0</v>
      </c>
      <c r="H384" s="80"/>
    </row>
    <row r="385">
      <c r="A385" s="6">
        <v>149.0</v>
      </c>
      <c r="B385" s="50" t="str">
        <f>IFERROR(VLOOKUP($A385,EVENTO!$A$2:$C$4999,2,FALSE),"")</f>
        <v>ADITIVO DE PRAZO</v>
      </c>
      <c r="C385" s="50" t="str">
        <f>IFERROR(VLOOKUP($A385,EVENTO!$A$2:$C$4999,3,FALSE),"")</f>
        <v>PREF. MUNICIPAL DE ARACATI - CONTROLADORIA</v>
      </c>
      <c r="D385" s="6" t="s">
        <v>1556</v>
      </c>
      <c r="E385" s="112" t="s">
        <v>2108</v>
      </c>
      <c r="F385" s="9" t="s">
        <v>2147</v>
      </c>
      <c r="H385" s="80"/>
    </row>
    <row r="386">
      <c r="A386" s="6">
        <v>150.0</v>
      </c>
      <c r="B386" s="50" t="str">
        <f>IFERROR(VLOOKUP($A386,EVENTO!$A$2:$C$4999,2,FALSE),"")</f>
        <v>ADITIVO DE PRAZO</v>
      </c>
      <c r="C386" s="50" t="str">
        <f>IFERROR(VLOOKUP($A386,EVENTO!$A$2:$C$4999,3,FALSE),"")</f>
        <v>PREF. MUNICIPAL DE ARACATI - CONTROLADORIA</v>
      </c>
      <c r="D386" s="6" t="s">
        <v>1553</v>
      </c>
      <c r="E386" s="112" t="s">
        <v>2108</v>
      </c>
      <c r="F386" s="9" t="s">
        <v>2148</v>
      </c>
      <c r="G386" s="6">
        <v>7000.0</v>
      </c>
      <c r="H386" s="80"/>
    </row>
    <row r="387">
      <c r="A387" s="6">
        <v>150.0</v>
      </c>
      <c r="B387" s="50" t="str">
        <f>IFERROR(VLOOKUP($A387,EVENTO!$A$2:$C$4999,2,FALSE),"")</f>
        <v>ADITIVO DE PRAZO</v>
      </c>
      <c r="C387" s="50" t="str">
        <f>IFERROR(VLOOKUP($A387,EVENTO!$A$2:$C$4999,3,FALSE),"")</f>
        <v>PREF. MUNICIPAL DE ARACATI - CONTROLADORIA</v>
      </c>
      <c r="D387" s="6" t="s">
        <v>1556</v>
      </c>
      <c r="E387" s="112" t="s">
        <v>2108</v>
      </c>
      <c r="F387" s="9" t="s">
        <v>2147</v>
      </c>
      <c r="H387" s="80"/>
    </row>
    <row r="388">
      <c r="A388" s="6">
        <v>151.0</v>
      </c>
      <c r="B388" s="50" t="str">
        <f>IFERROR(VLOOKUP($A388,EVENTO!$A$2:$C$4999,2,FALSE),"")</f>
        <v>ADITIVO DE PRAZO</v>
      </c>
      <c r="C388" s="50" t="str">
        <f>IFERROR(VLOOKUP($A388,EVENTO!$A$2:$C$4999,3,FALSE),"")</f>
        <v>PREF. MUNICIPAL DE ARACATI - CONTROLADORIA</v>
      </c>
      <c r="D388" s="6" t="s">
        <v>1553</v>
      </c>
      <c r="E388" s="112" t="s">
        <v>2108</v>
      </c>
      <c r="F388" s="9" t="s">
        <v>2148</v>
      </c>
      <c r="G388" s="6">
        <v>7000.0</v>
      </c>
      <c r="H388" s="80"/>
    </row>
    <row r="389">
      <c r="A389" s="6">
        <v>151.0</v>
      </c>
      <c r="B389" s="50" t="str">
        <f>IFERROR(VLOOKUP($A389,EVENTO!$A$2:$C$4999,2,FALSE),"")</f>
        <v>ADITIVO DE PRAZO</v>
      </c>
      <c r="C389" s="50" t="str">
        <f>IFERROR(VLOOKUP($A389,EVENTO!$A$2:$C$4999,3,FALSE),"")</f>
        <v>PREF. MUNICIPAL DE ARACATI - CONTROLADORIA</v>
      </c>
      <c r="D389" s="6" t="s">
        <v>1556</v>
      </c>
      <c r="E389" s="112" t="s">
        <v>2108</v>
      </c>
      <c r="F389" s="9" t="s">
        <v>2147</v>
      </c>
      <c r="H389" s="80"/>
    </row>
    <row r="390">
      <c r="A390" s="6">
        <v>116.0</v>
      </c>
      <c r="B390" s="50" t="str">
        <f>IFERROR(VLOOKUP($A390,EVENTO!$A$2:$C$4999,2,FALSE),"")</f>
        <v>CADASTRO</v>
      </c>
      <c r="C390" s="50" t="str">
        <f>IFERROR(VLOOKUP($A390,EVENTO!$A$2:$C$4999,3,FALSE),"")</f>
        <v>PREF. MUNICIPAL DE CANINDE - AGRICULTURA</v>
      </c>
      <c r="D390" s="6" t="s">
        <v>1564</v>
      </c>
      <c r="E390" s="9" t="s">
        <v>2154</v>
      </c>
      <c r="F390" s="9" t="s">
        <v>2148</v>
      </c>
      <c r="G390" s="28">
        <v>5000.0</v>
      </c>
      <c r="H390" s="80"/>
    </row>
    <row r="391">
      <c r="A391" s="6">
        <v>228.0</v>
      </c>
      <c r="B391" s="50" t="str">
        <f>IFERROR(VLOOKUP($A391,EVENTO!$A$2:$C$4999,2,FALSE),"")</f>
        <v>CADASTRO</v>
      </c>
      <c r="C391" s="50" t="str">
        <f>IFERROR(VLOOKUP($A391,EVENTO!$A$2:$C$4999,3,FALSE),"")</f>
        <v>PREFEITURA MUNICIPAL DE CANINDE - SECRETARIA DE ASSISTÊNCIA SOCIAL</v>
      </c>
      <c r="D391" s="6" t="s">
        <v>1562</v>
      </c>
      <c r="E391" s="9" t="s">
        <v>2153</v>
      </c>
      <c r="F391" s="9" t="s">
        <v>2148</v>
      </c>
      <c r="G391" s="6">
        <v>10000.0</v>
      </c>
      <c r="H391" s="80"/>
    </row>
    <row r="392">
      <c r="A392" s="6">
        <v>228.0</v>
      </c>
      <c r="B392" s="50" t="str">
        <f>IFERROR(VLOOKUP($A392,EVENTO!$A$2:$C$4999,2,FALSE),"")</f>
        <v>CADASTRO</v>
      </c>
      <c r="C392" s="50" t="str">
        <f>IFERROR(VLOOKUP($A392,EVENTO!$A$2:$C$4999,3,FALSE),"")</f>
        <v>PREFEITURA MUNICIPAL DE CANINDE - SECRETARIA DE ASSISTÊNCIA SOCIAL</v>
      </c>
      <c r="D392" s="6" t="s">
        <v>1564</v>
      </c>
      <c r="E392" s="9" t="s">
        <v>2154</v>
      </c>
      <c r="F392" s="9" t="s">
        <v>2148</v>
      </c>
      <c r="G392" s="28">
        <v>5000.0</v>
      </c>
      <c r="H392" s="80"/>
    </row>
    <row r="393">
      <c r="A393" s="6">
        <v>333.0</v>
      </c>
      <c r="B393" s="50" t="str">
        <f>IFERROR(VLOOKUP($A393,EVENTO!$A$2:$C$4999,2,FALSE),"")</f>
        <v>CADASTRO</v>
      </c>
      <c r="C393" s="50" t="str">
        <f>IFERROR(VLOOKUP($A393,EVENTO!$A$2:$C$4999,3,FALSE),"")</f>
        <v>PREFEITURA MUNICIPAL DE CANINDE - SECRETARIA CHEFIA DE GABINETE</v>
      </c>
      <c r="D393" s="6" t="s">
        <v>1562</v>
      </c>
      <c r="E393" s="113" t="s">
        <v>2154</v>
      </c>
      <c r="F393" s="113" t="s">
        <v>2148</v>
      </c>
      <c r="G393" s="114">
        <v>5000.0</v>
      </c>
      <c r="H393" s="80"/>
    </row>
    <row r="394">
      <c r="A394" s="6">
        <v>333.0</v>
      </c>
      <c r="B394" s="50" t="str">
        <f>IFERROR(VLOOKUP($A394,EVENTO!$A$2:$C$4999,2,FALSE),"")</f>
        <v>CADASTRO</v>
      </c>
      <c r="C394" s="50" t="str">
        <f>IFERROR(VLOOKUP($A394,EVENTO!$A$2:$C$4999,3,FALSE),"")</f>
        <v>PREFEITURA MUNICIPAL DE CANINDE - SECRETARIA CHEFIA DE GABINETE</v>
      </c>
      <c r="D394" s="6" t="s">
        <v>1562</v>
      </c>
      <c r="E394" s="113" t="s">
        <v>2155</v>
      </c>
      <c r="F394" s="113" t="s">
        <v>2148</v>
      </c>
      <c r="G394" s="115">
        <v>10000.0</v>
      </c>
      <c r="H394" s="80"/>
    </row>
    <row r="395">
      <c r="A395" s="6">
        <v>338.0</v>
      </c>
      <c r="B395" s="50" t="str">
        <f>IFERROR(VLOOKUP($A395,EVENTO!$A$2:$C$4999,2,FALSE),"")</f>
        <v>CADASTRO</v>
      </c>
      <c r="C395" s="50" t="str">
        <f>IFERROR(VLOOKUP($A395,EVENTO!$A$2:$C$4999,3,FALSE),"")</f>
        <v>PREFEITURA MUNICIPAL DE CANINDE - CONTROLADORIA GERAL DO MUNICÍPIO</v>
      </c>
      <c r="D395" s="6" t="s">
        <v>1562</v>
      </c>
      <c r="E395" s="113" t="s">
        <v>2154</v>
      </c>
      <c r="F395" s="113" t="s">
        <v>2148</v>
      </c>
      <c r="G395" s="114">
        <v>5000.0</v>
      </c>
      <c r="H395" s="80"/>
    </row>
    <row r="396">
      <c r="A396" s="6">
        <v>338.0</v>
      </c>
      <c r="B396" s="50" t="str">
        <f>IFERROR(VLOOKUP($A396,EVENTO!$A$2:$C$4999,2,FALSE),"")</f>
        <v>CADASTRO</v>
      </c>
      <c r="C396" s="50" t="str">
        <f>IFERROR(VLOOKUP($A396,EVENTO!$A$2:$C$4999,3,FALSE),"")</f>
        <v>PREFEITURA MUNICIPAL DE CANINDE - CONTROLADORIA GERAL DO MUNICÍPIO</v>
      </c>
      <c r="D396" s="6" t="s">
        <v>1727</v>
      </c>
      <c r="E396" s="113" t="s">
        <v>2155</v>
      </c>
      <c r="F396" s="113" t="s">
        <v>2148</v>
      </c>
      <c r="G396" s="115">
        <v>10000.0</v>
      </c>
      <c r="H396" s="80"/>
    </row>
    <row r="397">
      <c r="A397" s="6">
        <v>342.0</v>
      </c>
      <c r="B397" s="50" t="str">
        <f>IFERROR(VLOOKUP($A397,EVENTO!$A$2:$C$4999,2,FALSE),"")</f>
        <v>CADASTRO</v>
      </c>
      <c r="C397" s="50" t="str">
        <f>IFERROR(VLOOKUP($A397,EVENTO!$A$2:$C$4999,3,FALSE),"")</f>
        <v>PREFEITURA MUNICIPAL DE CANINDE - SECRETARIA DE DESENVOLVIMENTO ECONÔMICO E 
TURISMO</v>
      </c>
      <c r="D397" s="6" t="s">
        <v>1562</v>
      </c>
      <c r="E397" s="113" t="s">
        <v>2154</v>
      </c>
      <c r="F397" s="113" t="s">
        <v>2148</v>
      </c>
      <c r="G397" s="114">
        <v>5000.0</v>
      </c>
      <c r="H397" s="80"/>
    </row>
    <row r="398">
      <c r="A398" s="6">
        <v>346.0</v>
      </c>
      <c r="B398" s="50" t="str">
        <f>IFERROR(VLOOKUP($A398,EVENTO!$A$2:$C$4999,2,FALSE),"")</f>
        <v>CADASTRO</v>
      </c>
      <c r="C398" s="50" t="str">
        <f>IFERROR(VLOOKUP($A398,EVENTO!$A$2:$C$4999,3,FALSE),"")</f>
        <v>PREFEITURA MUNICIPAL DE CANINDE - SECRETARIA MUNICIPAL DE DESENVOLVIMENTO URBANO, INFRAESTRUTURA E SERVIÇOS PÚBLICOS</v>
      </c>
      <c r="D398" s="6" t="s">
        <v>1727</v>
      </c>
      <c r="E398" s="113" t="s">
        <v>2154</v>
      </c>
      <c r="F398" s="113" t="s">
        <v>2148</v>
      </c>
      <c r="G398" s="114">
        <v>5000.0</v>
      </c>
      <c r="H398" s="80"/>
    </row>
    <row r="399">
      <c r="A399" s="6">
        <v>350.0</v>
      </c>
      <c r="B399" s="50" t="str">
        <f>IFERROR(VLOOKUP($A399,EVENTO!$A$2:$C$4999,2,FALSE),"")</f>
        <v>CADASTRO</v>
      </c>
      <c r="C399" s="50" t="str">
        <f>IFERROR(VLOOKUP($A399,EVENTO!$A$2:$C$4999,3,FALSE),"")</f>
        <v>PREFEITURA MUNICIPAL DE CANINDE - FUNDAÇÃO DE ESPORTE, CULTURA E PATRIMÔNIO</v>
      </c>
      <c r="D399" s="6" t="s">
        <v>1562</v>
      </c>
      <c r="E399" s="113" t="s">
        <v>2154</v>
      </c>
      <c r="F399" s="113" t="s">
        <v>2148</v>
      </c>
      <c r="G399" s="114">
        <v>5000.0</v>
      </c>
      <c r="H399" s="80"/>
    </row>
    <row r="400">
      <c r="A400" s="6">
        <v>354.0</v>
      </c>
      <c r="B400" s="50" t="str">
        <f>IFERROR(VLOOKUP($A400,EVENTO!$A$2:$C$4999,2,FALSE),"")</f>
        <v>CADASTRO</v>
      </c>
      <c r="C400" s="50" t="str">
        <f>IFERROR(VLOOKUP($A400,EVENTO!$A$2:$C$4999,3,FALSE),"")</f>
        <v>PREFEITURA MUNICIPAL DE CANINDE - SECRETARIA DE PLANEJAMENTO, ADMINISTRAÇÃO E FINANÇAS</v>
      </c>
      <c r="D400" s="6" t="s">
        <v>1562</v>
      </c>
      <c r="E400" s="113" t="s">
        <v>2155</v>
      </c>
      <c r="F400" s="113" t="s">
        <v>2148</v>
      </c>
      <c r="G400" s="115">
        <v>10000.0</v>
      </c>
      <c r="H400" s="80"/>
    </row>
    <row r="401">
      <c r="A401" s="6">
        <v>358.0</v>
      </c>
      <c r="B401" s="50" t="str">
        <f>IFERROR(VLOOKUP($A401,EVENTO!$A$2:$C$4999,2,FALSE),"")</f>
        <v>CADASTRO</v>
      </c>
      <c r="C401" s="50" t="str">
        <f>IFERROR(VLOOKUP($A401,EVENTO!$A$2:$C$4999,3,FALSE),"")</f>
        <v>PREFEITURA MUNICIPAL DE CANINDE - PROCURADORIA GERAL DO MUNICÍPIO</v>
      </c>
      <c r="D401" s="6" t="s">
        <v>1562</v>
      </c>
      <c r="E401" s="113" t="s">
        <v>2155</v>
      </c>
      <c r="F401" s="113" t="s">
        <v>2148</v>
      </c>
      <c r="G401" s="115">
        <v>10000.0</v>
      </c>
      <c r="H401" s="80"/>
    </row>
    <row r="402">
      <c r="A402" s="6">
        <v>362.0</v>
      </c>
      <c r="B402" s="50" t="str">
        <f>IFERROR(VLOOKUP($A402,EVENTO!$A$2:$C$4999,2,FALSE),"")</f>
        <v>CADASTRO</v>
      </c>
      <c r="C402" s="50" t="str">
        <f>IFERROR(VLOOKUP($A402,EVENTO!$A$2:$C$4999,3,FALSE),"")</f>
        <v>PREFEITURA MUNICIPAL DE CANINDE - SECRETARIA DE SAÚDE</v>
      </c>
      <c r="D402" s="6" t="s">
        <v>1562</v>
      </c>
      <c r="E402" s="113" t="s">
        <v>2155</v>
      </c>
      <c r="F402" s="113" t="s">
        <v>2148</v>
      </c>
      <c r="G402" s="115">
        <v>10000.0</v>
      </c>
      <c r="H402" s="80"/>
    </row>
    <row r="403">
      <c r="A403" s="6">
        <v>362.0</v>
      </c>
      <c r="B403" s="50" t="str">
        <f>IFERROR(VLOOKUP($A403,EVENTO!$A$2:$C$4999,2,FALSE),"")</f>
        <v>CADASTRO</v>
      </c>
      <c r="C403" s="50" t="str">
        <f>IFERROR(VLOOKUP($A403,EVENTO!$A$2:$C$4999,3,FALSE),"")</f>
        <v>PREFEITURA MUNICIPAL DE CANINDE - SECRETARIA DE SAÚDE</v>
      </c>
      <c r="D403" s="6" t="s">
        <v>1562</v>
      </c>
      <c r="E403" s="113" t="s">
        <v>2154</v>
      </c>
      <c r="F403" s="113" t="s">
        <v>2148</v>
      </c>
      <c r="G403" s="114">
        <v>5000.0</v>
      </c>
      <c r="H403" s="80"/>
    </row>
    <row r="404">
      <c r="A404" s="6">
        <v>367.0</v>
      </c>
      <c r="B404" s="50" t="str">
        <f>IFERROR(VLOOKUP($A404,EVENTO!$A$2:$C$4999,2,FALSE),"")</f>
        <v>CADASTRO</v>
      </c>
      <c r="C404" s="50" t="str">
        <f>IFERROR(VLOOKUP($A404,EVENTO!$A$2:$C$4999,3,FALSE),"")</f>
        <v>PREFEITURA MUNICIPAL DE CANINDE - SECRETARIA DE SEGURANÇA PÚBLICA E TRÂNSITO</v>
      </c>
      <c r="D404" s="6" t="s">
        <v>1562</v>
      </c>
      <c r="E404" s="113" t="s">
        <v>2154</v>
      </c>
      <c r="F404" s="113" t="s">
        <v>2148</v>
      </c>
      <c r="G404" s="114">
        <v>5000.0</v>
      </c>
      <c r="H404" s="80"/>
    </row>
    <row r="405">
      <c r="A405" s="6">
        <v>525.0</v>
      </c>
      <c r="B405" s="50" t="str">
        <f>IFERROR(VLOOKUP($A405,EVENTO!$A$2:$C$4999,2,FALSE),"")</f>
        <v>CADASTRO</v>
      </c>
      <c r="C405" s="50" t="str">
        <f>IFERROR(VLOOKUP($A405,EVENTO!$A$2:$C$4999,3,FALSE),"")</f>
        <v>EsPCEx</v>
      </c>
      <c r="D405" s="6" t="s">
        <v>1863</v>
      </c>
      <c r="E405" s="2" t="s">
        <v>2111</v>
      </c>
      <c r="F405" s="9" t="s">
        <v>2113</v>
      </c>
      <c r="G405" s="6">
        <v>8000.0</v>
      </c>
      <c r="H405" s="79">
        <v>0.52</v>
      </c>
    </row>
    <row r="406">
      <c r="A406" s="6">
        <v>525.0</v>
      </c>
      <c r="B406" s="50" t="str">
        <f>IFERROR(VLOOKUP($A406,EVENTO!$A$2:$C$4999,2,FALSE),"")</f>
        <v>CADASTRO</v>
      </c>
      <c r="C406" s="50" t="str">
        <f>IFERROR(VLOOKUP($A406,EVENTO!$A$2:$C$4999,3,FALSE),"")</f>
        <v>EsPCEx</v>
      </c>
      <c r="D406" s="6" t="s">
        <v>1861</v>
      </c>
      <c r="E406" s="2" t="s">
        <v>2108</v>
      </c>
      <c r="F406" s="9" t="s">
        <v>2113</v>
      </c>
      <c r="G406" s="6">
        <v>300000.0</v>
      </c>
      <c r="H406" s="79">
        <v>0.09</v>
      </c>
    </row>
    <row r="407">
      <c r="A407" s="6">
        <v>526.0</v>
      </c>
      <c r="B407" s="50" t="str">
        <f>IFERROR(VLOOKUP($A407,EVENTO!$A$2:$C$4999,2,FALSE),"")</f>
        <v>ADITIVO DE REAJUSTE E PRAZO</v>
      </c>
      <c r="C407" s="50" t="str">
        <f>IFERROR(VLOOKUP($A407,EVENTO!$A$2:$C$4999,3,FALSE),"")</f>
        <v>EsPCEx</v>
      </c>
      <c r="D407" s="6" t="s">
        <v>1863</v>
      </c>
      <c r="E407" s="2" t="s">
        <v>2111</v>
      </c>
      <c r="F407" s="9" t="s">
        <v>2113</v>
      </c>
      <c r="G407" s="6">
        <v>8000.0</v>
      </c>
      <c r="H407" s="79">
        <v>0.54</v>
      </c>
    </row>
    <row r="408">
      <c r="A408" s="6">
        <v>526.0</v>
      </c>
      <c r="B408" s="50" t="str">
        <f>IFERROR(VLOOKUP($A408,EVENTO!$A$2:$C$4999,2,FALSE),"")</f>
        <v>ADITIVO DE REAJUSTE E PRAZO</v>
      </c>
      <c r="C408" s="50" t="str">
        <f>IFERROR(VLOOKUP($A408,EVENTO!$A$2:$C$4999,3,FALSE),"")</f>
        <v>EsPCEx</v>
      </c>
      <c r="D408" s="6" t="s">
        <v>1861</v>
      </c>
      <c r="E408" s="2" t="s">
        <v>2108</v>
      </c>
      <c r="F408" s="9" t="s">
        <v>2113</v>
      </c>
      <c r="G408" s="6">
        <v>300000.0</v>
      </c>
      <c r="H408" s="79">
        <v>0.09</v>
      </c>
    </row>
    <row r="409">
      <c r="A409" s="6">
        <v>527.0</v>
      </c>
      <c r="B409" s="50" t="str">
        <f>IFERROR(VLOOKUP($A409,EVENTO!$A$2:$C$4999,2,FALSE),"")</f>
        <v>ADITIVO DE REAJUSTE E PRAZO</v>
      </c>
      <c r="C409" s="50" t="str">
        <f>IFERROR(VLOOKUP($A409,EVENTO!$A$2:$C$4999,3,FALSE),"")</f>
        <v>EsPCEx</v>
      </c>
      <c r="D409" s="6" t="s">
        <v>1863</v>
      </c>
      <c r="E409" s="2" t="s">
        <v>2111</v>
      </c>
      <c r="F409" s="9" t="s">
        <v>2113</v>
      </c>
      <c r="G409" s="6">
        <v>8000.0</v>
      </c>
      <c r="H409" s="79">
        <v>0.57</v>
      </c>
    </row>
    <row r="410">
      <c r="A410" s="6">
        <v>527.0</v>
      </c>
      <c r="B410" s="50" t="str">
        <f>IFERROR(VLOOKUP($A410,EVENTO!$A$2:$C$4999,2,FALSE),"")</f>
        <v>ADITIVO DE REAJUSTE E PRAZO</v>
      </c>
      <c r="C410" s="50" t="str">
        <f>IFERROR(VLOOKUP($A410,EVENTO!$A$2:$C$4999,3,FALSE),"")</f>
        <v>EsPCEx</v>
      </c>
      <c r="D410" s="6" t="s">
        <v>1861</v>
      </c>
      <c r="E410" s="2" t="s">
        <v>2108</v>
      </c>
      <c r="F410" s="9" t="s">
        <v>2113</v>
      </c>
      <c r="G410" s="6">
        <v>300000.0</v>
      </c>
      <c r="H410" s="79">
        <v>0.09</v>
      </c>
    </row>
    <row r="411">
      <c r="A411" s="6">
        <v>528.0</v>
      </c>
      <c r="B411" s="50" t="str">
        <f>IFERROR(VLOOKUP($A411,EVENTO!$A$2:$C$4999,2,FALSE),"")</f>
        <v>CADASTRO</v>
      </c>
      <c r="C411" s="50" t="str">
        <f>IFERROR(VLOOKUP($A411,EVENTO!$A$2:$C$4999,3,FALSE),"")</f>
        <v>FUNASA</v>
      </c>
      <c r="D411" s="6" t="s">
        <v>1863</v>
      </c>
      <c r="E411" s="2" t="s">
        <v>2111</v>
      </c>
      <c r="F411" s="9" t="s">
        <v>2113</v>
      </c>
      <c r="G411" s="6">
        <v>832.0</v>
      </c>
      <c r="H411" s="79">
        <v>0.7</v>
      </c>
    </row>
    <row r="412">
      <c r="A412" s="6">
        <v>528.0</v>
      </c>
      <c r="B412" s="50" t="str">
        <f>IFERROR(VLOOKUP($A412,EVENTO!$A$2:$C$4999,2,FALSE),"")</f>
        <v>CADASTRO</v>
      </c>
      <c r="C412" s="50" t="str">
        <f>IFERROR(VLOOKUP($A412,EVENTO!$A$2:$C$4999,3,FALSE),"")</f>
        <v>FUNASA</v>
      </c>
      <c r="D412" s="6" t="s">
        <v>1861</v>
      </c>
      <c r="E412" s="2" t="s">
        <v>2108</v>
      </c>
      <c r="F412" s="9" t="s">
        <v>2113</v>
      </c>
      <c r="G412" s="6">
        <v>5879.0</v>
      </c>
      <c r="H412" s="79">
        <v>0.049</v>
      </c>
    </row>
    <row r="413">
      <c r="A413" s="6">
        <v>529.0</v>
      </c>
      <c r="B413" s="50" t="str">
        <f>IFERROR(VLOOKUP($A413,EVENTO!$A$2:$C$4999,2,FALSE),"")</f>
        <v>ADITIVO DE PRAZO</v>
      </c>
      <c r="C413" s="50" t="str">
        <f>IFERROR(VLOOKUP($A413,EVENTO!$A$2:$C$4999,3,FALSE),"")</f>
        <v>FUNASA</v>
      </c>
      <c r="D413" s="6" t="s">
        <v>1863</v>
      </c>
      <c r="E413" s="2" t="s">
        <v>2111</v>
      </c>
      <c r="F413" s="9" t="s">
        <v>2113</v>
      </c>
      <c r="G413" s="6">
        <v>832.0</v>
      </c>
      <c r="H413" s="79">
        <v>0.7</v>
      </c>
    </row>
    <row r="414">
      <c r="A414" s="6">
        <v>529.0</v>
      </c>
      <c r="B414" s="50" t="str">
        <f>IFERROR(VLOOKUP($A414,EVENTO!$A$2:$C$4999,2,FALSE),"")</f>
        <v>ADITIVO DE PRAZO</v>
      </c>
      <c r="C414" s="50" t="str">
        <f>IFERROR(VLOOKUP($A414,EVENTO!$A$2:$C$4999,3,FALSE),"")</f>
        <v>FUNASA</v>
      </c>
      <c r="D414" s="6" t="s">
        <v>1861</v>
      </c>
      <c r="E414" s="2" t="s">
        <v>2108</v>
      </c>
      <c r="F414" s="9" t="s">
        <v>2113</v>
      </c>
      <c r="G414" s="6">
        <v>5879.0</v>
      </c>
      <c r="H414" s="79">
        <v>0.049</v>
      </c>
    </row>
    <row r="415">
      <c r="A415" s="6">
        <v>533.0</v>
      </c>
      <c r="B415" s="50" t="str">
        <f>IFERROR(VLOOKUP($A415,EVENTO!$A$2:$C$4999,2,FALSE),"")</f>
        <v>CADASTRO</v>
      </c>
      <c r="C415" s="50" t="str">
        <f>IFERROR(VLOOKUP($A415,EVENTO!$A$2:$C$4999,3,FALSE),"")</f>
        <v>COREN DF</v>
      </c>
      <c r="D415" s="6" t="s">
        <v>1861</v>
      </c>
      <c r="E415" s="2" t="s">
        <v>2108</v>
      </c>
      <c r="F415" s="9" t="s">
        <v>2148</v>
      </c>
      <c r="G415" s="6">
        <v>10200.0</v>
      </c>
      <c r="H415" s="79">
        <v>0.06</v>
      </c>
    </row>
    <row r="416">
      <c r="A416" s="6">
        <v>533.0</v>
      </c>
      <c r="B416" s="50" t="str">
        <f>IFERROR(VLOOKUP($A416,EVENTO!$A$2:$C$4999,2,FALSE),"")</f>
        <v>CADASTRO</v>
      </c>
      <c r="C416" s="50" t="str">
        <f>IFERROR(VLOOKUP($A416,EVENTO!$A$2:$C$4999,3,FALSE),"")</f>
        <v>COREN DF</v>
      </c>
      <c r="D416" s="6" t="s">
        <v>1863</v>
      </c>
      <c r="E416" s="2" t="s">
        <v>2111</v>
      </c>
      <c r="F416" s="9" t="s">
        <v>2148</v>
      </c>
      <c r="G416" s="6">
        <v>1200.0</v>
      </c>
      <c r="H416" s="79">
        <v>0.87</v>
      </c>
    </row>
    <row r="417">
      <c r="A417" s="6">
        <v>533.0</v>
      </c>
      <c r="B417" s="50" t="str">
        <f>IFERROR(VLOOKUP($A417,EVENTO!$A$2:$C$4999,2,FALSE),"")</f>
        <v>CADASTRO</v>
      </c>
      <c r="C417" s="50" t="str">
        <f>IFERROR(VLOOKUP($A417,EVENTO!$A$2:$C$4999,3,FALSE),"")</f>
        <v>COREN DF</v>
      </c>
      <c r="D417" s="6" t="s">
        <v>1861</v>
      </c>
      <c r="E417" s="2" t="s">
        <v>2108</v>
      </c>
      <c r="F417" s="9" t="s">
        <v>2110</v>
      </c>
      <c r="G417" s="6">
        <v>6800.0</v>
      </c>
      <c r="H417" s="79">
        <v>0.06</v>
      </c>
    </row>
    <row r="418">
      <c r="A418" s="6">
        <v>533.0</v>
      </c>
      <c r="B418" s="50" t="str">
        <f>IFERROR(VLOOKUP($A418,EVENTO!$A$2:$C$4999,2,FALSE),"")</f>
        <v>CADASTRO</v>
      </c>
      <c r="C418" s="50" t="str">
        <f>IFERROR(VLOOKUP($A418,EVENTO!$A$2:$C$4999,3,FALSE),"")</f>
        <v>COREN DF</v>
      </c>
      <c r="D418" s="6" t="s">
        <v>1863</v>
      </c>
      <c r="E418" s="2" t="s">
        <v>2111</v>
      </c>
      <c r="F418" s="9" t="s">
        <v>2110</v>
      </c>
      <c r="G418" s="6">
        <v>800.0</v>
      </c>
      <c r="H418" s="79">
        <v>0.87</v>
      </c>
    </row>
    <row r="419">
      <c r="A419" s="6">
        <v>534.0</v>
      </c>
      <c r="B419" s="50" t="str">
        <f>IFERROR(VLOOKUP($A419,EVENTO!$A$2:$C$4999,2,FALSE),"")</f>
        <v>APOSTILAMENTO</v>
      </c>
      <c r="C419" s="50" t="str">
        <f>IFERROR(VLOOKUP($A419,EVENTO!$A$2:$C$4999,3,FALSE),"")</f>
        <v>COREN DF</v>
      </c>
      <c r="D419" s="6" t="s">
        <v>1861</v>
      </c>
      <c r="E419" s="2" t="s">
        <v>2108</v>
      </c>
      <c r="F419" s="9" t="s">
        <v>2148</v>
      </c>
      <c r="G419" s="6">
        <v>10200.0</v>
      </c>
      <c r="H419" s="79">
        <v>0.06</v>
      </c>
    </row>
    <row r="420">
      <c r="A420" s="6">
        <v>534.0</v>
      </c>
      <c r="B420" s="50" t="str">
        <f>IFERROR(VLOOKUP($A420,EVENTO!$A$2:$C$4999,2,FALSE),"")</f>
        <v>APOSTILAMENTO</v>
      </c>
      <c r="C420" s="50" t="str">
        <f>IFERROR(VLOOKUP($A420,EVENTO!$A$2:$C$4999,3,FALSE),"")</f>
        <v>COREN DF</v>
      </c>
      <c r="D420" s="6" t="s">
        <v>1863</v>
      </c>
      <c r="E420" s="2" t="s">
        <v>2111</v>
      </c>
      <c r="F420" s="9" t="s">
        <v>2148</v>
      </c>
      <c r="G420" s="6">
        <v>1200.0</v>
      </c>
      <c r="H420" s="79">
        <v>0.87</v>
      </c>
    </row>
    <row r="421">
      <c r="A421" s="6">
        <v>534.0</v>
      </c>
      <c r="B421" s="50" t="str">
        <f>IFERROR(VLOOKUP($A421,EVENTO!$A$2:$C$4999,2,FALSE),"")</f>
        <v>APOSTILAMENTO</v>
      </c>
      <c r="C421" s="50" t="str">
        <f>IFERROR(VLOOKUP($A421,EVENTO!$A$2:$C$4999,3,FALSE),"")</f>
        <v>COREN DF</v>
      </c>
      <c r="D421" s="6" t="s">
        <v>1861</v>
      </c>
      <c r="E421" s="2" t="s">
        <v>2108</v>
      </c>
      <c r="F421" s="9" t="s">
        <v>2110</v>
      </c>
      <c r="G421" s="6">
        <v>6800.0</v>
      </c>
      <c r="H421" s="79">
        <v>0.06</v>
      </c>
    </row>
    <row r="422">
      <c r="A422" s="6">
        <v>534.0</v>
      </c>
      <c r="B422" s="50" t="str">
        <f>IFERROR(VLOOKUP($A422,EVENTO!$A$2:$C$4999,2,FALSE),"")</f>
        <v>APOSTILAMENTO</v>
      </c>
      <c r="C422" s="50" t="str">
        <f>IFERROR(VLOOKUP($A422,EVENTO!$A$2:$C$4999,3,FALSE),"")</f>
        <v>COREN DF</v>
      </c>
      <c r="D422" s="6" t="s">
        <v>1863</v>
      </c>
      <c r="E422" s="2" t="s">
        <v>2111</v>
      </c>
      <c r="F422" s="9" t="s">
        <v>2110</v>
      </c>
      <c r="G422" s="6">
        <v>800.0</v>
      </c>
      <c r="H422" s="79">
        <v>0.87</v>
      </c>
    </row>
    <row r="423">
      <c r="A423" s="6">
        <v>535.0</v>
      </c>
      <c r="B423" s="50" t="str">
        <f>IFERROR(VLOOKUP($A423,EVENTO!$A$2:$C$4999,2,FALSE),"")</f>
        <v>APOSTILAMENTO</v>
      </c>
      <c r="C423" s="50" t="str">
        <f>IFERROR(VLOOKUP($A423,EVENTO!$A$2:$C$4999,3,FALSE),"")</f>
        <v>COREN DF</v>
      </c>
      <c r="D423" s="6" t="s">
        <v>1861</v>
      </c>
      <c r="E423" s="2" t="s">
        <v>2108</v>
      </c>
      <c r="F423" s="9" t="s">
        <v>2148</v>
      </c>
      <c r="G423" s="6">
        <v>10200.0</v>
      </c>
      <c r="H423" s="79">
        <v>0.06</v>
      </c>
    </row>
    <row r="424">
      <c r="A424" s="6">
        <v>535.0</v>
      </c>
      <c r="B424" s="50" t="str">
        <f>IFERROR(VLOOKUP($A424,EVENTO!$A$2:$C$4999,2,FALSE),"")</f>
        <v>APOSTILAMENTO</v>
      </c>
      <c r="C424" s="50" t="str">
        <f>IFERROR(VLOOKUP($A424,EVENTO!$A$2:$C$4999,3,FALSE),"")</f>
        <v>COREN DF</v>
      </c>
      <c r="D424" s="6" t="s">
        <v>1863</v>
      </c>
      <c r="E424" s="2" t="s">
        <v>2111</v>
      </c>
      <c r="F424" s="9" t="s">
        <v>2148</v>
      </c>
      <c r="G424" s="6">
        <v>1200.0</v>
      </c>
      <c r="H424" s="79">
        <v>0.87</v>
      </c>
    </row>
    <row r="425">
      <c r="A425" s="6">
        <v>535.0</v>
      </c>
      <c r="B425" s="50" t="str">
        <f>IFERROR(VLOOKUP($A425,EVENTO!$A$2:$C$4999,2,FALSE),"")</f>
        <v>APOSTILAMENTO</v>
      </c>
      <c r="C425" s="50" t="str">
        <f>IFERROR(VLOOKUP($A425,EVENTO!$A$2:$C$4999,3,FALSE),"")</f>
        <v>COREN DF</v>
      </c>
      <c r="D425" s="6" t="s">
        <v>1861</v>
      </c>
      <c r="E425" s="2" t="s">
        <v>2108</v>
      </c>
      <c r="F425" s="9" t="s">
        <v>2110</v>
      </c>
      <c r="G425" s="6">
        <v>6800.0</v>
      </c>
      <c r="H425" s="79">
        <v>0.06</v>
      </c>
    </row>
    <row r="426">
      <c r="A426" s="6">
        <v>535.0</v>
      </c>
      <c r="B426" s="50" t="str">
        <f>IFERROR(VLOOKUP($A426,EVENTO!$A$2:$C$4999,2,FALSE),"")</f>
        <v>APOSTILAMENTO</v>
      </c>
      <c r="C426" s="50" t="str">
        <f>IFERROR(VLOOKUP($A426,EVENTO!$A$2:$C$4999,3,FALSE),"")</f>
        <v>COREN DF</v>
      </c>
      <c r="D426" s="6" t="s">
        <v>1863</v>
      </c>
      <c r="E426" s="2" t="s">
        <v>2111</v>
      </c>
      <c r="F426" s="9" t="s">
        <v>2110</v>
      </c>
      <c r="G426" s="6">
        <v>800.0</v>
      </c>
      <c r="H426" s="79">
        <v>0.87</v>
      </c>
    </row>
    <row r="427">
      <c r="A427" s="6">
        <v>536.0</v>
      </c>
      <c r="B427" s="50" t="str">
        <f>IFERROR(VLOOKUP($A427,EVENTO!$A$2:$C$4999,2,FALSE),"")</f>
        <v>CADASTRO</v>
      </c>
      <c r="C427" s="50" t="str">
        <f>IFERROR(VLOOKUP($A427,EVENTO!$A$2:$C$4999,3,FALSE),"")</f>
        <v>PRIMEIRO CENTRO INTEGRADO DE DEFESA AÉREA E CONTROLE DE TRÁFEGO AÉREO - CINDACT 1 </v>
      </c>
      <c r="D427" s="6" t="s">
        <v>1866</v>
      </c>
      <c r="E427" s="61" t="s">
        <v>2156</v>
      </c>
      <c r="F427" s="9" t="s">
        <v>2148</v>
      </c>
      <c r="G427" s="6">
        <v>720.0</v>
      </c>
      <c r="H427" s="79">
        <v>0.29</v>
      </c>
    </row>
    <row r="428">
      <c r="A428" s="6">
        <v>536.0</v>
      </c>
      <c r="B428" s="50" t="str">
        <f>IFERROR(VLOOKUP($A428,EVENTO!$A$2:$C$4999,2,FALSE),"")</f>
        <v>CADASTRO</v>
      </c>
      <c r="C428" s="50" t="str">
        <f>IFERROR(VLOOKUP($A428,EVENTO!$A$2:$C$4999,3,FALSE),"")</f>
        <v>PRIMEIRO CENTRO INTEGRADO DE DEFESA AÉREA E CONTROLE DE TRÁFEGO AÉREO - CINDACT 1 </v>
      </c>
      <c r="D428" s="6" t="s">
        <v>1866</v>
      </c>
      <c r="E428" s="61" t="s">
        <v>2156</v>
      </c>
      <c r="F428" s="9" t="s">
        <v>2110</v>
      </c>
      <c r="G428" s="6">
        <v>480.0</v>
      </c>
      <c r="H428" s="79">
        <v>0.23</v>
      </c>
    </row>
    <row r="429">
      <c r="A429" s="6">
        <v>536.0</v>
      </c>
      <c r="B429" s="50" t="str">
        <f>IFERROR(VLOOKUP($A429,EVENTO!$A$2:$C$4999,2,FALSE),"")</f>
        <v>CADASTRO</v>
      </c>
      <c r="C429" s="50" t="str">
        <f>IFERROR(VLOOKUP($A429,EVENTO!$A$2:$C$4999,3,FALSE),"")</f>
        <v>PRIMEIRO CENTRO INTEGRADO DE DEFESA AÉREA E CONTROLE DE TRÁFEGO AÉREO - CINDACT 1 </v>
      </c>
      <c r="D429" s="6" t="s">
        <v>1866</v>
      </c>
      <c r="E429" s="61" t="s">
        <v>2156</v>
      </c>
      <c r="F429" s="9" t="s">
        <v>2148</v>
      </c>
      <c r="G429" s="6">
        <v>780.0</v>
      </c>
      <c r="H429" s="79">
        <v>0.29</v>
      </c>
    </row>
    <row r="430">
      <c r="A430" s="6">
        <v>536.0</v>
      </c>
      <c r="B430" s="50" t="str">
        <f>IFERROR(VLOOKUP($A430,EVENTO!$A$2:$C$4999,2,FALSE),"")</f>
        <v>CADASTRO</v>
      </c>
      <c r="C430" s="50" t="str">
        <f>IFERROR(VLOOKUP($A430,EVENTO!$A$2:$C$4999,3,FALSE),"")</f>
        <v>PRIMEIRO CENTRO INTEGRADO DE DEFESA AÉREA E CONTROLE DE TRÁFEGO AÉREO - CINDACT 1 </v>
      </c>
      <c r="D430" s="6" t="s">
        <v>1866</v>
      </c>
      <c r="E430" s="61" t="s">
        <v>2156</v>
      </c>
      <c r="F430" s="9" t="s">
        <v>2110</v>
      </c>
      <c r="G430" s="6">
        <v>520.0</v>
      </c>
      <c r="H430" s="79">
        <v>0.23</v>
      </c>
    </row>
    <row r="431">
      <c r="A431" s="6">
        <v>536.0</v>
      </c>
      <c r="B431" s="50" t="str">
        <f>IFERROR(VLOOKUP($A431,EVENTO!$A$2:$C$4999,2,FALSE),"")</f>
        <v>CADASTRO</v>
      </c>
      <c r="C431" s="50" t="str">
        <f>IFERROR(VLOOKUP($A431,EVENTO!$A$2:$C$4999,3,FALSE),"")</f>
        <v>PRIMEIRO CENTRO INTEGRADO DE DEFESA AÉREA E CONTROLE DE TRÁFEGO AÉREO - CINDACT 1 </v>
      </c>
      <c r="D431" s="6" t="s">
        <v>1866</v>
      </c>
      <c r="E431" s="61" t="s">
        <v>2156</v>
      </c>
      <c r="F431" s="9" t="s">
        <v>2148</v>
      </c>
      <c r="G431" s="6">
        <v>600.0</v>
      </c>
      <c r="H431" s="79">
        <v>0.29</v>
      </c>
    </row>
    <row r="432">
      <c r="A432" s="6">
        <v>536.0</v>
      </c>
      <c r="B432" s="50" t="str">
        <f>IFERROR(VLOOKUP($A432,EVENTO!$A$2:$C$4999,2,FALSE),"")</f>
        <v>CADASTRO</v>
      </c>
      <c r="C432" s="50" t="str">
        <f>IFERROR(VLOOKUP($A432,EVENTO!$A$2:$C$4999,3,FALSE),"")</f>
        <v>PRIMEIRO CENTRO INTEGRADO DE DEFESA AÉREA E CONTROLE DE TRÁFEGO AÉREO - CINDACT 1 </v>
      </c>
      <c r="D432" s="6" t="s">
        <v>1866</v>
      </c>
      <c r="E432" s="61" t="s">
        <v>2156</v>
      </c>
      <c r="F432" s="9" t="s">
        <v>2110</v>
      </c>
      <c r="G432" s="6">
        <v>400.0</v>
      </c>
      <c r="H432" s="79">
        <v>0.23</v>
      </c>
    </row>
    <row r="433">
      <c r="A433" s="6">
        <v>536.0</v>
      </c>
      <c r="B433" s="50" t="str">
        <f>IFERROR(VLOOKUP($A433,EVENTO!$A$2:$C$4999,2,FALSE),"")</f>
        <v>CADASTRO</v>
      </c>
      <c r="C433" s="50" t="str">
        <f>IFERROR(VLOOKUP($A433,EVENTO!$A$2:$C$4999,3,FALSE),"")</f>
        <v>PRIMEIRO CENTRO INTEGRADO DE DEFESA AÉREA E CONTROLE DE TRÁFEGO AÉREO - CINDACT 1 </v>
      </c>
      <c r="D433" s="6" t="s">
        <v>1866</v>
      </c>
      <c r="E433" s="61" t="s">
        <v>2156</v>
      </c>
      <c r="F433" s="9" t="s">
        <v>2148</v>
      </c>
      <c r="G433" s="6">
        <v>720.0</v>
      </c>
      <c r="H433" s="79">
        <v>0.29</v>
      </c>
    </row>
    <row r="434">
      <c r="A434" s="6">
        <v>536.0</v>
      </c>
      <c r="B434" s="50" t="str">
        <f>IFERROR(VLOOKUP($A434,EVENTO!$A$2:$C$4999,2,FALSE),"")</f>
        <v>CADASTRO</v>
      </c>
      <c r="C434" s="50" t="str">
        <f>IFERROR(VLOOKUP($A434,EVENTO!$A$2:$C$4999,3,FALSE),"")</f>
        <v>PRIMEIRO CENTRO INTEGRADO DE DEFESA AÉREA E CONTROLE DE TRÁFEGO AÉREO - CINDACT 1 </v>
      </c>
      <c r="D434" s="6" t="s">
        <v>1866</v>
      </c>
      <c r="E434" s="61" t="s">
        <v>2156</v>
      </c>
      <c r="F434" s="9" t="s">
        <v>2110</v>
      </c>
      <c r="G434" s="6">
        <v>480.0</v>
      </c>
      <c r="H434" s="79">
        <v>0.23</v>
      </c>
    </row>
    <row r="435">
      <c r="A435" s="6">
        <v>536.0</v>
      </c>
      <c r="B435" s="50" t="str">
        <f>IFERROR(VLOOKUP($A435,EVENTO!$A$2:$C$4999,2,FALSE),"")</f>
        <v>CADASTRO</v>
      </c>
      <c r="C435" s="50" t="str">
        <f>IFERROR(VLOOKUP($A435,EVENTO!$A$2:$C$4999,3,FALSE),"")</f>
        <v>PRIMEIRO CENTRO INTEGRADO DE DEFESA AÉREA E CONTROLE DE TRÁFEGO AÉREO - CINDACT 1 </v>
      </c>
      <c r="D435" s="6" t="s">
        <v>1866</v>
      </c>
      <c r="E435" s="61" t="s">
        <v>2156</v>
      </c>
      <c r="F435" s="9" t="s">
        <v>2148</v>
      </c>
      <c r="G435" s="6">
        <v>540.0</v>
      </c>
      <c r="H435" s="79">
        <v>0.29</v>
      </c>
    </row>
    <row r="436">
      <c r="A436" s="6">
        <v>536.0</v>
      </c>
      <c r="B436" s="50" t="str">
        <f>IFERROR(VLOOKUP($A436,EVENTO!$A$2:$C$4999,2,FALSE),"")</f>
        <v>CADASTRO</v>
      </c>
      <c r="C436" s="50" t="str">
        <f>IFERROR(VLOOKUP($A436,EVENTO!$A$2:$C$4999,3,FALSE),"")</f>
        <v>PRIMEIRO CENTRO INTEGRADO DE DEFESA AÉREA E CONTROLE DE TRÁFEGO AÉREO - CINDACT 1 </v>
      </c>
      <c r="D436" s="6" t="s">
        <v>1866</v>
      </c>
      <c r="E436" s="61" t="s">
        <v>2156</v>
      </c>
      <c r="F436" s="9" t="s">
        <v>2110</v>
      </c>
      <c r="G436" s="6">
        <v>360.0</v>
      </c>
      <c r="H436" s="79">
        <v>0.23</v>
      </c>
    </row>
    <row r="437">
      <c r="A437" s="6">
        <v>536.0</v>
      </c>
      <c r="B437" s="50" t="str">
        <f>IFERROR(VLOOKUP($A437,EVENTO!$A$2:$C$4999,2,FALSE),"")</f>
        <v>CADASTRO</v>
      </c>
      <c r="C437" s="50" t="str">
        <f>IFERROR(VLOOKUP($A437,EVENTO!$A$2:$C$4999,3,FALSE),"")</f>
        <v>PRIMEIRO CENTRO INTEGRADO DE DEFESA AÉREA E CONTROLE DE TRÁFEGO AÉREO - CINDACT 1 </v>
      </c>
      <c r="D437" s="6" t="s">
        <v>1866</v>
      </c>
      <c r="E437" s="61" t="s">
        <v>2156</v>
      </c>
      <c r="F437" s="9" t="s">
        <v>2148</v>
      </c>
      <c r="G437" s="6">
        <v>120.0</v>
      </c>
      <c r="H437" s="79">
        <v>0.29</v>
      </c>
    </row>
    <row r="438">
      <c r="A438" s="6">
        <v>536.0</v>
      </c>
      <c r="B438" s="50" t="str">
        <f>IFERROR(VLOOKUP($A438,EVENTO!$A$2:$C$4999,2,FALSE),"")</f>
        <v>CADASTRO</v>
      </c>
      <c r="C438" s="50" t="str">
        <f>IFERROR(VLOOKUP($A438,EVENTO!$A$2:$C$4999,3,FALSE),"")</f>
        <v>PRIMEIRO CENTRO INTEGRADO DE DEFESA AÉREA E CONTROLE DE TRÁFEGO AÉREO - CINDACT 1 </v>
      </c>
      <c r="D438" s="6" t="s">
        <v>1866</v>
      </c>
      <c r="E438" s="61" t="s">
        <v>2156</v>
      </c>
      <c r="F438" s="9" t="s">
        <v>2110</v>
      </c>
      <c r="G438" s="6">
        <v>80.0</v>
      </c>
      <c r="H438" s="79">
        <v>0.23</v>
      </c>
    </row>
    <row r="439">
      <c r="A439" s="6">
        <v>536.0</v>
      </c>
      <c r="B439" s="50" t="str">
        <f>IFERROR(VLOOKUP($A439,EVENTO!$A$2:$C$4999,2,FALSE),"")</f>
        <v>CADASTRO</v>
      </c>
      <c r="C439" s="50" t="str">
        <f>IFERROR(VLOOKUP($A439,EVENTO!$A$2:$C$4999,3,FALSE),"")</f>
        <v>PRIMEIRO CENTRO INTEGRADO DE DEFESA AÉREA E CONTROLE DE TRÁFEGO AÉREO - CINDACT 1 </v>
      </c>
      <c r="D439" s="6" t="s">
        <v>1866</v>
      </c>
      <c r="E439" s="61" t="s">
        <v>2156</v>
      </c>
      <c r="F439" s="9" t="s">
        <v>2148</v>
      </c>
      <c r="G439" s="6">
        <v>150.0</v>
      </c>
      <c r="H439" s="79">
        <v>0.29</v>
      </c>
    </row>
    <row r="440">
      <c r="A440" s="6">
        <v>536.0</v>
      </c>
      <c r="B440" s="50" t="str">
        <f>IFERROR(VLOOKUP($A440,EVENTO!$A$2:$C$4999,2,FALSE),"")</f>
        <v>CADASTRO</v>
      </c>
      <c r="C440" s="50" t="str">
        <f>IFERROR(VLOOKUP($A440,EVENTO!$A$2:$C$4999,3,FALSE),"")</f>
        <v>PRIMEIRO CENTRO INTEGRADO DE DEFESA AÉREA E CONTROLE DE TRÁFEGO AÉREO - CINDACT 1 </v>
      </c>
      <c r="D440" s="6" t="s">
        <v>1866</v>
      </c>
      <c r="E440" s="61" t="s">
        <v>2156</v>
      </c>
      <c r="F440" s="9" t="s">
        <v>2110</v>
      </c>
      <c r="G440" s="6">
        <v>100.0</v>
      </c>
      <c r="H440" s="79">
        <v>0.23</v>
      </c>
    </row>
    <row r="441">
      <c r="A441" s="6">
        <v>538.0</v>
      </c>
      <c r="B441" s="50" t="str">
        <f>IFERROR(VLOOKUP($A441,EVENTO!$A$2:$C$4999,2,FALSE),"")</f>
        <v>CADASTRO</v>
      </c>
      <c r="C441" s="50" t="str">
        <f>IFERROR(VLOOKUP($A441,EVENTO!$A$2:$C$4999,3,FALSE),"")</f>
        <v>CENTRO DE LANÇAMENTO DE ALCÂNTARA - CLA </v>
      </c>
      <c r="D441" s="6" t="s">
        <v>1869</v>
      </c>
      <c r="E441" s="2" t="s">
        <v>2108</v>
      </c>
      <c r="F441" s="9" t="s">
        <v>2148</v>
      </c>
      <c r="G441" s="6">
        <v>864000.0</v>
      </c>
      <c r="H441" s="79">
        <v>0.04</v>
      </c>
    </row>
    <row r="442">
      <c r="A442" s="6">
        <v>538.0</v>
      </c>
      <c r="B442" s="50" t="str">
        <f>IFERROR(VLOOKUP($A442,EVENTO!$A$2:$C$4999,2,FALSE),"")</f>
        <v>CADASTRO</v>
      </c>
      <c r="C442" s="50" t="str">
        <f>IFERROR(VLOOKUP($A442,EVENTO!$A$2:$C$4999,3,FALSE),"")</f>
        <v>CENTRO DE LANÇAMENTO DE ALCÂNTARA - CLA </v>
      </c>
      <c r="D442" s="6" t="s">
        <v>1869</v>
      </c>
      <c r="E442" s="2" t="s">
        <v>2108</v>
      </c>
      <c r="F442" s="9" t="s">
        <v>2110</v>
      </c>
      <c r="G442" s="6">
        <v>576000.0</v>
      </c>
      <c r="H442" s="79">
        <v>0.03</v>
      </c>
    </row>
    <row r="443">
      <c r="A443" s="6">
        <v>538.0</v>
      </c>
      <c r="B443" s="50" t="str">
        <f>IFERROR(VLOOKUP($A443,EVENTO!$A$2:$C$4999,2,FALSE),"")</f>
        <v>CADASTRO</v>
      </c>
      <c r="C443" s="50" t="str">
        <f>IFERROR(VLOOKUP($A443,EVENTO!$A$2:$C$4999,3,FALSE),"")</f>
        <v>CENTRO DE LANÇAMENTO DE ALCÂNTARA - CLA </v>
      </c>
      <c r="D443" s="6" t="s">
        <v>1871</v>
      </c>
      <c r="E443" s="2" t="s">
        <v>2111</v>
      </c>
      <c r="F443" s="9" t="s">
        <v>2148</v>
      </c>
      <c r="G443" s="6">
        <v>14880.0</v>
      </c>
      <c r="H443" s="79">
        <v>0.18</v>
      </c>
    </row>
    <row r="444">
      <c r="A444" s="6">
        <v>538.0</v>
      </c>
      <c r="B444" s="50" t="str">
        <f>IFERROR(VLOOKUP($A444,EVENTO!$A$2:$C$4999,2,FALSE),"")</f>
        <v>CADASTRO</v>
      </c>
      <c r="C444" s="50" t="str">
        <f>IFERROR(VLOOKUP($A444,EVENTO!$A$2:$C$4999,3,FALSE),"")</f>
        <v>CENTRO DE LANÇAMENTO DE ALCÂNTARA - CLA </v>
      </c>
      <c r="D444" s="6" t="s">
        <v>1871</v>
      </c>
      <c r="E444" s="2" t="s">
        <v>2111</v>
      </c>
      <c r="F444" s="9" t="s">
        <v>2110</v>
      </c>
      <c r="G444" s="6">
        <v>9920.0</v>
      </c>
      <c r="H444" s="79">
        <v>0.09</v>
      </c>
    </row>
    <row r="445">
      <c r="A445" s="6">
        <v>539.0</v>
      </c>
      <c r="B445" s="50" t="str">
        <f>IFERROR(VLOOKUP($A445,EVENTO!$A$2:$C$4999,2,FALSE),"")</f>
        <v>ADITIVO DE REAJUSTE E QUANTIDADE</v>
      </c>
      <c r="C445" s="50" t="str">
        <f>IFERROR(VLOOKUP($A445,EVENTO!$A$2:$C$4999,3,FALSE),"")</f>
        <v>CENTRO DE LANÇAMENTO DE ALCÂNTARA - CLA </v>
      </c>
      <c r="D445" s="11"/>
      <c r="E445" s="2" t="s">
        <v>2108</v>
      </c>
      <c r="F445" s="9" t="s">
        <v>2148</v>
      </c>
      <c r="G445" s="6">
        <v>864000.0</v>
      </c>
      <c r="H445" s="79">
        <v>0.0426</v>
      </c>
    </row>
    <row r="446">
      <c r="A446" s="6">
        <v>539.0</v>
      </c>
      <c r="B446" s="50" t="str">
        <f>IFERROR(VLOOKUP($A446,EVENTO!$A$2:$C$4999,2,FALSE),"")</f>
        <v>ADITIVO DE REAJUSTE E QUANTIDADE</v>
      </c>
      <c r="C446" s="50" t="str">
        <f>IFERROR(VLOOKUP($A446,EVENTO!$A$2:$C$4999,3,FALSE),"")</f>
        <v>CENTRO DE LANÇAMENTO DE ALCÂNTARA - CLA </v>
      </c>
      <c r="D446" s="11"/>
      <c r="E446" s="2" t="s">
        <v>2108</v>
      </c>
      <c r="F446" s="9" t="s">
        <v>2110</v>
      </c>
      <c r="G446" s="6">
        <v>576000.0</v>
      </c>
      <c r="H446" s="79">
        <v>0.032</v>
      </c>
    </row>
    <row r="447">
      <c r="A447" s="6">
        <v>539.0</v>
      </c>
      <c r="B447" s="50" t="str">
        <f>IFERROR(VLOOKUP($A447,EVENTO!$A$2:$C$4999,2,FALSE),"")</f>
        <v>ADITIVO DE REAJUSTE E QUANTIDADE</v>
      </c>
      <c r="C447" s="50" t="str">
        <f>IFERROR(VLOOKUP($A447,EVENTO!$A$2:$C$4999,3,FALSE),"")</f>
        <v>CENTRO DE LANÇAMENTO DE ALCÂNTARA - CLA </v>
      </c>
      <c r="D447" s="11"/>
      <c r="E447" s="2" t="s">
        <v>2111</v>
      </c>
      <c r="F447" s="9" t="s">
        <v>2148</v>
      </c>
      <c r="G447" s="6">
        <v>48000.0</v>
      </c>
      <c r="H447" s="79">
        <v>0.1918</v>
      </c>
    </row>
    <row r="448">
      <c r="A448" s="6">
        <v>539.0</v>
      </c>
      <c r="B448" s="50" t="str">
        <f>IFERROR(VLOOKUP($A448,EVENTO!$A$2:$C$4999,2,FALSE),"")</f>
        <v>ADITIVO DE REAJUSTE E QUANTIDADE</v>
      </c>
      <c r="C448" s="50" t="str">
        <f>IFERROR(VLOOKUP($A448,EVENTO!$A$2:$C$4999,3,FALSE),"")</f>
        <v>CENTRO DE LANÇAMENTO DE ALCÂNTARA - CLA </v>
      </c>
      <c r="D448" s="11"/>
      <c r="E448" s="2" t="s">
        <v>2111</v>
      </c>
      <c r="F448" s="9" t="s">
        <v>2110</v>
      </c>
      <c r="G448" s="6">
        <v>32000.0</v>
      </c>
      <c r="H448" s="79">
        <v>0.0959</v>
      </c>
    </row>
    <row r="449">
      <c r="A449" s="6">
        <v>540.0</v>
      </c>
      <c r="B449" s="50" t="str">
        <f>IFERROR(VLOOKUP($A449,EVENTO!$A$2:$C$4999,2,FALSE),"")</f>
        <v>CADASTRO</v>
      </c>
      <c r="C449" s="50" t="str">
        <f>IFERROR(VLOOKUP($A449,EVENTO!$A$2:$C$4999,3,FALSE),"")</f>
        <v>CISNORDESTE</v>
      </c>
      <c r="D449" s="6" t="s">
        <v>1868</v>
      </c>
      <c r="E449" s="2" t="s">
        <v>2108</v>
      </c>
      <c r="F449" s="9" t="s">
        <v>2110</v>
      </c>
      <c r="G449" s="6">
        <v>10000.0</v>
      </c>
      <c r="H449" s="79">
        <v>0.07</v>
      </c>
    </row>
    <row r="450">
      <c r="A450" s="6">
        <v>540.0</v>
      </c>
      <c r="B450" s="50" t="str">
        <f>IFERROR(VLOOKUP($A450,EVENTO!$A$2:$C$4999,2,FALSE),"")</f>
        <v>CADASTRO</v>
      </c>
      <c r="C450" s="50" t="str">
        <f>IFERROR(VLOOKUP($A450,EVENTO!$A$2:$C$4999,3,FALSE),"")</f>
        <v>CISNORDESTE</v>
      </c>
      <c r="D450" s="6" t="s">
        <v>1868</v>
      </c>
      <c r="E450" s="2" t="s">
        <v>2108</v>
      </c>
      <c r="F450" s="9" t="s">
        <v>2110</v>
      </c>
      <c r="G450" s="6">
        <v>10000.0</v>
      </c>
      <c r="H450" s="79">
        <v>0.07</v>
      </c>
    </row>
    <row r="451">
      <c r="A451" s="6">
        <v>541.0</v>
      </c>
      <c r="B451" s="50" t="str">
        <f>IFERROR(VLOOKUP($A451,EVENTO!$A$2:$C$4999,2,FALSE),"")</f>
        <v>ADITIVO DE PRAZO</v>
      </c>
      <c r="C451" s="50" t="str">
        <f>IFERROR(VLOOKUP($A451,EVENTO!$A$2:$C$4999,3,FALSE),"")</f>
        <v>CISNORDESTE</v>
      </c>
      <c r="D451" s="6" t="s">
        <v>1868</v>
      </c>
      <c r="E451" s="2" t="s">
        <v>2108</v>
      </c>
      <c r="F451" s="9" t="s">
        <v>2110</v>
      </c>
      <c r="G451" s="6">
        <v>10000.0</v>
      </c>
      <c r="H451" s="79">
        <v>0.07</v>
      </c>
    </row>
    <row r="452">
      <c r="A452" s="6">
        <v>541.0</v>
      </c>
      <c r="B452" s="50" t="str">
        <f>IFERROR(VLOOKUP($A452,EVENTO!$A$2:$C$4999,2,FALSE),"")</f>
        <v>ADITIVO DE PRAZO</v>
      </c>
      <c r="C452" s="50" t="str">
        <f>IFERROR(VLOOKUP($A452,EVENTO!$A$2:$C$4999,3,FALSE),"")</f>
        <v>CISNORDESTE</v>
      </c>
      <c r="D452" s="6" t="s">
        <v>1868</v>
      </c>
      <c r="E452" s="2" t="s">
        <v>2108</v>
      </c>
      <c r="F452" s="9" t="s">
        <v>2110</v>
      </c>
      <c r="G452" s="6">
        <v>10000.0</v>
      </c>
      <c r="H452" s="79">
        <v>0.07</v>
      </c>
    </row>
    <row r="453">
      <c r="A453" s="6">
        <v>542.0</v>
      </c>
      <c r="B453" s="50" t="str">
        <f>IFERROR(VLOOKUP($A453,EVENTO!$A$2:$C$4999,2,FALSE),"")</f>
        <v>APOSTILAMENTO</v>
      </c>
      <c r="C453" s="50" t="str">
        <f>IFERROR(VLOOKUP($A453,EVENTO!$A$2:$C$4999,3,FALSE),"")</f>
        <v>CISNORDESTE</v>
      </c>
      <c r="D453" s="11"/>
      <c r="E453" s="6" t="s">
        <v>1868</v>
      </c>
      <c r="F453" s="2" t="s">
        <v>2108</v>
      </c>
      <c r="G453" s="9" t="s">
        <v>2110</v>
      </c>
      <c r="H453" s="6">
        <v>10000.0</v>
      </c>
      <c r="I453" s="79">
        <v>0.07</v>
      </c>
    </row>
    <row r="454">
      <c r="A454" s="6">
        <v>542.0</v>
      </c>
      <c r="B454" s="50" t="str">
        <f>IFERROR(VLOOKUP($A454,EVENTO!$A$2:$C$4999,2,FALSE),"")</f>
        <v>APOSTILAMENTO</v>
      </c>
      <c r="C454" s="50" t="str">
        <f>IFERROR(VLOOKUP($A454,EVENTO!$A$2:$C$4999,3,FALSE),"")</f>
        <v>CISNORDESTE</v>
      </c>
      <c r="D454" s="11"/>
      <c r="E454" s="6" t="s">
        <v>1868</v>
      </c>
      <c r="F454" s="2" t="s">
        <v>2108</v>
      </c>
      <c r="G454" s="9" t="s">
        <v>2110</v>
      </c>
      <c r="H454" s="6">
        <v>10000.0</v>
      </c>
      <c r="I454" s="79">
        <v>0.07</v>
      </c>
    </row>
    <row r="455">
      <c r="A455" s="6">
        <v>551.0</v>
      </c>
      <c r="B455" s="50" t="str">
        <f>IFERROR(VLOOKUP($A455,EVENTO!$A$2:$C$4999,2,FALSE),"")</f>
        <v>CADASTRO</v>
      </c>
      <c r="C455" s="50" t="str">
        <f>IFERROR(VLOOKUP($A455,EVENTO!$A$2:$C$4999,3,FALSE),"")</f>
        <v>SECRETARIA EXTRAORDINÁRIA DE REPRESENTAÇÃO DO GOVERNO DO ESTADO DO AMAPÁ EM BRASÍLIA – SEAB</v>
      </c>
      <c r="D455" s="6" t="s">
        <v>1861</v>
      </c>
      <c r="E455" s="9" t="s">
        <v>2157</v>
      </c>
      <c r="F455" s="9" t="s">
        <v>2148</v>
      </c>
      <c r="G455" s="6">
        <v>2000.0</v>
      </c>
      <c r="H455" s="116">
        <v>0.1419</v>
      </c>
    </row>
    <row r="456">
      <c r="A456" s="6">
        <v>551.0</v>
      </c>
      <c r="B456" s="50" t="str">
        <f>IFERROR(VLOOKUP($A456,EVENTO!$A$2:$C$4999,2,FALSE),"")</f>
        <v>CADASTRO</v>
      </c>
      <c r="C456" s="50" t="str">
        <f>IFERROR(VLOOKUP($A456,EVENTO!$A$2:$C$4999,3,FALSE),"")</f>
        <v>SECRETARIA EXTRAORDINÁRIA DE REPRESENTAÇÃO DO GOVERNO DO ESTADO DO AMAPÁ EM BRASÍLIA – SEAB</v>
      </c>
      <c r="D456" s="6" t="s">
        <v>1861</v>
      </c>
      <c r="E456" s="9" t="s">
        <v>2157</v>
      </c>
      <c r="F456" s="9" t="s">
        <v>2110</v>
      </c>
      <c r="G456" s="6">
        <v>800.0</v>
      </c>
      <c r="H456" s="116">
        <v>0.08</v>
      </c>
    </row>
    <row r="457">
      <c r="A457" s="6">
        <v>551.0</v>
      </c>
      <c r="B457" s="50" t="str">
        <f>IFERROR(VLOOKUP($A457,EVENTO!$A$2:$C$4999,2,FALSE),"")</f>
        <v>CADASTRO</v>
      </c>
      <c r="C457" s="50" t="str">
        <f>IFERROR(VLOOKUP($A457,EVENTO!$A$2:$C$4999,3,FALSE),"")</f>
        <v>SECRETARIA EXTRAORDINÁRIA DE REPRESENTAÇÃO DO GOVERNO DO ESTADO DO AMAPÁ EM BRASÍLIA – SEAB</v>
      </c>
      <c r="D457" s="6" t="s">
        <v>1863</v>
      </c>
      <c r="E457" s="9" t="s">
        <v>2158</v>
      </c>
      <c r="F457" s="9" t="s">
        <v>2148</v>
      </c>
      <c r="G457" s="6">
        <v>400.0</v>
      </c>
      <c r="H457" s="116">
        <v>0.15</v>
      </c>
    </row>
    <row r="458">
      <c r="A458" s="6">
        <v>551.0</v>
      </c>
      <c r="B458" s="50" t="str">
        <f>IFERROR(VLOOKUP($A458,EVENTO!$A$2:$C$4999,2,FALSE),"")</f>
        <v>CADASTRO</v>
      </c>
      <c r="C458" s="50" t="str">
        <f>IFERROR(VLOOKUP($A458,EVENTO!$A$2:$C$4999,3,FALSE),"")</f>
        <v>SECRETARIA EXTRAORDINÁRIA DE REPRESENTAÇÃO DO GOVERNO DO ESTADO DO AMAPÁ EM BRASÍLIA – SEAB</v>
      </c>
      <c r="D458" s="6" t="s">
        <v>1863</v>
      </c>
      <c r="E458" s="9" t="s">
        <v>2158</v>
      </c>
      <c r="F458" s="9" t="s">
        <v>2110</v>
      </c>
      <c r="G458" s="6">
        <v>200.0</v>
      </c>
      <c r="H458" s="116">
        <v>0.0658</v>
      </c>
    </row>
    <row r="459">
      <c r="A459" s="6">
        <v>551.0</v>
      </c>
      <c r="B459" s="50" t="str">
        <f>IFERROR(VLOOKUP($A459,EVENTO!$A$2:$C$4999,2,FALSE),"")</f>
        <v>CADASTRO</v>
      </c>
      <c r="C459" s="50" t="str">
        <f>IFERROR(VLOOKUP($A459,EVENTO!$A$2:$C$4999,3,FALSE),"")</f>
        <v>SECRETARIA EXTRAORDINÁRIA DE REPRESENTAÇÃO DO GOVERNO DO ESTADO DO AMAPÁ EM BRASÍLIA – SEAB</v>
      </c>
      <c r="D459" s="6" t="s">
        <v>1863</v>
      </c>
      <c r="E459" s="9" t="s">
        <v>2159</v>
      </c>
      <c r="F459" s="9" t="s">
        <v>2148</v>
      </c>
      <c r="G459" s="6">
        <v>700.0</v>
      </c>
      <c r="H459" s="116">
        <v>0.5</v>
      </c>
    </row>
    <row r="460">
      <c r="A460" s="6">
        <v>551.0</v>
      </c>
      <c r="B460" s="50" t="str">
        <f>IFERROR(VLOOKUP($A460,EVENTO!$A$2:$C$4999,2,FALSE),"")</f>
        <v>CADASTRO</v>
      </c>
      <c r="C460" s="50" t="str">
        <f>IFERROR(VLOOKUP($A460,EVENTO!$A$2:$C$4999,3,FALSE),"")</f>
        <v>SECRETARIA EXTRAORDINÁRIA DE REPRESENTAÇÃO DO GOVERNO DO ESTADO DO AMAPÁ EM BRASÍLIA – SEAB</v>
      </c>
      <c r="D460" s="6" t="s">
        <v>1863</v>
      </c>
      <c r="E460" s="9" t="s">
        <v>2159</v>
      </c>
      <c r="F460" s="9" t="s">
        <v>2110</v>
      </c>
      <c r="G460" s="6">
        <v>700.0</v>
      </c>
      <c r="H460" s="116">
        <v>0.13</v>
      </c>
    </row>
    <row r="461">
      <c r="A461" s="6">
        <v>554.0</v>
      </c>
      <c r="B461" s="50" t="str">
        <f>IFERROR(VLOOKUP($A461,EVENTO!$A$2:$C$4999,2,FALSE),"")</f>
        <v>CADASTRO</v>
      </c>
      <c r="C461" s="50" t="str">
        <f>IFERROR(VLOOKUP($A461,EVENTO!$A$2:$C$4999,3,FALSE),"")</f>
        <v>SECRETARIA DO DESENVOLVIMENTO ECONÔMICO - SDE</v>
      </c>
      <c r="D461" s="6" t="s">
        <v>1861</v>
      </c>
      <c r="E461" s="9" t="s">
        <v>2157</v>
      </c>
      <c r="F461" s="9" t="s">
        <v>2148</v>
      </c>
      <c r="G461" s="6">
        <v>12000.0</v>
      </c>
      <c r="H461" s="80"/>
    </row>
    <row r="462">
      <c r="A462" s="6">
        <v>554.0</v>
      </c>
      <c r="B462" s="50" t="str">
        <f>IFERROR(VLOOKUP($A462,EVENTO!$A$2:$C$4999,2,FALSE),"")</f>
        <v>CADASTRO</v>
      </c>
      <c r="C462" s="50" t="str">
        <f>IFERROR(VLOOKUP($A462,EVENTO!$A$2:$C$4999,3,FALSE),"")</f>
        <v>SECRETARIA DO DESENVOLVIMENTO ECONÔMICO - SDE</v>
      </c>
      <c r="D462" s="6" t="s">
        <v>1876</v>
      </c>
      <c r="E462" s="9" t="s">
        <v>2160</v>
      </c>
      <c r="F462" s="9" t="s">
        <v>2148</v>
      </c>
      <c r="G462" s="6">
        <v>3000.0</v>
      </c>
      <c r="H462" s="80"/>
    </row>
    <row r="463">
      <c r="A463" s="6">
        <v>554.0</v>
      </c>
      <c r="B463" s="50" t="str">
        <f>IFERROR(VLOOKUP($A463,EVENTO!$A$2:$C$4999,2,FALSE),"")</f>
        <v>CADASTRO</v>
      </c>
      <c r="C463" s="50" t="str">
        <f>IFERROR(VLOOKUP($A463,EVENTO!$A$2:$C$4999,3,FALSE),"")</f>
        <v>SECRETARIA DO DESENVOLVIMENTO ECONÔMICO - SDE</v>
      </c>
      <c r="D463" s="6" t="s">
        <v>1863</v>
      </c>
      <c r="E463" s="9" t="s">
        <v>2161</v>
      </c>
      <c r="F463" s="9" t="s">
        <v>2148</v>
      </c>
      <c r="G463" s="6">
        <v>2000.0</v>
      </c>
      <c r="H463" s="80"/>
    </row>
    <row r="464">
      <c r="A464" s="6">
        <v>552.0</v>
      </c>
      <c r="B464" s="50" t="str">
        <f>IFERROR(VLOOKUP($A464,EVENTO!$A$2:$C$4999,2,FALSE),"")</f>
        <v>ADITIVO DE QUANTIDADE</v>
      </c>
      <c r="C464" s="50" t="str">
        <f>IFERROR(VLOOKUP($A464,EVENTO!$A$2:$C$4999,3,FALSE),"")</f>
        <v>SECRETARIA EXTRAORDINÁRIA DE REPRESENTAÇÃO DO GOVERNO DO ESTADO DO AMAPÁ EM BRASÍLIA – SEAB</v>
      </c>
      <c r="D464" s="6" t="s">
        <v>1861</v>
      </c>
      <c r="E464" s="9" t="s">
        <v>2157</v>
      </c>
      <c r="F464" s="9" t="s">
        <v>2148</v>
      </c>
      <c r="G464" s="6">
        <v>2000.0</v>
      </c>
      <c r="H464" s="116">
        <v>0.1855</v>
      </c>
    </row>
    <row r="465">
      <c r="A465" s="6">
        <v>552.0</v>
      </c>
      <c r="B465" s="50" t="str">
        <f>IFERROR(VLOOKUP($A465,EVENTO!$A$2:$C$4999,2,FALSE),"")</f>
        <v>ADITIVO DE QUANTIDADE</v>
      </c>
      <c r="C465" s="50" t="str">
        <f>IFERROR(VLOOKUP($A465,EVENTO!$A$2:$C$4999,3,FALSE),"")</f>
        <v>SECRETARIA EXTRAORDINÁRIA DE REPRESENTAÇÃO DO GOVERNO DO ESTADO DO AMAPÁ EM BRASÍLIA – SEAB</v>
      </c>
      <c r="D465" s="6" t="s">
        <v>1861</v>
      </c>
      <c r="E465" s="9" t="s">
        <v>2157</v>
      </c>
      <c r="F465" s="9" t="s">
        <v>2110</v>
      </c>
      <c r="G465" s="6">
        <v>800.0</v>
      </c>
      <c r="H465" s="116">
        <v>0.1046</v>
      </c>
    </row>
    <row r="466">
      <c r="A466" s="6">
        <v>552.0</v>
      </c>
      <c r="B466" s="50" t="str">
        <f>IFERROR(VLOOKUP($A466,EVENTO!$A$2:$C$4999,2,FALSE),"")</f>
        <v>ADITIVO DE QUANTIDADE</v>
      </c>
      <c r="C466" s="50" t="str">
        <f>IFERROR(VLOOKUP($A466,EVENTO!$A$2:$C$4999,3,FALSE),"")</f>
        <v>SECRETARIA EXTRAORDINÁRIA DE REPRESENTAÇÃO DO GOVERNO DO ESTADO DO AMAPÁ EM BRASÍLIA – SEAB</v>
      </c>
      <c r="D466" s="6" t="s">
        <v>1863</v>
      </c>
      <c r="E466" s="9" t="s">
        <v>2158</v>
      </c>
      <c r="F466" s="9" t="s">
        <v>2148</v>
      </c>
      <c r="G466" s="6">
        <v>400.0</v>
      </c>
      <c r="H466" s="116">
        <v>0.1961</v>
      </c>
    </row>
    <row r="467">
      <c r="A467" s="6">
        <v>552.0</v>
      </c>
      <c r="B467" s="50" t="str">
        <f>IFERROR(VLOOKUP($A467,EVENTO!$A$2:$C$4999,2,FALSE),"")</f>
        <v>ADITIVO DE QUANTIDADE</v>
      </c>
      <c r="C467" s="50" t="str">
        <f>IFERROR(VLOOKUP($A467,EVENTO!$A$2:$C$4999,3,FALSE),"")</f>
        <v>SECRETARIA EXTRAORDINÁRIA DE REPRESENTAÇÃO DO GOVERNO DO ESTADO DO AMAPÁ EM BRASÍLIA – SEAB</v>
      </c>
      <c r="D467" s="6" t="s">
        <v>1863</v>
      </c>
      <c r="E467" s="9" t="s">
        <v>2158</v>
      </c>
      <c r="F467" s="9" t="s">
        <v>2110</v>
      </c>
      <c r="G467" s="6">
        <v>200.0</v>
      </c>
      <c r="H467" s="116">
        <v>0.086</v>
      </c>
    </row>
    <row r="468">
      <c r="A468" s="6">
        <v>552.0</v>
      </c>
      <c r="B468" s="50" t="str">
        <f>IFERROR(VLOOKUP($A468,EVENTO!$A$2:$C$4999,2,FALSE),"")</f>
        <v>ADITIVO DE QUANTIDADE</v>
      </c>
      <c r="C468" s="50" t="str">
        <f>IFERROR(VLOOKUP($A468,EVENTO!$A$2:$C$4999,3,FALSE),"")</f>
        <v>SECRETARIA EXTRAORDINÁRIA DE REPRESENTAÇÃO DO GOVERNO DO ESTADO DO AMAPÁ EM BRASÍLIA – SEAB</v>
      </c>
      <c r="D468" s="6" t="s">
        <v>1863</v>
      </c>
      <c r="E468" s="9" t="s">
        <v>2159</v>
      </c>
      <c r="F468" s="9" t="s">
        <v>2148</v>
      </c>
      <c r="G468" s="6">
        <v>700.0</v>
      </c>
      <c r="H468" s="116">
        <v>0.6535</v>
      </c>
    </row>
    <row r="469">
      <c r="A469" s="6">
        <v>552.0</v>
      </c>
      <c r="B469" s="50" t="str">
        <f>IFERROR(VLOOKUP($A469,EVENTO!$A$2:$C$4999,2,FALSE),"")</f>
        <v>ADITIVO DE QUANTIDADE</v>
      </c>
      <c r="C469" s="50" t="str">
        <f>IFERROR(VLOOKUP($A469,EVENTO!$A$2:$C$4999,3,FALSE),"")</f>
        <v>SECRETARIA EXTRAORDINÁRIA DE REPRESENTAÇÃO DO GOVERNO DO ESTADO DO AMAPÁ EM BRASÍLIA – SEAB</v>
      </c>
      <c r="D469" s="6" t="s">
        <v>1863</v>
      </c>
      <c r="E469" s="9" t="s">
        <v>2159</v>
      </c>
      <c r="F469" s="9" t="s">
        <v>2110</v>
      </c>
      <c r="G469" s="6">
        <v>700.0</v>
      </c>
      <c r="H469" s="116">
        <v>0.1699</v>
      </c>
    </row>
    <row r="470">
      <c r="A470" s="6">
        <v>553.0</v>
      </c>
      <c r="B470" s="50" t="str">
        <f>IFERROR(VLOOKUP($A470,EVENTO!$A$2:$C$4999,2,FALSE),"")</f>
        <v>ADITIVO DE REAJUSTE E PRAZO</v>
      </c>
      <c r="C470" s="50" t="str">
        <f>IFERROR(VLOOKUP($A470,EVENTO!$A$2:$C$4999,3,FALSE),"")</f>
        <v>SECRETARIA EXTRAORDINÁRIA DE REPRESENTAÇÃO DO GOVERNO DO ESTADO DO AMAPÁ EM BRASÍLIA – SEAB</v>
      </c>
      <c r="D470" s="6" t="s">
        <v>1861</v>
      </c>
      <c r="E470" s="9" t="s">
        <v>2157</v>
      </c>
      <c r="F470" s="9" t="s">
        <v>2148</v>
      </c>
      <c r="G470" s="6">
        <v>2000.0</v>
      </c>
      <c r="H470" s="116">
        <v>0.179</v>
      </c>
    </row>
    <row r="471">
      <c r="A471" s="6">
        <v>553.0</v>
      </c>
      <c r="B471" s="50" t="str">
        <f>IFERROR(VLOOKUP($A471,EVENTO!$A$2:$C$4999,2,FALSE),"")</f>
        <v>ADITIVO DE REAJUSTE E PRAZO</v>
      </c>
      <c r="C471" s="50" t="str">
        <f>IFERROR(VLOOKUP($A471,EVENTO!$A$2:$C$4999,3,FALSE),"")</f>
        <v>SECRETARIA EXTRAORDINÁRIA DE REPRESENTAÇÃO DO GOVERNO DO ESTADO DO AMAPÁ EM BRASÍLIA – SEAB</v>
      </c>
      <c r="D471" s="6" t="s">
        <v>1861</v>
      </c>
      <c r="E471" s="9" t="s">
        <v>2157</v>
      </c>
      <c r="F471" s="9" t="s">
        <v>2110</v>
      </c>
      <c r="G471" s="6">
        <v>800.0</v>
      </c>
      <c r="H471" s="116">
        <v>0.1009</v>
      </c>
    </row>
    <row r="472">
      <c r="A472" s="6">
        <v>553.0</v>
      </c>
      <c r="B472" s="50" t="str">
        <f>IFERROR(VLOOKUP($A472,EVENTO!$A$2:$C$4999,2,FALSE),"")</f>
        <v>ADITIVO DE REAJUSTE E PRAZO</v>
      </c>
      <c r="C472" s="50" t="str">
        <f>IFERROR(VLOOKUP($A472,EVENTO!$A$2:$C$4999,3,FALSE),"")</f>
        <v>SECRETARIA EXTRAORDINÁRIA DE REPRESENTAÇÃO DO GOVERNO DO ESTADO DO AMAPÁ EM BRASÍLIA – SEAB</v>
      </c>
      <c r="D472" s="6" t="s">
        <v>1863</v>
      </c>
      <c r="E472" s="9" t="s">
        <v>2158</v>
      </c>
      <c r="F472" s="9" t="s">
        <v>2148</v>
      </c>
      <c r="G472" s="6">
        <v>400.0</v>
      </c>
      <c r="H472" s="116">
        <v>0.1892</v>
      </c>
    </row>
    <row r="473">
      <c r="A473" s="6">
        <v>553.0</v>
      </c>
      <c r="B473" s="50" t="str">
        <f>IFERROR(VLOOKUP($A473,EVENTO!$A$2:$C$4999,2,FALSE),"")</f>
        <v>ADITIVO DE REAJUSTE E PRAZO</v>
      </c>
      <c r="C473" s="50" t="str">
        <f>IFERROR(VLOOKUP($A473,EVENTO!$A$2:$C$4999,3,FALSE),"")</f>
        <v>SECRETARIA EXTRAORDINÁRIA DE REPRESENTAÇÃO DO GOVERNO DO ESTADO DO AMAPÁ EM BRASÍLIA – SEAB</v>
      </c>
      <c r="D473" s="6" t="s">
        <v>1863</v>
      </c>
      <c r="E473" s="9" t="s">
        <v>2158</v>
      </c>
      <c r="F473" s="9" t="s">
        <v>2110</v>
      </c>
      <c r="G473" s="6">
        <v>200.0</v>
      </c>
      <c r="H473" s="116">
        <v>0.083</v>
      </c>
    </row>
    <row r="474">
      <c r="A474" s="6">
        <v>553.0</v>
      </c>
      <c r="B474" s="50" t="str">
        <f>IFERROR(VLOOKUP($A474,EVENTO!$A$2:$C$4999,2,FALSE),"")</f>
        <v>ADITIVO DE REAJUSTE E PRAZO</v>
      </c>
      <c r="C474" s="50" t="str">
        <f>IFERROR(VLOOKUP($A474,EVENTO!$A$2:$C$4999,3,FALSE),"")</f>
        <v>SECRETARIA EXTRAORDINÁRIA DE REPRESENTAÇÃO DO GOVERNO DO ESTADO DO AMAPÁ EM BRASÍLIA – SEAB</v>
      </c>
      <c r="D474" s="6" t="s">
        <v>1863</v>
      </c>
      <c r="E474" s="9" t="s">
        <v>2159</v>
      </c>
      <c r="F474" s="9" t="s">
        <v>2148</v>
      </c>
      <c r="G474" s="6">
        <v>700.0</v>
      </c>
      <c r="H474" s="116">
        <v>0.6307</v>
      </c>
    </row>
    <row r="475">
      <c r="A475" s="6">
        <v>553.0</v>
      </c>
      <c r="B475" s="50" t="str">
        <f>IFERROR(VLOOKUP($A475,EVENTO!$A$2:$C$4999,2,FALSE),"")</f>
        <v>ADITIVO DE REAJUSTE E PRAZO</v>
      </c>
      <c r="C475" s="50" t="str">
        <f>IFERROR(VLOOKUP($A475,EVENTO!$A$2:$C$4999,3,FALSE),"")</f>
        <v>SECRETARIA EXTRAORDINÁRIA DE REPRESENTAÇÃO DO GOVERNO DO ESTADO DO AMAPÁ EM BRASÍLIA – SEAB</v>
      </c>
      <c r="D475" s="6" t="s">
        <v>1863</v>
      </c>
      <c r="E475" s="9" t="s">
        <v>2159</v>
      </c>
      <c r="F475" s="9" t="s">
        <v>2110</v>
      </c>
      <c r="G475" s="6">
        <v>700.0</v>
      </c>
      <c r="H475" s="116">
        <v>0.164</v>
      </c>
    </row>
    <row r="476">
      <c r="A476" s="6">
        <v>556.0</v>
      </c>
      <c r="B476" s="50" t="str">
        <f>IFERROR(VLOOKUP($A476,EVENTO!$A$2:$C$4999,2,FALSE),"")</f>
        <v>CADASTRO</v>
      </c>
      <c r="C476" s="50" t="str">
        <f>IFERROR(VLOOKUP($A476,EVENTO!$A$2:$C$4999,3,FALSE),"")</f>
        <v>MARANHÃO PARCEIRIAS - MAPA</v>
      </c>
      <c r="D476" s="6" t="s">
        <v>1861</v>
      </c>
      <c r="E476" s="9" t="s">
        <v>2157</v>
      </c>
      <c r="F476" s="9" t="s">
        <v>2148</v>
      </c>
      <c r="G476" s="6">
        <v>2000.0</v>
      </c>
      <c r="H476" s="80"/>
    </row>
    <row r="477">
      <c r="A477" s="6">
        <v>556.0</v>
      </c>
      <c r="B477" s="50" t="str">
        <f>IFERROR(VLOOKUP($A477,EVENTO!$A$2:$C$4999,2,FALSE),"")</f>
        <v>CADASTRO</v>
      </c>
      <c r="C477" s="50" t="str">
        <f>IFERROR(VLOOKUP($A477,EVENTO!$A$2:$C$4999,3,FALSE),"")</f>
        <v>MARANHÃO PARCEIRIAS - MAPA</v>
      </c>
      <c r="D477" s="6" t="s">
        <v>1876</v>
      </c>
      <c r="E477" s="9" t="s">
        <v>2162</v>
      </c>
      <c r="F477" s="9" t="s">
        <v>2148</v>
      </c>
      <c r="G477" s="6">
        <v>1000.0</v>
      </c>
      <c r="H477" s="80"/>
    </row>
    <row r="478">
      <c r="A478" s="6">
        <v>556.0</v>
      </c>
      <c r="B478" s="50" t="str">
        <f>IFERROR(VLOOKUP($A478,EVENTO!$A$2:$C$4999,2,FALSE),"")</f>
        <v>CADASTRO</v>
      </c>
      <c r="C478" s="50" t="str">
        <f>IFERROR(VLOOKUP($A478,EVENTO!$A$2:$C$4999,3,FALSE),"")</f>
        <v>MARANHÃO PARCEIRIAS - MAPA</v>
      </c>
      <c r="D478" s="6" t="s">
        <v>1876</v>
      </c>
      <c r="E478" s="9" t="s">
        <v>2160</v>
      </c>
      <c r="F478" s="9" t="s">
        <v>2148</v>
      </c>
      <c r="G478" s="6">
        <v>1000.0</v>
      </c>
      <c r="H478" s="80"/>
    </row>
    <row r="479">
      <c r="A479" s="6">
        <v>560.0</v>
      </c>
      <c r="B479" s="50" t="str">
        <f>IFERROR(VLOOKUP($A479,EVENTO!$A$2:$C$4999,2,FALSE),"")</f>
        <v>CADASTRO</v>
      </c>
      <c r="C479" s="50" t="str">
        <f>IFERROR(VLOOKUP($A479,EVENTO!$A$2:$C$4999,3,FALSE),"")</f>
        <v>REPRESENTAÇÃO DO MUNICÍPIO DE PALMAS - SECRETARIA MUNICIPAL DO GABINETE DO PREFEITO EM BRASILIA </v>
      </c>
      <c r="D479" s="6" t="s">
        <v>1868</v>
      </c>
      <c r="E479" s="78" t="s">
        <v>1868</v>
      </c>
      <c r="F479" s="9" t="s">
        <v>2163</v>
      </c>
      <c r="G479" s="6">
        <v>1350.0</v>
      </c>
      <c r="H479" s="80"/>
    </row>
    <row r="480">
      <c r="A480" s="6">
        <v>560.0</v>
      </c>
      <c r="B480" s="50" t="str">
        <f>IFERROR(VLOOKUP($A480,EVENTO!$A$2:$C$4999,2,FALSE),"")</f>
        <v>CADASTRO</v>
      </c>
      <c r="C480" s="50" t="str">
        <f>IFERROR(VLOOKUP($A480,EVENTO!$A$2:$C$4999,3,FALSE),"")</f>
        <v>REPRESENTAÇÃO DO MUNICÍPIO DE PALMAS - SECRETARIA MUNICIPAL DO GABINETE DO PREFEITO EM BRASILIA </v>
      </c>
      <c r="D480" s="6" t="s">
        <v>1881</v>
      </c>
      <c r="E480" s="78" t="s">
        <v>1881</v>
      </c>
      <c r="F480" s="9" t="s">
        <v>2163</v>
      </c>
      <c r="G480" s="6">
        <v>858.0</v>
      </c>
      <c r="H480" s="80"/>
    </row>
    <row r="481">
      <c r="A481" s="6">
        <v>560.0</v>
      </c>
      <c r="B481" s="50" t="str">
        <f>IFERROR(VLOOKUP($A481,EVENTO!$A$2:$C$4999,2,FALSE),"")</f>
        <v>CADASTRO</v>
      </c>
      <c r="C481" s="50" t="str">
        <f>IFERROR(VLOOKUP($A481,EVENTO!$A$2:$C$4999,3,FALSE),"")</f>
        <v>REPRESENTAÇÃO DO MUNICÍPIO DE PALMAS - SECRETARIA MUNICIPAL DO GABINETE DO PREFEITO EM BRASILIA </v>
      </c>
      <c r="D481" s="6" t="s">
        <v>1868</v>
      </c>
      <c r="E481" s="78" t="s">
        <v>1868</v>
      </c>
      <c r="F481" s="9" t="s">
        <v>2110</v>
      </c>
      <c r="G481" s="6">
        <v>200.0</v>
      </c>
      <c r="H481" s="79">
        <v>0.14</v>
      </c>
    </row>
    <row r="482">
      <c r="A482" s="6">
        <v>560.0</v>
      </c>
      <c r="B482" s="50" t="str">
        <f>IFERROR(VLOOKUP($A482,EVENTO!$A$2:$C$4999,2,FALSE),"")</f>
        <v>CADASTRO</v>
      </c>
      <c r="C482" s="50" t="str">
        <f>IFERROR(VLOOKUP($A482,EVENTO!$A$2:$C$4999,3,FALSE),"")</f>
        <v>REPRESENTAÇÃO DO MUNICÍPIO DE PALMAS - SECRETARIA MUNICIPAL DO GABINETE DO PREFEITO EM BRASILIA </v>
      </c>
      <c r="D482" s="6" t="s">
        <v>1881</v>
      </c>
      <c r="E482" s="78" t="s">
        <v>1881</v>
      </c>
      <c r="F482" s="9" t="s">
        <v>2110</v>
      </c>
      <c r="G482" s="6">
        <v>100.0</v>
      </c>
      <c r="H482" s="79">
        <v>0.7</v>
      </c>
    </row>
    <row r="483">
      <c r="A483" s="6">
        <v>561.0</v>
      </c>
      <c r="B483" s="50" t="str">
        <f>IFERROR(VLOOKUP($A483,EVENTO!$A$2:$C$4999,2,FALSE),"")</f>
        <v>CADASTRO</v>
      </c>
      <c r="C483" s="50" t="str">
        <f>IFERROR(VLOOKUP($A483,EVENTO!$A$2:$C$4999,3,FALSE),"")</f>
        <v>VICE-PREFEITURA DE SÃO LUIS - GAVIC</v>
      </c>
      <c r="D483" s="6" t="s">
        <v>1868</v>
      </c>
      <c r="E483" s="9" t="s">
        <v>2157</v>
      </c>
      <c r="F483" s="9" t="s">
        <v>2148</v>
      </c>
      <c r="G483" s="6">
        <v>3000.0</v>
      </c>
      <c r="H483" s="80"/>
    </row>
    <row r="484">
      <c r="A484" s="6">
        <v>561.0</v>
      </c>
      <c r="B484" s="50" t="str">
        <f>IFERROR(VLOOKUP($A484,EVENTO!$A$2:$C$4999,2,FALSE),"")</f>
        <v>CADASTRO</v>
      </c>
      <c r="C484" s="50" t="str">
        <f>IFERROR(VLOOKUP($A484,EVENTO!$A$2:$C$4999,3,FALSE),"")</f>
        <v>VICE-PREFEITURA DE SÃO LUIS - GAVIC</v>
      </c>
      <c r="D484" s="6" t="s">
        <v>1863</v>
      </c>
      <c r="E484" s="9" t="s">
        <v>2164</v>
      </c>
      <c r="F484" s="9" t="s">
        <v>2148</v>
      </c>
      <c r="G484" s="6">
        <v>2000.0</v>
      </c>
      <c r="H484" s="80"/>
    </row>
    <row r="485">
      <c r="A485" s="6">
        <v>576.0</v>
      </c>
      <c r="B485" s="50" t="str">
        <f>IFERROR(VLOOKUP($A485,EVENTO!$A$2:$C$4999,2,FALSE),"")</f>
        <v>CADASTRO</v>
      </c>
      <c r="C485" s="50" t="str">
        <f>IFERROR(VLOOKUP($A485,EVENTO!$A$2:$C$4999,3,FALSE),"")</f>
        <v>MUNICIPIO DE CANINDÉ - CÂMARA MUNICIPAL DE CANINDÉ</v>
      </c>
      <c r="D485" s="6" t="s">
        <v>1897</v>
      </c>
      <c r="E485" s="9" t="s">
        <v>2157</v>
      </c>
      <c r="F485" s="9" t="s">
        <v>2148</v>
      </c>
      <c r="G485" s="6">
        <v>5000.0</v>
      </c>
      <c r="H485" s="80"/>
    </row>
    <row r="486">
      <c r="A486" s="6">
        <v>600.0</v>
      </c>
      <c r="B486" s="50" t="str">
        <f>IFERROR(VLOOKUP($A486,EVENTO!$A$2:$C$4999,2,FALSE),"")</f>
        <v>CADASTRO</v>
      </c>
      <c r="C486" s="50" t="str">
        <f>IFERROR(VLOOKUP($A486,EVENTO!$A$2:$C$4999,3,FALSE),"")</f>
        <v>HF DA ROCHA COMÉRCIO E SERVIÇOS DE INFORMÁTICA</v>
      </c>
      <c r="D486" s="6" t="s">
        <v>1938</v>
      </c>
      <c r="E486" s="9" t="s">
        <v>2161</v>
      </c>
      <c r="F486" s="9" t="s">
        <v>2165</v>
      </c>
      <c r="G486" s="28">
        <v>1000.0</v>
      </c>
      <c r="H486" s="79">
        <v>0.28</v>
      </c>
    </row>
    <row r="487">
      <c r="A487" s="6">
        <v>603.0</v>
      </c>
      <c r="B487" s="50" t="str">
        <f>IFERROR(VLOOKUP($A487,EVENTO!$A$2:$C$4999,2,FALSE),"")</f>
        <v>APOSTILAMENTO</v>
      </c>
      <c r="C487" s="50" t="str">
        <f>IFERROR(VLOOKUP($A487,EVENTO!$A$2:$C$4999,3,FALSE),"")</f>
        <v>IFCE PARACURU </v>
      </c>
      <c r="D487" s="11"/>
      <c r="E487" s="3" t="s">
        <v>2108</v>
      </c>
      <c r="F487" s="9" t="s">
        <v>2109</v>
      </c>
      <c r="G487" s="6">
        <v>12000.0</v>
      </c>
      <c r="H487" s="101">
        <v>0.051367361</v>
      </c>
    </row>
    <row r="488">
      <c r="A488" s="6">
        <v>603.0</v>
      </c>
      <c r="B488" s="50" t="str">
        <f>IFERROR(VLOOKUP($A488,EVENTO!$A$2:$C$4999,2,FALSE),"")</f>
        <v>APOSTILAMENTO</v>
      </c>
      <c r="C488" s="50" t="str">
        <f>IFERROR(VLOOKUP($A488,EVENTO!$A$2:$C$4999,3,FALSE),"")</f>
        <v>IFCE PARACURU </v>
      </c>
      <c r="D488" s="11"/>
      <c r="E488" s="3" t="s">
        <v>2111</v>
      </c>
      <c r="F488" s="9" t="s">
        <v>2109</v>
      </c>
      <c r="G488" s="6">
        <v>800.0</v>
      </c>
      <c r="H488" s="101">
        <v>0.304007292</v>
      </c>
    </row>
    <row r="489">
      <c r="A489" s="6">
        <v>600.0</v>
      </c>
      <c r="B489" s="50" t="str">
        <f>IFERROR(VLOOKUP($A489,EVENTO!$A$2:$C$4999,2,FALSE),"")</f>
        <v>CADASTRO</v>
      </c>
      <c r="C489" s="50" t="str">
        <f>IFERROR(VLOOKUP($A489,EVENTO!$A$2:$C$4999,3,FALSE),"")</f>
        <v>HF DA ROCHA COMÉRCIO E SERVIÇOS DE INFORMÁTICA</v>
      </c>
      <c r="D489" s="11"/>
      <c r="E489" s="9" t="s">
        <v>2161</v>
      </c>
      <c r="F489" s="9" t="s">
        <v>2110</v>
      </c>
      <c r="H489" s="101" t="s">
        <v>2166</v>
      </c>
    </row>
    <row r="490">
      <c r="A490" s="6">
        <v>601.0</v>
      </c>
      <c r="B490" s="50" t="str">
        <f>IFERROR(VLOOKUP($A490,EVENTO!$A$2:$C$4999,2,FALSE),"")</f>
        <v>ADITIVO DE REAJUSTE E PRAZO</v>
      </c>
      <c r="C490" s="50" t="str">
        <f>IFERROR(VLOOKUP($A490,EVENTO!$A$2:$C$4999,3,FALSE),"")</f>
        <v>HF DA ROCHA COMÉRCIO E SERVIÇOS DE INFORMÁTICA</v>
      </c>
      <c r="D490" s="11"/>
      <c r="E490" s="9" t="s">
        <v>2161</v>
      </c>
      <c r="F490" s="9" t="s">
        <v>2165</v>
      </c>
      <c r="G490" s="28">
        <v>1000.0</v>
      </c>
      <c r="H490" s="79">
        <v>0.29</v>
      </c>
    </row>
    <row r="491">
      <c r="A491" s="6">
        <v>601.0</v>
      </c>
      <c r="B491" s="50" t="str">
        <f>IFERROR(VLOOKUP($A491,EVENTO!$A$2:$C$4999,2,FALSE),"")</f>
        <v>ADITIVO DE REAJUSTE E PRAZO</v>
      </c>
      <c r="C491" s="50" t="str">
        <f>IFERROR(VLOOKUP($A491,EVENTO!$A$2:$C$4999,3,FALSE),"")</f>
        <v>HF DA ROCHA COMÉRCIO E SERVIÇOS DE INFORMÁTICA</v>
      </c>
      <c r="D491" s="11"/>
      <c r="E491" s="9" t="s">
        <v>2161</v>
      </c>
      <c r="F491" s="9" t="s">
        <v>2110</v>
      </c>
      <c r="H491" s="101" t="s">
        <v>2167</v>
      </c>
    </row>
    <row r="492">
      <c r="A492" s="6">
        <v>609.0</v>
      </c>
      <c r="B492" s="50" t="str">
        <f>IFERROR(VLOOKUP($A492,EVENTO!$A$2:$C$4999,2,FALSE),"")</f>
        <v>CADASTRO</v>
      </c>
      <c r="C492" s="50" t="str">
        <f>IFERROR(VLOOKUP($A492,EVENTO!$A$2:$C$4999,3,FALSE),"")</f>
        <v>FAMA SOLUCOES EM RECUPERACAO DE CREDITO LTDA - 003/2025</v>
      </c>
      <c r="D492" s="11"/>
      <c r="E492" s="9" t="s">
        <v>2168</v>
      </c>
    </row>
    <row r="493">
      <c r="A493" s="6">
        <v>608.0</v>
      </c>
      <c r="B493" s="50" t="str">
        <f>IFERROR(VLOOKUP($A493,EVENTO!$A$2:$C$4999,2,FALSE),"")</f>
        <v>CADASTRO</v>
      </c>
      <c r="C493" s="50" t="str">
        <f>IFERROR(VLOOKUP($A493,EVENTO!$A$2:$C$4999,3,FALSE),"")</f>
        <v>G&amp;T CONTROLLER LTDA ME - 11/2025</v>
      </c>
      <c r="D493" s="6" t="s">
        <v>1943</v>
      </c>
      <c r="E493" s="9" t="s">
        <v>2169</v>
      </c>
      <c r="F493" s="9" t="s">
        <v>2148</v>
      </c>
      <c r="G493" s="6">
        <v>4000.0</v>
      </c>
      <c r="H493" s="79">
        <v>0.065</v>
      </c>
    </row>
    <row r="494">
      <c r="A494" s="6">
        <v>608.0</v>
      </c>
      <c r="B494" s="50" t="str">
        <f>IFERROR(VLOOKUP($A494,EVENTO!$A$2:$C$4999,2,FALSE),"")</f>
        <v>CADASTRO</v>
      </c>
      <c r="C494" s="50" t="str">
        <f>IFERROR(VLOOKUP($A494,EVENTO!$A$2:$C$4999,3,FALSE),"")</f>
        <v>G&amp;T CONTROLLER LTDA ME - 11/2025</v>
      </c>
      <c r="D494" s="6" t="s">
        <v>1943</v>
      </c>
      <c r="E494" s="9" t="s">
        <v>2170</v>
      </c>
      <c r="F494" s="9" t="s">
        <v>2148</v>
      </c>
      <c r="G494" s="6">
        <v>800.0</v>
      </c>
      <c r="H494" s="79">
        <v>0.15</v>
      </c>
    </row>
    <row r="495">
      <c r="A495" s="6">
        <v>611.0</v>
      </c>
      <c r="B495" s="50" t="str">
        <f>IFERROR(VLOOKUP($A495,EVENTO!$A$2:$C$4999,2,FALSE),"")</f>
        <v>CADASTRO</v>
      </c>
      <c r="C495" s="50" t="str">
        <f>IFERROR(VLOOKUP($A495,EVENTO!$A$2:$C$4999,3,FALSE),"")</f>
        <v>G&amp;T CONTROLLER LTDA ME - 0603.01</v>
      </c>
      <c r="D495" s="6" t="s">
        <v>1893</v>
      </c>
      <c r="E495" s="9" t="s">
        <v>2169</v>
      </c>
      <c r="F495" s="9" t="s">
        <v>2148</v>
      </c>
      <c r="G495" s="6">
        <v>5000.0</v>
      </c>
      <c r="H495" s="80"/>
    </row>
    <row r="496">
      <c r="A496" s="6">
        <v>612.0</v>
      </c>
      <c r="B496" s="50" t="str">
        <f>IFERROR(VLOOKUP($A496,EVENTO!$A$2:$C$4999,2,FALSE),"")</f>
        <v>CADASTRO</v>
      </c>
      <c r="C496" s="50" t="str">
        <f>IFERROR(VLOOKUP($A496,EVENTO!$A$2:$C$4999,3,FALSE),"")</f>
        <v>ÂMBITO PÚBLICO ASSESSORIA EM LICITACOES E GESTAO PUBLICA LTDA</v>
      </c>
      <c r="D496" s="6" t="s">
        <v>1949</v>
      </c>
      <c r="E496" s="78" t="s">
        <v>1868</v>
      </c>
      <c r="F496" s="9" t="s">
        <v>2148</v>
      </c>
      <c r="G496" s="6">
        <v>5000.0</v>
      </c>
      <c r="H496" s="80"/>
    </row>
    <row r="497">
      <c r="A497" s="6">
        <v>612.0</v>
      </c>
      <c r="B497" s="50" t="str">
        <f>IFERROR(VLOOKUP($A497,EVENTO!$A$2:$C$4999,2,FALSE),"")</f>
        <v>CADASTRO</v>
      </c>
      <c r="C497" s="50" t="str">
        <f>IFERROR(VLOOKUP($A497,EVENTO!$A$2:$C$4999,3,FALSE),"")</f>
        <v>ÂMBITO PÚBLICO ASSESSORIA EM LICITACOES E GESTAO PUBLICA LTDA</v>
      </c>
      <c r="D497" s="6" t="s">
        <v>1951</v>
      </c>
      <c r="E497" s="78" t="s">
        <v>2171</v>
      </c>
      <c r="F497" s="9" t="s">
        <v>2148</v>
      </c>
      <c r="G497" s="6">
        <v>1000.0</v>
      </c>
      <c r="H497" s="80"/>
    </row>
    <row r="498">
      <c r="A498" s="6">
        <v>614.0</v>
      </c>
      <c r="B498" s="50" t="str">
        <f>IFERROR(VLOOKUP($A498,EVENTO!$A$2:$C$4999,2,FALSE),"")</f>
        <v>ADITIVO DE QUANTIDADE</v>
      </c>
      <c r="C498" s="50" t="str">
        <f>IFERROR(VLOOKUP($A498,EVENTO!$A$2:$C$4999,3,FALSE),"")</f>
        <v>FAMA SOLUCOES EM RECUPERACAO DE CREDITO LTDA - 003/2025</v>
      </c>
      <c r="D498" s="6" t="s">
        <v>1954</v>
      </c>
      <c r="E498" s="9" t="s">
        <v>2168</v>
      </c>
      <c r="F498" s="117"/>
      <c r="H498" s="80"/>
    </row>
    <row r="499">
      <c r="A499" s="6">
        <v>615.0</v>
      </c>
      <c r="B499" s="50" t="str">
        <f>IFERROR(VLOOKUP($A499,EVENTO!$A$2:$C$4999,2,FALSE),"")</f>
        <v>ADITIVO DE QUANTIDADE</v>
      </c>
      <c r="C499" s="50" t="str">
        <f>IFERROR(VLOOKUP($A499,EVENTO!$A$2:$C$4999,3,FALSE),"")</f>
        <v>FAMA SOLUCOES EM RECUPERACAO DE CREDITO LTDA - 003/2025</v>
      </c>
      <c r="D499" s="6" t="s">
        <v>1954</v>
      </c>
      <c r="E499" s="9" t="s">
        <v>2168</v>
      </c>
      <c r="F499" s="117"/>
      <c r="H499" s="80"/>
    </row>
    <row r="500">
      <c r="A500" s="6">
        <v>616.0</v>
      </c>
      <c r="B500" s="50" t="str">
        <f>IFERROR(VLOOKUP($A500,EVENTO!$A$2:$C$4999,2,FALSE),"")</f>
        <v>ADITIVO DE QUANTIDADE</v>
      </c>
      <c r="C500" s="50" t="str">
        <f>IFERROR(VLOOKUP($A500,EVENTO!$A$2:$C$4999,3,FALSE),"")</f>
        <v>FAMA SOLUCOES EM RECUPERACAO DE CREDITO LTDA - 003/2025</v>
      </c>
      <c r="D500" s="6" t="s">
        <v>1954</v>
      </c>
      <c r="E500" s="9" t="s">
        <v>2168</v>
      </c>
      <c r="F500" s="117"/>
      <c r="H500" s="80"/>
    </row>
    <row r="501">
      <c r="A501" s="6">
        <v>618.0</v>
      </c>
      <c r="B501" s="50" t="str">
        <f>IFERROR(VLOOKUP($A501,EVENTO!$A$2:$C$4999,2,FALSE),"")</f>
        <v>CADASTRO</v>
      </c>
      <c r="C501" s="50" t="str">
        <f>IFERROR(VLOOKUP($A501,EVENTO!$A$2:$C$4999,3,FALSE),"")</f>
        <v>CONEXAO CONSTRUTORA EMPREENDIMENTOS E SOLUCOES LTDA</v>
      </c>
      <c r="D501" s="6" t="s">
        <v>1957</v>
      </c>
      <c r="E501" s="9" t="s">
        <v>2172</v>
      </c>
      <c r="F501" s="117"/>
      <c r="H501" s="80"/>
    </row>
    <row r="502">
      <c r="A502" s="6">
        <v>618.0</v>
      </c>
      <c r="B502" s="50" t="str">
        <f>IFERROR(VLOOKUP($A502,EVENTO!$A$2:$C$4999,2,FALSE),"")</f>
        <v>CADASTRO</v>
      </c>
      <c r="C502" s="50" t="str">
        <f>IFERROR(VLOOKUP($A502,EVENTO!$A$2:$C$4999,3,FALSE),"")</f>
        <v>CONEXAO CONSTRUTORA EMPREENDIMENTOS E SOLUCOES LTDA</v>
      </c>
      <c r="D502" s="6" t="s">
        <v>1959</v>
      </c>
      <c r="E502" s="9" t="s">
        <v>2173</v>
      </c>
      <c r="F502" s="9" t="s">
        <v>2148</v>
      </c>
      <c r="G502" s="28">
        <v>1600.0</v>
      </c>
      <c r="H502" s="79">
        <v>0.11</v>
      </c>
    </row>
    <row r="503">
      <c r="A503" s="6">
        <v>619.0</v>
      </c>
      <c r="B503" s="50" t="str">
        <f>IFERROR(VLOOKUP($A503,EVENTO!$A$2:$C$4999,2,FALSE),"")</f>
        <v>ADITIVO DE QUANTIDADE</v>
      </c>
      <c r="C503" s="50" t="str">
        <f>IFERROR(VLOOKUP($A503,EVENTO!$A$2:$C$4999,3,FALSE),"")</f>
        <v>CONEXAO CONSTRUTORA EMPREENDIMENTOS E SOLUCOES LTDA</v>
      </c>
      <c r="D503" s="6" t="s">
        <v>1957</v>
      </c>
      <c r="E503" s="9" t="s">
        <v>2172</v>
      </c>
      <c r="F503" s="117"/>
      <c r="H503" s="80"/>
    </row>
    <row r="504">
      <c r="A504" s="6">
        <v>620.0</v>
      </c>
      <c r="B504" s="50" t="str">
        <f>IFERROR(VLOOKUP($A504,EVENTO!$A$2:$C$4999,2,FALSE),"")</f>
        <v>CADASTRO</v>
      </c>
      <c r="C504" s="50" t="str">
        <f>IFERROR(VLOOKUP($A504,EVENTO!$A$2:$C$4999,3,FALSE),"")</f>
        <v>QUEIROZ EDUCACIONAL LTDA</v>
      </c>
      <c r="D504" s="6" t="s">
        <v>1964</v>
      </c>
      <c r="E504" s="9" t="s">
        <v>2174</v>
      </c>
      <c r="F504" s="117"/>
      <c r="H504" s="80"/>
    </row>
    <row r="505">
      <c r="A505" s="6">
        <v>621.0</v>
      </c>
      <c r="B505" s="50" t="str">
        <f>IFERROR(VLOOKUP($A505,EVENTO!$A$2:$C$4999,2,FALSE),"")</f>
        <v>CADASTRO</v>
      </c>
      <c r="C505" s="50" t="str">
        <f>IFERROR(VLOOKUP($A505,EVENTO!$A$2:$C$4999,3,FALSE),"")</f>
        <v>S Z SERVICOS COMERCIO E DISTRIBUICAO</v>
      </c>
      <c r="D505" s="6" t="s">
        <v>1967</v>
      </c>
      <c r="E505" s="9" t="s">
        <v>2175</v>
      </c>
      <c r="F505" s="117"/>
      <c r="H505" s="80"/>
    </row>
    <row r="506">
      <c r="A506" s="6">
        <v>622.0</v>
      </c>
      <c r="B506" s="50" t="str">
        <f>IFERROR(VLOOKUP($A506,EVENTO!$A$2:$C$4999,2,FALSE),"")</f>
        <v>ADITIVO DE QUANTIDADE</v>
      </c>
      <c r="C506" s="50" t="str">
        <f>IFERROR(VLOOKUP($A506,EVENTO!$A$2:$C$4999,3,FALSE),"")</f>
        <v>S Z SERVICOS COMERCIO E DISTRIBUICAO</v>
      </c>
      <c r="D506" s="6" t="s">
        <v>1967</v>
      </c>
      <c r="E506" s="9" t="s">
        <v>2175</v>
      </c>
      <c r="F506" s="117"/>
      <c r="H506" s="80"/>
    </row>
    <row r="507">
      <c r="A507" s="6">
        <v>623.0</v>
      </c>
      <c r="B507" s="50" t="str">
        <f>IFERROR(VLOOKUP($A507,EVENTO!$A$2:$C$4999,2,FALSE),"")</f>
        <v>CADASTRO</v>
      </c>
      <c r="C507" s="50" t="str">
        <f>IFERROR(VLOOKUP($A507,EVENTO!$A$2:$C$4999,3,FALSE),"")</f>
        <v>CASA TELES COMERCIO DE MOVEIS LTDA</v>
      </c>
      <c r="D507" s="6" t="s">
        <v>1969</v>
      </c>
      <c r="E507" s="9" t="s">
        <v>1969</v>
      </c>
      <c r="F507" s="9" t="s">
        <v>2148</v>
      </c>
      <c r="G507" s="28">
        <v>1000.0</v>
      </c>
      <c r="H507" s="79">
        <v>0.169</v>
      </c>
    </row>
    <row r="508">
      <c r="A508" s="6">
        <v>624.0</v>
      </c>
      <c r="B508" s="50" t="str">
        <f>IFERROR(VLOOKUP($A508,EVENTO!$A$2:$C$4999,2,FALSE),"")</f>
        <v>CADASTRO</v>
      </c>
      <c r="C508" s="50" t="str">
        <f>IFERROR(VLOOKUP($A508,EVENTO!$A$2:$C$4999,3,FALSE),"")</f>
        <v>Fundação Edson Queiroz</v>
      </c>
      <c r="D508" s="6" t="s">
        <v>1481</v>
      </c>
      <c r="E508" s="9" t="s">
        <v>2176</v>
      </c>
      <c r="F508" s="117"/>
      <c r="H508" s="80"/>
    </row>
    <row r="509">
      <c r="A509" s="6">
        <v>625.0</v>
      </c>
      <c r="B509" s="50" t="str">
        <f>IFERROR(VLOOKUP($A509,EVENTO!$A$2:$C$4999,2,FALSE),"")</f>
        <v>CADASTRO</v>
      </c>
      <c r="C509" s="50" t="str">
        <f>IFERROR(VLOOKUP($A509,EVENTO!$A$2:$C$4999,3,FALSE),"")</f>
        <v>TORRES ASSESSORIA EM LICITAÇÕES E GESTÃO PUBLICA LTDA,</v>
      </c>
      <c r="D509" s="6" t="s">
        <v>1970</v>
      </c>
      <c r="E509" s="9" t="s">
        <v>2177</v>
      </c>
      <c r="F509" s="117"/>
      <c r="H509" s="80"/>
    </row>
    <row r="510">
      <c r="A510" s="6">
        <v>626.0</v>
      </c>
      <c r="B510" s="50" t="str">
        <f>IFERROR(VLOOKUP($A510,EVENTO!$A$2:$C$4999,2,FALSE),"")</f>
        <v>CADASTRO</v>
      </c>
      <c r="C510" s="50" t="str">
        <f>IFERROR(VLOOKUP($A510,EVENTO!$A$2:$C$4999,3,FALSE),"")</f>
        <v>COMERCIAL DE MEDICAMENTOS CAVALCANTE LTDA - FARMÁCIA PREMIUM</v>
      </c>
      <c r="D510" s="6" t="s">
        <v>1971</v>
      </c>
      <c r="E510" s="9" t="s">
        <v>2173</v>
      </c>
      <c r="F510" s="9" t="s">
        <v>2148</v>
      </c>
      <c r="G510" s="28">
        <v>1000.0</v>
      </c>
      <c r="H510" s="79">
        <v>0.12</v>
      </c>
    </row>
    <row r="511">
      <c r="A511" s="6">
        <v>628.0</v>
      </c>
      <c r="B511" s="50" t="str">
        <f>IFERROR(VLOOKUP($A511,EVENTO!$A$2:$C$4999,2,FALSE),"")</f>
        <v>CADASTRO</v>
      </c>
      <c r="C511" s="50" t="str">
        <f>IFERROR(VLOOKUP($A511,EVENTO!$A$2:$C$4999,3,FALSE),"")</f>
        <v>SOCIEDADE PAULISTA DE MEDICINA VETERINÁRIA</v>
      </c>
      <c r="D511" s="6" t="s">
        <v>1976</v>
      </c>
      <c r="E511" s="9" t="s">
        <v>2178</v>
      </c>
      <c r="F511" s="9" t="s">
        <v>2148</v>
      </c>
      <c r="G511" s="28">
        <v>6000.0</v>
      </c>
      <c r="H511" s="79"/>
    </row>
    <row r="512">
      <c r="A512" s="6">
        <v>628.0</v>
      </c>
      <c r="B512" s="50" t="str">
        <f>IFERROR(VLOOKUP($A512,EVENTO!$A$2:$C$4999,2,FALSE),"")</f>
        <v>CADASTRO</v>
      </c>
      <c r="C512" s="50" t="str">
        <f>IFERROR(VLOOKUP($A512,EVENTO!$A$2:$C$4999,3,FALSE),"")</f>
        <v>SOCIEDADE PAULISTA DE MEDICINA VETERINÁRIA</v>
      </c>
      <c r="D512" s="6" t="s">
        <v>1976</v>
      </c>
      <c r="E512" s="9" t="s">
        <v>2178</v>
      </c>
      <c r="F512" s="9" t="s">
        <v>2110</v>
      </c>
      <c r="H512" s="79">
        <v>0.05</v>
      </c>
    </row>
    <row r="513">
      <c r="A513" s="6">
        <v>626.0</v>
      </c>
      <c r="B513" s="50" t="str">
        <f>IFERROR(VLOOKUP($A513,EVENTO!$A$2:$C$4999,2,FALSE),"")</f>
        <v>CADASTRO</v>
      </c>
      <c r="C513" s="50" t="str">
        <f>IFERROR(VLOOKUP($A513,EVENTO!$A$2:$C$4999,3,FALSE),"")</f>
        <v>COMERCIAL DE MEDICAMENTOS CAVALCANTE LTDA - FARMÁCIA PREMIUM</v>
      </c>
      <c r="D513" s="6" t="s">
        <v>1971</v>
      </c>
      <c r="E513" s="9" t="s">
        <v>2173</v>
      </c>
      <c r="F513" s="9" t="s">
        <v>2110</v>
      </c>
      <c r="G513" s="6">
        <v>0.1</v>
      </c>
      <c r="H513" s="80"/>
    </row>
    <row r="514">
      <c r="A514" s="6">
        <v>629.0</v>
      </c>
      <c r="B514" s="50" t="str">
        <f>IFERROR(VLOOKUP($A514,EVENTO!$A$2:$C$4999,2,FALSE),"")</f>
        <v>ADITIVO DE PRAZO</v>
      </c>
      <c r="C514" s="50" t="str">
        <f>IFERROR(VLOOKUP($A514,EVENTO!$A$2:$C$4999,3,FALSE),"")</f>
        <v>SOCIEDADE PAULISTA DE MEDICINA VETERINÁRIA</v>
      </c>
      <c r="D514" s="6" t="s">
        <v>1976</v>
      </c>
      <c r="E514" s="9" t="s">
        <v>2178</v>
      </c>
      <c r="F514" s="9" t="s">
        <v>2148</v>
      </c>
      <c r="G514" s="28">
        <v>6000.0</v>
      </c>
      <c r="H514" s="80"/>
    </row>
    <row r="515">
      <c r="A515" s="6">
        <v>629.0</v>
      </c>
      <c r="B515" s="50" t="str">
        <f>IFERROR(VLOOKUP($A515,EVENTO!$A$2:$C$4999,2,FALSE),"")</f>
        <v>ADITIVO DE PRAZO</v>
      </c>
      <c r="C515" s="50" t="str">
        <f>IFERROR(VLOOKUP($A515,EVENTO!$A$2:$C$4999,3,FALSE),"")</f>
        <v>SOCIEDADE PAULISTA DE MEDICINA VETERINÁRIA</v>
      </c>
      <c r="D515" s="6" t="s">
        <v>1976</v>
      </c>
      <c r="E515" s="9" t="s">
        <v>2178</v>
      </c>
      <c r="F515" s="9" t="s">
        <v>2110</v>
      </c>
      <c r="H515" s="79">
        <v>0.05</v>
      </c>
    </row>
    <row r="516">
      <c r="A516" s="6">
        <v>630.0</v>
      </c>
      <c r="B516" s="50" t="str">
        <f>IFERROR(VLOOKUP($A516,EVENTO!$A$2:$C$4999,2,FALSE),"")</f>
        <v>CADASTRO</v>
      </c>
      <c r="C516" s="50" t="str">
        <f>IFERROR(VLOOKUP($A516,EVENTO!$A$2:$C$4999,3,FALSE),"")</f>
        <v>FACULDADE CENTRO SUL LTDA</v>
      </c>
      <c r="D516" s="6" t="s">
        <v>1978</v>
      </c>
      <c r="E516" s="9" t="s">
        <v>1978</v>
      </c>
      <c r="F516" s="117"/>
      <c r="H516" s="80"/>
    </row>
    <row r="517">
      <c r="A517" s="6">
        <v>631.0</v>
      </c>
      <c r="B517" s="50" t="str">
        <f>IFERROR(VLOOKUP($A517,EVENTO!$A$2:$C$4999,2,FALSE),"")</f>
        <v>CADASTRO</v>
      </c>
      <c r="C517" s="50" t="str">
        <f>IFERROR(VLOOKUP($A517,EVENTO!$A$2:$C$4999,3,FALSE),"")</f>
        <v>INSTITUTO DE SAUDE, EDUCACAO E CULTURA - ISEC</v>
      </c>
      <c r="D517" s="6" t="s">
        <v>1980</v>
      </c>
      <c r="E517" s="9" t="s">
        <v>1978</v>
      </c>
      <c r="F517" s="117"/>
      <c r="H517" s="80"/>
    </row>
    <row r="518">
      <c r="A518" s="6">
        <v>632.0</v>
      </c>
      <c r="B518" s="50" t="str">
        <f>IFERROR(VLOOKUP($A518,EVENTO!$A$2:$C$4999,2,FALSE),"")</f>
        <v>CADASTRO</v>
      </c>
      <c r="C518" s="50" t="str">
        <f>IFERROR(VLOOKUP($A518,EVENTO!$A$2:$C$4999,3,FALSE),"")</f>
        <v>CEE - CENTRO DE EDUCACÃO ELIT LTDA</v>
      </c>
      <c r="D518" s="6" t="s">
        <v>1981</v>
      </c>
      <c r="E518" s="9" t="s">
        <v>2179</v>
      </c>
      <c r="F518" s="117"/>
      <c r="H518" s="80"/>
    </row>
    <row r="519">
      <c r="A519" s="6">
        <v>632.0</v>
      </c>
      <c r="B519" s="50" t="str">
        <f>IFERROR(VLOOKUP($A519,EVENTO!$A$2:$C$4999,2,FALSE),"")</f>
        <v>CADASTRO</v>
      </c>
      <c r="C519" s="50" t="str">
        <f>IFERROR(VLOOKUP($A519,EVENTO!$A$2:$C$4999,3,FALSE),"")</f>
        <v>CEE - CENTRO DE EDUCACÃO ELIT LTDA</v>
      </c>
      <c r="D519" s="6" t="s">
        <v>1983</v>
      </c>
      <c r="E519" s="9" t="s">
        <v>2180</v>
      </c>
      <c r="F519" s="117"/>
      <c r="H519" s="80"/>
    </row>
    <row r="520">
      <c r="A520" s="6">
        <v>633.0</v>
      </c>
      <c r="B520" s="50" t="str">
        <f>IFERROR(VLOOKUP($A520,EVENTO!$A$2:$C$4999,2,FALSE),"")</f>
        <v>CADASTRO</v>
      </c>
      <c r="C520" s="50" t="str">
        <f>IFERROR(VLOOKUP($A520,EVENTO!$A$2:$C$4999,3,FALSE),"")</f>
        <v>CASPE SERVIÇOS DE CONTABILIDADE PÚBLICA E EMPRESARIAL SS,</v>
      </c>
      <c r="D520" s="6" t="s">
        <v>1985</v>
      </c>
      <c r="E520" s="9" t="s">
        <v>2181</v>
      </c>
      <c r="F520" s="117"/>
      <c r="H520" s="80"/>
    </row>
    <row r="521">
      <c r="A521" s="6">
        <v>633.0</v>
      </c>
      <c r="B521" s="50" t="str">
        <f>IFERROR(VLOOKUP($A521,EVENTO!$A$2:$C$4999,2,FALSE),"")</f>
        <v>CADASTRO</v>
      </c>
      <c r="C521" s="50" t="str">
        <f>IFERROR(VLOOKUP($A521,EVENTO!$A$2:$C$4999,3,FALSE),"")</f>
        <v>CASPE SERVIÇOS DE CONTABILIDADE PÚBLICA E EMPRESARIAL SS,</v>
      </c>
      <c r="D521" s="6" t="s">
        <v>1987</v>
      </c>
      <c r="E521" s="9" t="s">
        <v>1987</v>
      </c>
      <c r="F521" s="117"/>
      <c r="H521" s="80"/>
    </row>
    <row r="522">
      <c r="A522" s="6">
        <v>634.0</v>
      </c>
      <c r="B522" s="50" t="str">
        <f>IFERROR(VLOOKUP($A522,EVENTO!$A$2:$C$4999,2,FALSE),"")</f>
        <v>CADASTRO</v>
      </c>
      <c r="C522" s="50" t="str">
        <f>IFERROR(VLOOKUP($A522,EVENTO!$A$2:$C$4999,3,FALSE),"")</f>
        <v>MN EMPREENDIMENTOS E SOLUÇÕES ADMINISTRATIVAS EIRELI</v>
      </c>
      <c r="D522" s="6" t="s">
        <v>1618</v>
      </c>
      <c r="E522" s="9" t="s">
        <v>1618</v>
      </c>
      <c r="F522" s="117"/>
      <c r="H522" s="80"/>
    </row>
    <row r="523">
      <c r="A523" s="6">
        <v>634.0</v>
      </c>
      <c r="B523" s="50" t="str">
        <f>IFERROR(VLOOKUP($A523,EVENTO!$A$2:$C$4999,2,FALSE),"")</f>
        <v>CADASTRO</v>
      </c>
      <c r="C523" s="50" t="str">
        <f>IFERROR(VLOOKUP($A523,EVENTO!$A$2:$C$4999,3,FALSE),"")</f>
        <v>MN EMPREENDIMENTOS E SOLUÇÕES ADMINISTRATIVAS EIRELI</v>
      </c>
      <c r="D523" s="6" t="s">
        <v>1988</v>
      </c>
      <c r="E523" s="9" t="s">
        <v>1890</v>
      </c>
      <c r="F523" s="9" t="s">
        <v>2148</v>
      </c>
      <c r="G523" s="28">
        <v>5000.0</v>
      </c>
      <c r="H523" s="79"/>
    </row>
    <row r="524">
      <c r="A524" s="6">
        <v>635.0</v>
      </c>
      <c r="B524" s="50" t="str">
        <f>IFERROR(VLOOKUP($A524,EVENTO!$A$2:$C$4999,2,FALSE),"")</f>
        <v>ADITIVO DE PRAZO</v>
      </c>
      <c r="C524" s="50" t="str">
        <f>IFERROR(VLOOKUP($A524,EVENTO!$A$2:$C$4999,3,FALSE),"")</f>
        <v>MN EMPREENDIMENTOS E SOLUÇÕES ADMINISTRATIVAS EIRELI</v>
      </c>
      <c r="D524" s="6" t="s">
        <v>1618</v>
      </c>
      <c r="E524" s="9" t="s">
        <v>2182</v>
      </c>
      <c r="F524" s="117"/>
      <c r="H524" s="80"/>
    </row>
    <row r="525">
      <c r="A525" s="6">
        <v>635.0</v>
      </c>
      <c r="B525" s="50" t="str">
        <f>IFERROR(VLOOKUP($A525,EVENTO!$A$2:$C$4999,2,FALSE),"")</f>
        <v>ADITIVO DE PRAZO</v>
      </c>
      <c r="C525" s="50" t="str">
        <f>IFERROR(VLOOKUP($A525,EVENTO!$A$2:$C$4999,3,FALSE),"")</f>
        <v>MN EMPREENDIMENTOS E SOLUÇÕES ADMINISTRATIVAS EIRELI</v>
      </c>
      <c r="D525" s="6" t="s">
        <v>1988</v>
      </c>
      <c r="E525" s="78" t="s">
        <v>1988</v>
      </c>
      <c r="F525" s="9" t="s">
        <v>2148</v>
      </c>
      <c r="G525" s="28">
        <v>5000.0</v>
      </c>
      <c r="H525" s="79"/>
    </row>
    <row r="526">
      <c r="A526" s="6">
        <v>635.0</v>
      </c>
      <c r="B526" s="50" t="str">
        <f>IFERROR(VLOOKUP($A526,EVENTO!$A$2:$C$4999,2,FALSE),"")</f>
        <v>ADITIVO DE PRAZO</v>
      </c>
      <c r="C526" s="50" t="str">
        <f>IFERROR(VLOOKUP($A526,EVENTO!$A$2:$C$4999,3,FALSE),"")</f>
        <v>MN EMPREENDIMENTOS E SOLUÇÕES ADMINISTRATIVAS EIRELI</v>
      </c>
      <c r="D526" s="6" t="s">
        <v>1989</v>
      </c>
      <c r="E526" s="78" t="s">
        <v>1989</v>
      </c>
      <c r="F526" s="9" t="s">
        <v>2148</v>
      </c>
      <c r="G526" s="28">
        <v>2000.0</v>
      </c>
      <c r="H526" s="79"/>
    </row>
    <row r="527">
      <c r="A527" s="6">
        <v>634.0</v>
      </c>
      <c r="B527" s="50" t="str">
        <f>IFERROR(VLOOKUP($A527,EVENTO!$A$2:$C$4999,2,FALSE),"")</f>
        <v>CADASTRO</v>
      </c>
      <c r="C527" s="50" t="str">
        <f>IFERROR(VLOOKUP($A527,EVENTO!$A$2:$C$4999,3,FALSE),"")</f>
        <v>MN EMPREENDIMENTOS E SOLUÇÕES ADMINISTRATIVAS EIRELI</v>
      </c>
      <c r="D527" s="6" t="s">
        <v>1989</v>
      </c>
      <c r="E527" s="78" t="s">
        <v>1989</v>
      </c>
      <c r="F527" s="9" t="s">
        <v>2148</v>
      </c>
      <c r="G527" s="28">
        <v>2000.0</v>
      </c>
      <c r="H527" s="80"/>
    </row>
    <row r="528">
      <c r="A528" s="6">
        <v>636.0</v>
      </c>
      <c r="B528" s="50" t="str">
        <f>IFERROR(VLOOKUP($A528,EVENTO!$A$2:$C$4999,2,FALSE),"")</f>
        <v>ADITIVO DE PRAZO</v>
      </c>
      <c r="C528" s="50" t="str">
        <f>IFERROR(VLOOKUP($A528,EVENTO!$A$2:$C$4999,3,FALSE),"")</f>
        <v>MN EMPREENDIMENTOS E SOLUÇÕES ADMINISTRATIVAS EIRELI</v>
      </c>
      <c r="D528" s="6" t="s">
        <v>1618</v>
      </c>
      <c r="E528" s="78" t="s">
        <v>1618</v>
      </c>
      <c r="F528" s="117"/>
      <c r="H528" s="80"/>
    </row>
    <row r="529">
      <c r="A529" s="6">
        <v>636.0</v>
      </c>
      <c r="B529" s="50" t="str">
        <f>IFERROR(VLOOKUP($A529,EVENTO!$A$2:$C$4999,2,FALSE),"")</f>
        <v>ADITIVO DE PRAZO</v>
      </c>
      <c r="C529" s="50" t="str">
        <f>IFERROR(VLOOKUP($A529,EVENTO!$A$2:$C$4999,3,FALSE),"")</f>
        <v>MN EMPREENDIMENTOS E SOLUÇÕES ADMINISTRATIVAS EIRELI</v>
      </c>
      <c r="D529" s="6" t="s">
        <v>1988</v>
      </c>
      <c r="E529" s="78" t="s">
        <v>1988</v>
      </c>
      <c r="F529" s="9" t="s">
        <v>2183</v>
      </c>
      <c r="G529" s="28">
        <v>5000.0</v>
      </c>
      <c r="H529" s="80"/>
    </row>
    <row r="530">
      <c r="A530" s="6">
        <v>636.0</v>
      </c>
      <c r="B530" s="50" t="str">
        <f>IFERROR(VLOOKUP($A530,EVENTO!$A$2:$C$4999,2,FALSE),"")</f>
        <v>ADITIVO DE PRAZO</v>
      </c>
      <c r="C530" s="50" t="str">
        <f>IFERROR(VLOOKUP($A530,EVENTO!$A$2:$C$4999,3,FALSE),"")</f>
        <v>MN EMPREENDIMENTOS E SOLUÇÕES ADMINISTRATIVAS EIRELI</v>
      </c>
      <c r="D530" s="6" t="s">
        <v>1989</v>
      </c>
      <c r="E530" s="78" t="s">
        <v>1989</v>
      </c>
      <c r="F530" s="9" t="s">
        <v>2183</v>
      </c>
      <c r="G530" s="28">
        <v>2000.0</v>
      </c>
      <c r="H530" s="80"/>
    </row>
    <row r="531">
      <c r="A531" s="6">
        <v>637.0</v>
      </c>
      <c r="B531" s="50" t="str">
        <f>IFERROR(VLOOKUP($A531,EVENTO!$A$2:$C$4999,2,FALSE),"")</f>
        <v>ADITIVO DE PRAZO</v>
      </c>
      <c r="C531" s="50" t="str">
        <f>IFERROR(VLOOKUP($A531,EVENTO!$A$2:$C$4999,3,FALSE),"")</f>
        <v>MN EMPREENDIMENTOS E SOLUÇÕES ADMINISTRATIVAS EIRELI</v>
      </c>
      <c r="D531" s="6" t="s">
        <v>1618</v>
      </c>
      <c r="E531" s="78" t="s">
        <v>1618</v>
      </c>
      <c r="F531" s="117"/>
      <c r="H531" s="80"/>
    </row>
    <row r="532">
      <c r="A532" s="6">
        <v>637.0</v>
      </c>
      <c r="B532" s="50" t="str">
        <f>IFERROR(VLOOKUP($A532,EVENTO!$A$2:$C$4999,2,FALSE),"")</f>
        <v>ADITIVO DE PRAZO</v>
      </c>
      <c r="C532" s="50" t="str">
        <f>IFERROR(VLOOKUP($A532,EVENTO!$A$2:$C$4999,3,FALSE),"")</f>
        <v>MN EMPREENDIMENTOS E SOLUÇÕES ADMINISTRATIVAS EIRELI</v>
      </c>
      <c r="D532" s="6" t="s">
        <v>1988</v>
      </c>
      <c r="E532" s="78" t="s">
        <v>1988</v>
      </c>
      <c r="F532" s="9" t="s">
        <v>2183</v>
      </c>
      <c r="G532" s="28">
        <v>5000.0</v>
      </c>
      <c r="H532" s="80"/>
    </row>
    <row r="533">
      <c r="A533" s="6">
        <v>637.0</v>
      </c>
      <c r="B533" s="50" t="str">
        <f>IFERROR(VLOOKUP($A533,EVENTO!$A$2:$C$4999,2,FALSE),"")</f>
        <v>ADITIVO DE PRAZO</v>
      </c>
      <c r="C533" s="50" t="str">
        <f>IFERROR(VLOOKUP($A533,EVENTO!$A$2:$C$4999,3,FALSE),"")</f>
        <v>MN EMPREENDIMENTOS E SOLUÇÕES ADMINISTRATIVAS EIRELI</v>
      </c>
      <c r="D533" s="6" t="s">
        <v>1989</v>
      </c>
      <c r="E533" s="78" t="s">
        <v>1989</v>
      </c>
      <c r="F533" s="9" t="s">
        <v>2183</v>
      </c>
      <c r="G533" s="28">
        <v>2000.0</v>
      </c>
      <c r="H533" s="80"/>
    </row>
    <row r="534">
      <c r="A534" s="6">
        <v>607.0</v>
      </c>
      <c r="B534" s="50" t="str">
        <f>IFERROR(VLOOKUP($A534,EVENTO!$A$2:$C$4999,2,FALSE),"")</f>
        <v>CADASTRO</v>
      </c>
      <c r="C534" s="50" t="str">
        <f>IFERROR(VLOOKUP($A534,EVENTO!$A$2:$C$4999,3,FALSE),"")</f>
        <v>IDT</v>
      </c>
      <c r="D534" s="6" t="s">
        <v>1992</v>
      </c>
      <c r="E534" s="117"/>
      <c r="F534" s="117"/>
      <c r="G534" s="6">
        <v>1.0</v>
      </c>
      <c r="H534" s="79">
        <v>2775.0</v>
      </c>
    </row>
    <row r="535">
      <c r="A535" s="6">
        <v>656.0</v>
      </c>
      <c r="B535" s="50" t="str">
        <f>IFERROR(VLOOKUP($A535,EVENTO!$A$2:$C$4999,2,FALSE),"")</f>
        <v>CADASTRO</v>
      </c>
      <c r="C535" s="50" t="str">
        <f>IFERROR(VLOOKUP($A535,EVENTO!$A$2:$C$4999,3,FALSE),"")</f>
        <v>CONSÓRCIO PÚBLICO DE SAÚDE DA MICRORREGIÃO DE CRATO – CPSMC</v>
      </c>
      <c r="D535" s="6" t="s">
        <v>2008</v>
      </c>
      <c r="F535" s="9" t="s">
        <v>2183</v>
      </c>
      <c r="G535" s="28">
        <v>60000.0</v>
      </c>
      <c r="H535" s="79">
        <v>0.1</v>
      </c>
    </row>
    <row r="536">
      <c r="A536" s="6">
        <v>693.0</v>
      </c>
      <c r="B536" s="50" t="str">
        <f>IFERROR(VLOOKUP($A536,EVENTO!$A$2:$C$4999,2,FALSE),"")</f>
        <v>CADASTRO</v>
      </c>
      <c r="C536" s="50" t="str">
        <f>IFERROR(VLOOKUP($A536,EVENTO!$A$2:$C$4999,3,FALSE),"")</f>
        <v>FAMA SOLUCOES EM RECUPERACAO DE CREDITO LTDA - 006/2025</v>
      </c>
      <c r="D536" s="6" t="s">
        <v>2010</v>
      </c>
      <c r="E536" s="6" t="s">
        <v>2184</v>
      </c>
      <c r="H536" s="80"/>
    </row>
    <row r="537">
      <c r="A537" s="6">
        <v>695.0</v>
      </c>
      <c r="B537" s="50" t="str">
        <f>IFERROR(VLOOKUP($A537,EVENTO!$A$2:$C$4999,2,FALSE),"")</f>
        <v>ADITIVO DE QUANTIDADE</v>
      </c>
      <c r="C537" s="50" t="str">
        <f>IFERROR(VLOOKUP($A537,EVENTO!$A$2:$C$4999,3,FALSE),"")</f>
        <v>FAMA SOLUCOES EM RECUPERACAO DE CREDITO LTDA - 006/2025</v>
      </c>
      <c r="D537" s="6" t="s">
        <v>2010</v>
      </c>
      <c r="E537" s="9" t="s">
        <v>2184</v>
      </c>
      <c r="F537" s="117"/>
      <c r="H537" s="80"/>
    </row>
    <row r="538">
      <c r="A538" s="6">
        <v>697.0</v>
      </c>
      <c r="B538" s="50" t="str">
        <f>IFERROR(VLOOKUP($A538,EVENTO!$A$2:$C$4999,2,FALSE),"")</f>
        <v>CADASTRO</v>
      </c>
      <c r="C538" s="50" t="str">
        <f>IFERROR(VLOOKUP($A538,EVENTO!$A$2:$C$4999,3,FALSE),"")</f>
        <v>CLAREAR COMÉRCIO E SERVIÇOS DE MÃO DE OBRA LTDA,</v>
      </c>
      <c r="D538" s="6" t="s">
        <v>2015</v>
      </c>
      <c r="E538" s="9" t="s">
        <v>2185</v>
      </c>
      <c r="F538" s="9" t="s">
        <v>2186</v>
      </c>
      <c r="H538" s="80"/>
    </row>
    <row r="539">
      <c r="A539" s="6">
        <v>697.0</v>
      </c>
      <c r="B539" s="50" t="str">
        <f>IFERROR(VLOOKUP($A539,EVENTO!$A$2:$C$4999,2,FALSE),"")</f>
        <v>CADASTRO</v>
      </c>
      <c r="C539" s="50" t="str">
        <f>IFERROR(VLOOKUP($A539,EVENTO!$A$2:$C$4999,3,FALSE),"")</f>
        <v>CLAREAR COMÉRCIO E SERVIÇOS DE MÃO DE OBRA LTDA,</v>
      </c>
      <c r="D539" s="6" t="s">
        <v>2017</v>
      </c>
      <c r="E539" s="9" t="s">
        <v>2018</v>
      </c>
      <c r="F539" s="117"/>
      <c r="H539" s="80"/>
    </row>
    <row r="540">
      <c r="A540" s="6">
        <v>698.0</v>
      </c>
      <c r="B540" s="50" t="str">
        <f>IFERROR(VLOOKUP($A540,EVENTO!$A$2:$C$4999,2,FALSE),"")</f>
        <v>ADITIVO DE SUPRESSÃO E QUANTIDADE</v>
      </c>
      <c r="C540" s="50" t="str">
        <f>IFERROR(VLOOKUP($A540,EVENTO!$A$2:$C$4999,3,FALSE),"")</f>
        <v>CLAREAR COMÉRCIO E SERVIÇOS DE MÃO DE OBRA LTDA,</v>
      </c>
      <c r="D540" s="6" t="s">
        <v>2022</v>
      </c>
      <c r="E540" s="9" t="s">
        <v>2187</v>
      </c>
      <c r="F540" s="117"/>
      <c r="H540" s="80"/>
    </row>
    <row r="541">
      <c r="A541" s="6">
        <v>698.0</v>
      </c>
      <c r="B541" s="50" t="str">
        <f>IFERROR(VLOOKUP($A541,EVENTO!$A$2:$C$4999,2,FALSE),"")</f>
        <v>ADITIVO DE SUPRESSÃO E QUANTIDADE</v>
      </c>
      <c r="C541" s="50" t="str">
        <f>IFERROR(VLOOKUP($A541,EVENTO!$A$2:$C$4999,3,FALSE),"")</f>
        <v>CLAREAR COMÉRCIO E SERVIÇOS DE MÃO DE OBRA LTDA,</v>
      </c>
      <c r="D541" s="6" t="s">
        <v>2019</v>
      </c>
      <c r="E541" s="9" t="s">
        <v>2185</v>
      </c>
      <c r="F541" s="9" t="s">
        <v>2186</v>
      </c>
      <c r="H541" s="80"/>
    </row>
    <row r="542">
      <c r="A542" s="6">
        <v>698.0</v>
      </c>
      <c r="B542" s="50" t="str">
        <f>IFERROR(VLOOKUP($A542,EVENTO!$A$2:$C$4999,2,FALSE),"")</f>
        <v>ADITIVO DE SUPRESSÃO E QUANTIDADE</v>
      </c>
      <c r="C542" s="50" t="str">
        <f>IFERROR(VLOOKUP($A542,EVENTO!$A$2:$C$4999,3,FALSE),"")</f>
        <v>CLAREAR COMÉRCIO E SERVIÇOS DE MÃO DE OBRA LTDA,</v>
      </c>
      <c r="D542" s="6" t="s">
        <v>2020</v>
      </c>
      <c r="E542" s="9" t="s">
        <v>2021</v>
      </c>
      <c r="F542" s="9" t="s">
        <v>2188</v>
      </c>
      <c r="G542" s="28">
        <v>5000.0</v>
      </c>
      <c r="H542" s="79">
        <v>0.05</v>
      </c>
    </row>
    <row r="543">
      <c r="A543" s="6">
        <v>699.0</v>
      </c>
      <c r="B543" s="50" t="str">
        <f>IFERROR(VLOOKUP($A543,EVENTO!$A$2:$C$4999,2,FALSE),"")</f>
        <v>ADITIVO DE PRAZO</v>
      </c>
      <c r="C543" s="50" t="str">
        <f>IFERROR(VLOOKUP($A543,EVENTO!$A$2:$C$4999,3,FALSE),"")</f>
        <v>CLAREAR COMÉRCIO E SERVIÇOS DE MÃO DE OBRA LTDA,</v>
      </c>
      <c r="D543" s="6" t="s">
        <v>2023</v>
      </c>
      <c r="E543" s="9" t="s">
        <v>2021</v>
      </c>
      <c r="F543" s="9" t="s">
        <v>2188</v>
      </c>
      <c r="G543" s="28">
        <v>5000.0</v>
      </c>
      <c r="H543" s="79">
        <v>0.05</v>
      </c>
    </row>
    <row r="544">
      <c r="A544" s="6">
        <v>699.0</v>
      </c>
      <c r="B544" s="50" t="str">
        <f>IFERROR(VLOOKUP($A544,EVENTO!$A$2:$C$4999,2,FALSE),"")</f>
        <v>ADITIVO DE PRAZO</v>
      </c>
      <c r="C544" s="50" t="str">
        <f>IFERROR(VLOOKUP($A544,EVENTO!$A$2:$C$4999,3,FALSE),"")</f>
        <v>CLAREAR COMÉRCIO E SERVIÇOS DE MÃO DE OBRA LTDA,</v>
      </c>
      <c r="D544" s="6" t="s">
        <v>2017</v>
      </c>
      <c r="E544" s="9" t="s">
        <v>2187</v>
      </c>
      <c r="F544" s="117"/>
      <c r="H544" s="80"/>
    </row>
    <row r="545">
      <c r="A545" s="6">
        <v>700.0</v>
      </c>
      <c r="B545" s="50" t="str">
        <f>IFERROR(VLOOKUP($A545,EVENTO!$A$2:$C$4999,2,FALSE),"")</f>
        <v>CADASTRO</v>
      </c>
      <c r="C545" s="50" t="str">
        <f>IFERROR(VLOOKUP($A545,EVENTO!$A$2:$C$4999,3,FALSE),"")</f>
        <v>JOANA D ARC CLAUDIO BRASIL DODO,</v>
      </c>
      <c r="D545" s="6" t="s">
        <v>1964</v>
      </c>
      <c r="E545" s="6" t="s">
        <v>2024</v>
      </c>
      <c r="F545" s="117"/>
      <c r="H545" s="80"/>
    </row>
    <row r="546">
      <c r="A546" s="6">
        <v>700.0</v>
      </c>
      <c r="B546" s="50" t="str">
        <f>IFERROR(VLOOKUP($A546,EVENTO!$A$2:$C$4999,2,FALSE),"")</f>
        <v>CADASTRO</v>
      </c>
      <c r="C546" s="50" t="str">
        <f>IFERROR(VLOOKUP($A546,EVENTO!$A$2:$C$4999,3,FALSE),"")</f>
        <v>JOANA D ARC CLAUDIO BRASIL DODO,</v>
      </c>
      <c r="D546" s="6" t="s">
        <v>2025</v>
      </c>
      <c r="E546" s="9" t="s">
        <v>2026</v>
      </c>
      <c r="F546" s="117"/>
      <c r="H546" s="80"/>
    </row>
    <row r="547">
      <c r="A547" s="6">
        <v>701.0</v>
      </c>
      <c r="B547" s="50" t="str">
        <f>IFERROR(VLOOKUP($A547,EVENTO!$A$2:$C$4999,2,FALSE),"")</f>
        <v>CADASTRO</v>
      </c>
      <c r="C547" s="50" t="str">
        <f>IFERROR(VLOOKUP($A547,EVENTO!$A$2:$C$4999,3,FALSE),"")</f>
        <v>CÉLEBRE CONTABILIDADE E ASSESSORIA S/S LTDA,</v>
      </c>
      <c r="D547" s="6" t="s">
        <v>2027</v>
      </c>
      <c r="E547" s="9" t="s">
        <v>2189</v>
      </c>
      <c r="F547" s="9" t="s">
        <v>2183</v>
      </c>
      <c r="G547" s="28">
        <v>3000.0</v>
      </c>
      <c r="H547" s="79">
        <v>0.055</v>
      </c>
    </row>
    <row r="548">
      <c r="A548" s="6">
        <v>702.0</v>
      </c>
      <c r="B548" s="50" t="str">
        <f>IFERROR(VLOOKUP($A548,EVENTO!$A$2:$C$4999,2,FALSE),"")</f>
        <v>ADITIVO DE PRAZO</v>
      </c>
      <c r="C548" s="50" t="str">
        <f>IFERROR(VLOOKUP($A548,EVENTO!$A$2:$C$4999,3,FALSE),"")</f>
        <v>CÉLEBRE CONTABILIDADE E ASSESSORIA S/S LTDA,</v>
      </c>
      <c r="D548" s="6" t="s">
        <v>2027</v>
      </c>
      <c r="E548" s="9" t="s">
        <v>2189</v>
      </c>
      <c r="F548" s="9" t="s">
        <v>2183</v>
      </c>
      <c r="G548" s="28">
        <v>3000.0</v>
      </c>
      <c r="H548" s="79">
        <v>0.055</v>
      </c>
    </row>
    <row r="549">
      <c r="A549" s="6">
        <v>703.0</v>
      </c>
      <c r="B549" s="50" t="str">
        <f>IFERROR(VLOOKUP($A549,EVENTO!$A$2:$C$4999,2,FALSE),"")</f>
        <v>CADASTRO</v>
      </c>
      <c r="C549" s="50" t="str">
        <f>IFERROR(VLOOKUP($A549,EVENTO!$A$2:$C$4999,3,FALSE),"")</f>
        <v>R 2 LOGISTICA E TRANSPORTES LTDA,</v>
      </c>
      <c r="D549" s="6" t="s">
        <v>2027</v>
      </c>
      <c r="E549" s="9" t="s">
        <v>2189</v>
      </c>
      <c r="F549" s="9" t="s">
        <v>2190</v>
      </c>
      <c r="H549" s="80"/>
    </row>
    <row r="550">
      <c r="A550" s="6">
        <v>704.0</v>
      </c>
      <c r="B550" s="50" t="str">
        <f>IFERROR(VLOOKUP($A550,EVENTO!$A$2:$C$4999,2,FALSE),"")</f>
        <v>CADASTRO</v>
      </c>
      <c r="C550" s="50" t="str">
        <f>IFERROR(VLOOKUP($A550,EVENTO!$A$2:$C$4999,3,FALSE),"")</f>
        <v>COMPANHIA DE INFRAESTRUTURA, TECNOLOGIA E INOVACAO(CITI),</v>
      </c>
      <c r="D550" s="6" t="s">
        <v>1594</v>
      </c>
      <c r="E550" s="6" t="s">
        <v>2028</v>
      </c>
      <c r="F550" s="117"/>
      <c r="H550" s="80"/>
    </row>
    <row r="551">
      <c r="A551" s="6">
        <v>704.0</v>
      </c>
      <c r="B551" s="50" t="str">
        <f>IFERROR(VLOOKUP($A551,EVENTO!$A$2:$C$4999,2,FALSE),"")</f>
        <v>CADASTRO</v>
      </c>
      <c r="C551" s="50" t="str">
        <f>IFERROR(VLOOKUP($A551,EVENTO!$A$2:$C$4999,3,FALSE),"")</f>
        <v>COMPANHIA DE INFRAESTRUTURA, TECNOLOGIA E INOVACAO(CITI),</v>
      </c>
      <c r="D551" s="6" t="s">
        <v>2029</v>
      </c>
      <c r="E551" s="9" t="s">
        <v>2029</v>
      </c>
      <c r="F551" s="117"/>
      <c r="H551" s="80"/>
    </row>
    <row r="552">
      <c r="A552" s="6">
        <v>705.0</v>
      </c>
      <c r="B552" s="50" t="str">
        <f>IFERROR(VLOOKUP($A552,EVENTO!$A$2:$C$4999,2,FALSE),"")</f>
        <v>ADITIVO DE SUPRESSÃO E QUANTIDADE</v>
      </c>
      <c r="C552" s="50" t="str">
        <f>IFERROR(VLOOKUP($A552,EVENTO!$A$2:$C$4999,3,FALSE),"")</f>
        <v>COMPANHIA DE INFRAESTRUTURA, TECNOLOGIA E INOVACAO(CITI),</v>
      </c>
      <c r="D552" s="6" t="s">
        <v>2031</v>
      </c>
      <c r="E552" s="6" t="s">
        <v>2028</v>
      </c>
      <c r="F552" s="117"/>
      <c r="H552" s="80"/>
    </row>
    <row r="553">
      <c r="A553" s="6">
        <v>705.0</v>
      </c>
      <c r="B553" s="50" t="str">
        <f>IFERROR(VLOOKUP($A553,EVENTO!$A$2:$C$4999,2,FALSE),"")</f>
        <v>ADITIVO DE SUPRESSÃO E QUANTIDADE</v>
      </c>
      <c r="C553" s="50" t="str">
        <f>IFERROR(VLOOKUP($A553,EVENTO!$A$2:$C$4999,3,FALSE),"")</f>
        <v>COMPANHIA DE INFRAESTRUTURA, TECNOLOGIA E INOVACAO(CITI),</v>
      </c>
      <c r="D553" s="6" t="s">
        <v>2033</v>
      </c>
      <c r="E553" s="9" t="s">
        <v>2029</v>
      </c>
      <c r="F553" s="117"/>
      <c r="H553" s="80"/>
    </row>
    <row r="554">
      <c r="A554" s="6">
        <v>705.0</v>
      </c>
      <c r="B554" s="50" t="str">
        <f>IFERROR(VLOOKUP($A554,EVENTO!$A$2:$C$4999,2,FALSE),"")</f>
        <v>ADITIVO DE SUPRESSÃO E QUANTIDADE</v>
      </c>
      <c r="C554" s="50" t="str">
        <f>IFERROR(VLOOKUP($A554,EVENTO!$A$2:$C$4999,3,FALSE),"")</f>
        <v>COMPANHIA DE INFRAESTRUTURA, TECNOLOGIA E INOVACAO(CITI),</v>
      </c>
      <c r="D554" s="6" t="s">
        <v>2034</v>
      </c>
      <c r="E554" s="6" t="s">
        <v>2035</v>
      </c>
      <c r="F554" s="117"/>
      <c r="H554" s="80"/>
    </row>
    <row r="555">
      <c r="A555" s="6">
        <v>705.0</v>
      </c>
      <c r="B555" s="50" t="str">
        <f>IFERROR(VLOOKUP($A555,EVENTO!$A$2:$C$4999,2,FALSE),"")</f>
        <v>ADITIVO DE SUPRESSÃO E QUANTIDADE</v>
      </c>
      <c r="C555" s="50" t="str">
        <f>IFERROR(VLOOKUP($A555,EVENTO!$A$2:$C$4999,3,FALSE),"")</f>
        <v>COMPANHIA DE INFRAESTRUTURA, TECNOLOGIA E INOVACAO(CITI),</v>
      </c>
      <c r="D555" s="6" t="s">
        <v>2036</v>
      </c>
      <c r="E555" s="6" t="s">
        <v>2036</v>
      </c>
      <c r="F555" s="117"/>
      <c r="H555" s="80"/>
    </row>
    <row r="556">
      <c r="A556" s="6">
        <v>706.0</v>
      </c>
      <c r="B556" s="50" t="str">
        <f>IFERROR(VLOOKUP($A556,EVENTO!$A$2:$C$4999,2,FALSE),"")</f>
        <v>CADASTRO</v>
      </c>
      <c r="C556" s="50" t="str">
        <f>IFERROR(VLOOKUP($A556,EVENTO!$A$2:$C$4999,3,FALSE),"")</f>
        <v>ACG CONSTRUÇÕES E CONSERVAÇÃO AMBIENTAL LTDA,</v>
      </c>
      <c r="D556" s="6" t="s">
        <v>1964</v>
      </c>
      <c r="E556" s="6" t="s">
        <v>2037</v>
      </c>
      <c r="F556" s="117"/>
      <c r="H556" s="80"/>
    </row>
    <row r="557">
      <c r="A557" s="6">
        <v>706.0</v>
      </c>
      <c r="B557" s="50" t="str">
        <f>IFERROR(VLOOKUP($A557,EVENTO!$A$2:$C$4999,2,FALSE),"")</f>
        <v>CADASTRO</v>
      </c>
      <c r="C557" s="50" t="str">
        <f>IFERROR(VLOOKUP($A557,EVENTO!$A$2:$C$4999,3,FALSE),"")</f>
        <v>ACG CONSTRUÇÕES E CONSERVAÇÃO AMBIENTAL LTDA,</v>
      </c>
      <c r="D557" s="6" t="s">
        <v>2038</v>
      </c>
      <c r="E557" s="6" t="s">
        <v>2039</v>
      </c>
      <c r="F557" s="117"/>
      <c r="H557" s="80"/>
    </row>
    <row r="558">
      <c r="A558" s="6">
        <v>706.0</v>
      </c>
      <c r="B558" s="50" t="str">
        <f>IFERROR(VLOOKUP($A558,EVENTO!$A$2:$C$4999,2,FALSE),"")</f>
        <v>CADASTRO</v>
      </c>
      <c r="C558" s="50" t="str">
        <f>IFERROR(VLOOKUP($A558,EVENTO!$A$2:$C$4999,3,FALSE),"")</f>
        <v>ACG CONSTRUÇÕES E CONSERVAÇÃO AMBIENTAL LTDA,</v>
      </c>
      <c r="D558" s="6" t="s">
        <v>2040</v>
      </c>
      <c r="E558" s="6" t="s">
        <v>2041</v>
      </c>
      <c r="F558" s="117"/>
      <c r="H558" s="80"/>
    </row>
    <row r="559">
      <c r="A559" s="6">
        <v>706.0</v>
      </c>
      <c r="B559" s="50" t="str">
        <f>IFERROR(VLOOKUP($A559,EVENTO!$A$2:$C$4999,2,FALSE),"")</f>
        <v>CADASTRO</v>
      </c>
      <c r="C559" s="50" t="str">
        <f>IFERROR(VLOOKUP($A559,EVENTO!$A$2:$C$4999,3,FALSE),"")</f>
        <v>ACG CONSTRUÇÕES E CONSERVAÇÃO AMBIENTAL LTDA,</v>
      </c>
      <c r="D559" s="6" t="s">
        <v>2042</v>
      </c>
      <c r="E559" s="6" t="s">
        <v>2043</v>
      </c>
      <c r="F559" s="117"/>
      <c r="H559" s="80"/>
    </row>
    <row r="560">
      <c r="A560" s="6">
        <v>706.0</v>
      </c>
      <c r="B560" s="50" t="str">
        <f>IFERROR(VLOOKUP($A560,EVENTO!$A$2:$C$4999,2,FALSE),"")</f>
        <v>CADASTRO</v>
      </c>
      <c r="C560" s="50" t="str">
        <f>IFERROR(VLOOKUP($A560,EVENTO!$A$2:$C$4999,3,FALSE),"")</f>
        <v>ACG CONSTRUÇÕES E CONSERVAÇÃO AMBIENTAL LTDA,</v>
      </c>
      <c r="D560" s="6" t="s">
        <v>2044</v>
      </c>
      <c r="E560" s="6" t="s">
        <v>2045</v>
      </c>
      <c r="F560" s="117"/>
      <c r="H560" s="80"/>
    </row>
    <row r="561">
      <c r="A561" s="6">
        <v>708.0</v>
      </c>
      <c r="B561" s="50" t="str">
        <f>IFERROR(VLOOKUP($A561,EVENTO!$A$2:$C$4999,2,FALSE),"")</f>
        <v>CADASTRO</v>
      </c>
      <c r="C561" s="50" t="str">
        <f>IFERROR(VLOOKUP($A561,EVENTO!$A$2:$C$4999,3,FALSE),"")</f>
        <v>GOVERNO MUNICIPAL DE URUOCA - FUNDEB- FUNDO DES.DA EDUCACAO BASICA E VAL MAGIST</v>
      </c>
      <c r="D561" s="6" t="s">
        <v>2051</v>
      </c>
      <c r="E561" s="6" t="s">
        <v>2052</v>
      </c>
      <c r="F561" s="9" t="s">
        <v>2148</v>
      </c>
      <c r="G561" s="6">
        <v>1000000.0</v>
      </c>
      <c r="H561" s="80"/>
    </row>
    <row r="562">
      <c r="A562" s="6">
        <v>709.0</v>
      </c>
      <c r="B562" s="50" t="str">
        <f>IFERROR(VLOOKUP($A562,EVENTO!$A$2:$C$4999,2,FALSE),"")</f>
        <v>ADITIVO MODIFICAÇÃO DE ITEM</v>
      </c>
      <c r="C562" s="50" t="str">
        <f>IFERROR(VLOOKUP($A562,EVENTO!$A$2:$C$4999,3,FALSE),"")</f>
        <v>GOVERNO MUNICIPAL DE URUOCA - FUNDEB- FUNDO DES.DA EDUCACAO BASICA E VAL MAGIST</v>
      </c>
      <c r="D562" s="6" t="s">
        <v>2051</v>
      </c>
      <c r="E562" s="6" t="s">
        <v>2053</v>
      </c>
      <c r="F562" s="9" t="s">
        <v>2148</v>
      </c>
      <c r="G562" s="6">
        <v>1000000.0</v>
      </c>
      <c r="H562" s="80"/>
    </row>
    <row r="563">
      <c r="A563" s="6">
        <v>710.0</v>
      </c>
      <c r="B563" s="50" t="str">
        <f>IFERROR(VLOOKUP($A563,EVENTO!$A$2:$C$4999,2,FALSE),"")</f>
        <v>CADASTRO</v>
      </c>
      <c r="C563" s="50" t="str">
        <f>IFERROR(VLOOKUP($A563,EVENTO!$A$2:$C$4999,3,FALSE),"")</f>
        <v>GOVERNO MUNICIPAL DE URUOCA - FUNDO MUNICIPAL DE ASSISTENCIA SOCIAL E CIDADANIA</v>
      </c>
      <c r="D563" s="6" t="s">
        <v>2051</v>
      </c>
      <c r="E563" s="6" t="s">
        <v>2053</v>
      </c>
      <c r="F563" s="9" t="s">
        <v>2148</v>
      </c>
      <c r="G563" s="6">
        <v>3000.0</v>
      </c>
      <c r="H563" s="80"/>
    </row>
    <row r="564">
      <c r="A564" s="6">
        <v>710.0</v>
      </c>
      <c r="B564" s="50" t="str">
        <f>IFERROR(VLOOKUP($A564,EVENTO!$A$2:$C$4999,2,FALSE),"")</f>
        <v>CADASTRO</v>
      </c>
      <c r="C564" s="50" t="str">
        <f>IFERROR(VLOOKUP($A564,EVENTO!$A$2:$C$4999,3,FALSE),"")</f>
        <v>GOVERNO MUNICIPAL DE URUOCA - FUNDO MUNICIPAL DE ASSISTENCIA SOCIAL E CIDADANIA</v>
      </c>
      <c r="D564" s="6" t="s">
        <v>2051</v>
      </c>
      <c r="E564" s="6" t="s">
        <v>2055</v>
      </c>
      <c r="F564" s="9" t="s">
        <v>2148</v>
      </c>
      <c r="G564" s="6">
        <v>3000.0</v>
      </c>
      <c r="H564" s="80"/>
    </row>
    <row r="565">
      <c r="A565" s="6">
        <v>712.0</v>
      </c>
      <c r="B565" s="50" t="str">
        <f>IFERROR(VLOOKUP($A565,EVENTO!$A$2:$C$4999,2,FALSE),"")</f>
        <v>CADASTRO</v>
      </c>
      <c r="C565" s="50" t="str">
        <f>IFERROR(VLOOKUP($A565,EVENTO!$A$2:$C$4999,3,FALSE),"")</f>
        <v> PREFEITURA MUNICIPAL DE URUOCA - GESTÃO DE CONTRATO </v>
      </c>
      <c r="D565" s="6" t="s">
        <v>2051</v>
      </c>
      <c r="E565" s="6" t="s">
        <v>2052</v>
      </c>
      <c r="F565" s="9" t="s">
        <v>2148</v>
      </c>
      <c r="G565" s="6">
        <v>5000.0</v>
      </c>
      <c r="H565" s="80"/>
    </row>
    <row r="566">
      <c r="A566" s="6">
        <v>714.0</v>
      </c>
      <c r="B566" s="50" t="str">
        <f>IFERROR(VLOOKUP($A566,EVENTO!$A$2:$C$4999,2,FALSE),"")</f>
        <v>CADASTRO</v>
      </c>
      <c r="C566" s="50" t="str">
        <f>IFERROR(VLOOKUP($A566,EVENTO!$A$2:$C$4999,3,FALSE),"")</f>
        <v>GOVERNO MUNICIPAL DE URUOCA - FUNDO MUNICIPAL DE SAÚDE </v>
      </c>
      <c r="D566" s="6" t="s">
        <v>2051</v>
      </c>
      <c r="E566" s="6" t="s">
        <v>2052</v>
      </c>
      <c r="F566" s="9" t="s">
        <v>2148</v>
      </c>
      <c r="G566" s="6">
        <v>5000.0</v>
      </c>
      <c r="H566" s="80"/>
    </row>
    <row r="567">
      <c r="A567" s="6">
        <v>716.0</v>
      </c>
      <c r="B567" s="50" t="str">
        <f>IFERROR(VLOOKUP($A567,EVENTO!$A$2:$C$4999,2,FALSE),"")</f>
        <v>CADASTRO</v>
      </c>
      <c r="C567" s="50" t="str">
        <f>IFERROR(VLOOKUP($A567,EVENTO!$A$2:$C$4999,3,FALSE),"")</f>
        <v>GOVERNO MUNICIPAL DE URUOCA - FUNDO MUNICIPAL DE EDUCAÇÃO </v>
      </c>
      <c r="D567" s="6" t="s">
        <v>2051</v>
      </c>
      <c r="E567" s="6" t="s">
        <v>2052</v>
      </c>
      <c r="F567" s="9" t="s">
        <v>2148</v>
      </c>
      <c r="G567" s="6">
        <v>5000.0</v>
      </c>
      <c r="H567" s="80"/>
    </row>
    <row r="568">
      <c r="A568" s="6">
        <v>716.0</v>
      </c>
      <c r="B568" s="50" t="str">
        <f>IFERROR(VLOOKUP($A568,EVENTO!$A$2:$C$4999,2,FALSE),"")</f>
        <v>CADASTRO</v>
      </c>
      <c r="C568" s="50" t="str">
        <f>IFERROR(VLOOKUP($A568,EVENTO!$A$2:$C$4999,3,FALSE),"")</f>
        <v>GOVERNO MUNICIPAL DE URUOCA - FUNDO MUNICIPAL DE EDUCAÇÃO </v>
      </c>
      <c r="D568" s="6" t="s">
        <v>2054</v>
      </c>
      <c r="E568" s="6" t="s">
        <v>2055</v>
      </c>
      <c r="F568" s="9" t="s">
        <v>2148</v>
      </c>
      <c r="G568" s="6">
        <v>3000.0</v>
      </c>
      <c r="H568" s="80"/>
    </row>
    <row r="569">
      <c r="A569" s="6">
        <v>721.0</v>
      </c>
      <c r="B569" s="50" t="str">
        <f>IFERROR(VLOOKUP($A569,EVENTO!$A$2:$C$4999,2,FALSE),"")</f>
        <v>CADASTRO</v>
      </c>
      <c r="C569" s="50" t="str">
        <f>IFERROR(VLOOKUP($A569,EVENTO!$A$2:$C$4999,3,FALSE),"")</f>
        <v>ASSOCIACAO DE PROTECAO E ASSISTENCIA A MAT E INFANCIA - ISV - Contrato 1</v>
      </c>
      <c r="D569" s="6" t="s">
        <v>2061</v>
      </c>
      <c r="E569" s="78" t="s">
        <v>2061</v>
      </c>
      <c r="F569" s="117"/>
      <c r="H569" s="80"/>
    </row>
    <row r="570">
      <c r="A570" s="6">
        <v>721.0</v>
      </c>
      <c r="B570" s="50" t="str">
        <f>IFERROR(VLOOKUP($A570,EVENTO!$A$2:$C$4999,2,FALSE),"")</f>
        <v>CADASTRO</v>
      </c>
      <c r="C570" s="50" t="str">
        <f>IFERROR(VLOOKUP($A570,EVENTO!$A$2:$C$4999,3,FALSE),"")</f>
        <v>ASSOCIACAO DE PROTECAO E ASSISTENCIA A MAT E INFANCIA - ISV - Contrato 1</v>
      </c>
      <c r="D570" s="6" t="s">
        <v>2063</v>
      </c>
      <c r="E570" s="78" t="s">
        <v>2063</v>
      </c>
      <c r="F570" s="117"/>
      <c r="H570" s="80"/>
    </row>
    <row r="571">
      <c r="A571" s="6">
        <v>721.0</v>
      </c>
      <c r="B571" s="50" t="str">
        <f>IFERROR(VLOOKUP($A571,EVENTO!$A$2:$C$4999,2,FALSE),"")</f>
        <v>CADASTRO</v>
      </c>
      <c r="C571" s="50" t="str">
        <f>IFERROR(VLOOKUP($A571,EVENTO!$A$2:$C$4999,3,FALSE),"")</f>
        <v>ASSOCIACAO DE PROTECAO E ASSISTENCIA A MAT E INFANCIA - ISV - Contrato 1</v>
      </c>
      <c r="D571" s="6" t="s">
        <v>2065</v>
      </c>
      <c r="E571" s="78" t="s">
        <v>2065</v>
      </c>
      <c r="F571" s="117"/>
      <c r="H571" s="80"/>
    </row>
    <row r="572">
      <c r="A572" s="6">
        <v>721.0</v>
      </c>
      <c r="B572" s="50" t="str">
        <f>IFERROR(VLOOKUP($A572,EVENTO!$A$2:$C$4999,2,FALSE),"")</f>
        <v>CADASTRO</v>
      </c>
      <c r="C572" s="50" t="str">
        <f>IFERROR(VLOOKUP($A572,EVENTO!$A$2:$C$4999,3,FALSE),"")</f>
        <v>ASSOCIACAO DE PROTECAO E ASSISTENCIA A MAT E INFANCIA - ISV - Contrato 1</v>
      </c>
      <c r="D572" s="6" t="s">
        <v>2066</v>
      </c>
      <c r="E572" s="78" t="s">
        <v>2066</v>
      </c>
      <c r="F572" s="9" t="s">
        <v>2148</v>
      </c>
      <c r="G572" s="28">
        <v>2000.0</v>
      </c>
      <c r="H572" s="79">
        <v>0.065</v>
      </c>
    </row>
    <row r="573">
      <c r="A573" s="6">
        <v>721.0</v>
      </c>
      <c r="B573" s="50" t="str">
        <f>IFERROR(VLOOKUP($A573,EVENTO!$A$2:$C$4999,2,FALSE),"")</f>
        <v>CADASTRO</v>
      </c>
      <c r="C573" s="50" t="str">
        <f>IFERROR(VLOOKUP($A573,EVENTO!$A$2:$C$4999,3,FALSE),"")</f>
        <v>ASSOCIACAO DE PROTECAO E ASSISTENCIA A MAT E INFANCIA - ISV - Contrato 1</v>
      </c>
      <c r="D573" s="6" t="s">
        <v>1996</v>
      </c>
      <c r="E573" s="78" t="s">
        <v>1996</v>
      </c>
      <c r="F573" s="9" t="s">
        <v>2148</v>
      </c>
      <c r="G573" s="28">
        <v>5000.0</v>
      </c>
      <c r="H573" s="79">
        <v>0.056</v>
      </c>
    </row>
    <row r="574">
      <c r="A574" s="6">
        <v>722.0</v>
      </c>
      <c r="B574" s="50" t="str">
        <f>IFERROR(VLOOKUP($A574,EVENTO!$A$2:$C$4999,2,FALSE),"")</f>
        <v>CADASTRO</v>
      </c>
      <c r="C574" s="50" t="str">
        <f>IFERROR(VLOOKUP($A574,EVENTO!$A$2:$C$4999,3,FALSE),"")</f>
        <v>ASSOCIACAO DE PROTECAO E ASSISTENCIA A MAT E INFANCIA - ISV - (Contrato 2 substituiu o Contrato 1)</v>
      </c>
      <c r="D574" s="6" t="s">
        <v>2061</v>
      </c>
      <c r="E574" s="78" t="s">
        <v>2061</v>
      </c>
      <c r="F574" s="117"/>
      <c r="H574" s="80"/>
    </row>
    <row r="575">
      <c r="A575" s="6">
        <v>722.0</v>
      </c>
      <c r="B575" s="50" t="str">
        <f>IFERROR(VLOOKUP($A575,EVENTO!$A$2:$C$4999,2,FALSE),"")</f>
        <v>CADASTRO</v>
      </c>
      <c r="C575" s="50" t="str">
        <f>IFERROR(VLOOKUP($A575,EVENTO!$A$2:$C$4999,3,FALSE),"")</f>
        <v>ASSOCIACAO DE PROTECAO E ASSISTENCIA A MAT E INFANCIA - ISV - (Contrato 2 substituiu o Contrato 1)</v>
      </c>
      <c r="D575" s="6" t="s">
        <v>2063</v>
      </c>
      <c r="E575" s="78" t="s">
        <v>2063</v>
      </c>
      <c r="F575" s="117"/>
      <c r="H575" s="80"/>
    </row>
    <row r="576">
      <c r="A576" s="6">
        <v>722.0</v>
      </c>
      <c r="B576" s="50" t="str">
        <f>IFERROR(VLOOKUP($A576,EVENTO!$A$2:$C$4999,2,FALSE),"")</f>
        <v>CADASTRO</v>
      </c>
      <c r="C576" s="50" t="str">
        <f>IFERROR(VLOOKUP($A576,EVENTO!$A$2:$C$4999,3,FALSE),"")</f>
        <v>ASSOCIACAO DE PROTECAO E ASSISTENCIA A MAT E INFANCIA - ISV - (Contrato 2 substituiu o Contrato 1)</v>
      </c>
      <c r="D576" s="6" t="s">
        <v>2065</v>
      </c>
      <c r="E576" s="78" t="s">
        <v>2065</v>
      </c>
      <c r="F576" s="117"/>
      <c r="H576" s="80"/>
    </row>
    <row r="577">
      <c r="A577" s="6">
        <v>722.0</v>
      </c>
      <c r="B577" s="50" t="str">
        <f>IFERROR(VLOOKUP($A577,EVENTO!$A$2:$C$4999,2,FALSE),"")</f>
        <v>CADASTRO</v>
      </c>
      <c r="C577" s="50" t="str">
        <f>IFERROR(VLOOKUP($A577,EVENTO!$A$2:$C$4999,3,FALSE),"")</f>
        <v>ASSOCIACAO DE PROTECAO E ASSISTENCIA A MAT E INFANCIA - ISV - (Contrato 2 substituiu o Contrato 1)</v>
      </c>
      <c r="D577" s="6" t="s">
        <v>2066</v>
      </c>
      <c r="E577" s="78" t="s">
        <v>2066</v>
      </c>
      <c r="F577" s="9" t="s">
        <v>2148</v>
      </c>
      <c r="G577" s="28">
        <v>2000.0</v>
      </c>
      <c r="H577" s="79">
        <v>0.065</v>
      </c>
    </row>
    <row r="578">
      <c r="A578" s="6">
        <v>722.0</v>
      </c>
      <c r="B578" s="50" t="str">
        <f>IFERROR(VLOOKUP($A578,EVENTO!$A$2:$C$4999,2,FALSE),"")</f>
        <v>CADASTRO</v>
      </c>
      <c r="C578" s="50" t="str">
        <f>IFERROR(VLOOKUP($A578,EVENTO!$A$2:$C$4999,3,FALSE),"")</f>
        <v>ASSOCIACAO DE PROTECAO E ASSISTENCIA A MAT E INFANCIA - ISV - (Contrato 2 substituiu o Contrato 1)</v>
      </c>
      <c r="D578" s="6" t="s">
        <v>1996</v>
      </c>
      <c r="E578" s="78" t="s">
        <v>1996</v>
      </c>
      <c r="F578" s="9" t="s">
        <v>2148</v>
      </c>
      <c r="G578" s="28">
        <v>5000.0</v>
      </c>
      <c r="H578" s="79">
        <v>56.0</v>
      </c>
    </row>
    <row r="579">
      <c r="A579" s="6">
        <v>722.0</v>
      </c>
      <c r="B579" s="50" t="str">
        <f>IFERROR(VLOOKUP($A579,EVENTO!$A$2:$C$4999,2,FALSE),"")</f>
        <v>CADASTRO</v>
      </c>
      <c r="C579" s="50" t="str">
        <f>IFERROR(VLOOKUP($A579,EVENTO!$A$2:$C$4999,3,FALSE),"")</f>
        <v>ASSOCIACAO DE PROTECAO E ASSISTENCIA A MAT E INFANCIA - ISV - (Contrato 2 substituiu o Contrato 1)</v>
      </c>
      <c r="D579" s="6" t="s">
        <v>2069</v>
      </c>
      <c r="E579" s="9" t="s">
        <v>2191</v>
      </c>
      <c r="F579" s="117"/>
      <c r="H579" s="80"/>
    </row>
    <row r="580">
      <c r="A580" s="6">
        <v>723.0</v>
      </c>
      <c r="B580" s="50" t="str">
        <f>IFERROR(VLOOKUP($A580,EVENTO!$A$2:$C$4999,2,FALSE),"")</f>
        <v>ADITIVO DE PRAZO</v>
      </c>
      <c r="C580" s="50" t="str">
        <f>IFERROR(VLOOKUP($A580,EVENTO!$A$2:$C$4999,3,FALSE),"")</f>
        <v>ASSOCIACAO DE PROTECAO E ASSISTENCIA A MAT E INFANCIA - ISV - (Contrato 2 substituiu o Contrato 1)</v>
      </c>
      <c r="D580" s="6" t="s">
        <v>2061</v>
      </c>
      <c r="E580" s="78" t="s">
        <v>2061</v>
      </c>
      <c r="F580" s="117"/>
      <c r="H580" s="80"/>
    </row>
    <row r="581">
      <c r="A581" s="6">
        <v>723.0</v>
      </c>
      <c r="B581" s="50" t="str">
        <f>IFERROR(VLOOKUP($A581,EVENTO!$A$2:$C$4999,2,FALSE),"")</f>
        <v>ADITIVO DE PRAZO</v>
      </c>
      <c r="C581" s="50" t="str">
        <f>IFERROR(VLOOKUP($A581,EVENTO!$A$2:$C$4999,3,FALSE),"")</f>
        <v>ASSOCIACAO DE PROTECAO E ASSISTENCIA A MAT E INFANCIA - ISV - (Contrato 2 substituiu o Contrato 1)</v>
      </c>
      <c r="D581" s="6" t="s">
        <v>2063</v>
      </c>
      <c r="E581" s="78" t="s">
        <v>2063</v>
      </c>
      <c r="F581" s="117"/>
      <c r="H581" s="80"/>
    </row>
    <row r="582">
      <c r="A582" s="6">
        <v>723.0</v>
      </c>
      <c r="B582" s="50" t="str">
        <f>IFERROR(VLOOKUP($A582,EVENTO!$A$2:$C$4999,2,FALSE),"")</f>
        <v>ADITIVO DE PRAZO</v>
      </c>
      <c r="C582" s="50" t="str">
        <f>IFERROR(VLOOKUP($A582,EVENTO!$A$2:$C$4999,3,FALSE),"")</f>
        <v>ASSOCIACAO DE PROTECAO E ASSISTENCIA A MAT E INFANCIA - ISV - (Contrato 2 substituiu o Contrato 1)</v>
      </c>
      <c r="D582" s="6" t="s">
        <v>2065</v>
      </c>
      <c r="E582" s="78" t="s">
        <v>2065</v>
      </c>
      <c r="F582" s="117"/>
      <c r="H582" s="80"/>
    </row>
    <row r="583">
      <c r="A583" s="6">
        <v>723.0</v>
      </c>
      <c r="B583" s="50" t="str">
        <f>IFERROR(VLOOKUP($A583,EVENTO!$A$2:$C$4999,2,FALSE),"")</f>
        <v>ADITIVO DE PRAZO</v>
      </c>
      <c r="C583" s="50" t="str">
        <f>IFERROR(VLOOKUP($A583,EVENTO!$A$2:$C$4999,3,FALSE),"")</f>
        <v>ASSOCIACAO DE PROTECAO E ASSISTENCIA A MAT E INFANCIA - ISV - (Contrato 2 substituiu o Contrato 1)</v>
      </c>
      <c r="D583" s="6" t="s">
        <v>2066</v>
      </c>
      <c r="E583" s="78" t="s">
        <v>2066</v>
      </c>
      <c r="F583" s="9" t="s">
        <v>2148</v>
      </c>
      <c r="G583" s="28">
        <v>2000.0</v>
      </c>
      <c r="H583" s="80"/>
    </row>
    <row r="584">
      <c r="A584" s="6">
        <v>723.0</v>
      </c>
      <c r="B584" s="50" t="str">
        <f>IFERROR(VLOOKUP($A584,EVENTO!$A$2:$C$4999,2,FALSE),"")</f>
        <v>ADITIVO DE PRAZO</v>
      </c>
      <c r="C584" s="50" t="str">
        <f>IFERROR(VLOOKUP($A584,EVENTO!$A$2:$C$4999,3,FALSE),"")</f>
        <v>ASSOCIACAO DE PROTECAO E ASSISTENCIA A MAT E INFANCIA - ISV - (Contrato 2 substituiu o Contrato 1)</v>
      </c>
      <c r="D584" s="6" t="s">
        <v>1996</v>
      </c>
      <c r="E584" s="78" t="s">
        <v>1996</v>
      </c>
      <c r="F584" s="9" t="s">
        <v>2148</v>
      </c>
      <c r="G584" s="28">
        <v>5000.0</v>
      </c>
      <c r="H584" s="80"/>
    </row>
    <row r="585">
      <c r="A585" s="6">
        <v>723.0</v>
      </c>
      <c r="B585" s="50" t="str">
        <f>IFERROR(VLOOKUP($A585,EVENTO!$A$2:$C$4999,2,FALSE),"")</f>
        <v>ADITIVO DE PRAZO</v>
      </c>
      <c r="C585" s="50" t="str">
        <f>IFERROR(VLOOKUP($A585,EVENTO!$A$2:$C$4999,3,FALSE),"")</f>
        <v>ASSOCIACAO DE PROTECAO E ASSISTENCIA A MAT E INFANCIA - ISV - (Contrato 2 substituiu o Contrato 1)</v>
      </c>
      <c r="D585" s="6" t="s">
        <v>2069</v>
      </c>
      <c r="E585" s="9" t="s">
        <v>2191</v>
      </c>
      <c r="F585" s="117"/>
      <c r="H585" s="80"/>
    </row>
    <row r="586">
      <c r="A586" s="6">
        <v>724.0</v>
      </c>
      <c r="B586" s="50" t="str">
        <f>IFERROR(VLOOKUP($A586,EVENTO!$A$2:$C$4999,2,FALSE),"")</f>
        <v>CADASTRO</v>
      </c>
      <c r="C586" s="50" t="str">
        <f>IFERROR(VLOOKUP($A586,EVENTO!$A$2:$C$4999,3,FALSE),"")</f>
        <v>CONSELHO REGIONAL DE CONTABILIDADE DO CEARÁ,</v>
      </c>
      <c r="D586" s="6" t="s">
        <v>2071</v>
      </c>
      <c r="E586" s="78" t="s">
        <v>2071</v>
      </c>
      <c r="F586" s="9" t="s">
        <v>2148</v>
      </c>
      <c r="G586" s="6">
        <v>300.0</v>
      </c>
      <c r="H586" s="80"/>
    </row>
    <row r="587">
      <c r="A587" s="6">
        <v>724.0</v>
      </c>
      <c r="B587" s="50" t="str">
        <f>IFERROR(VLOOKUP($A587,EVENTO!$A$2:$C$4999,2,FALSE),"")</f>
        <v>CADASTRO</v>
      </c>
      <c r="C587" s="50" t="str">
        <f>IFERROR(VLOOKUP($A587,EVENTO!$A$2:$C$4999,3,FALSE),"")</f>
        <v>CONSELHO REGIONAL DE CONTABILIDADE DO CEARÁ,</v>
      </c>
      <c r="D587" s="6" t="s">
        <v>2073</v>
      </c>
      <c r="E587" s="78" t="s">
        <v>2073</v>
      </c>
      <c r="F587" s="9" t="s">
        <v>2148</v>
      </c>
      <c r="G587" s="28">
        <v>8000.0</v>
      </c>
      <c r="H587" s="80"/>
    </row>
    <row r="588">
      <c r="A588" s="6">
        <v>724.0</v>
      </c>
      <c r="B588" s="50" t="str">
        <f>IFERROR(VLOOKUP($A588,EVENTO!$A$2:$C$4999,2,FALSE),"")</f>
        <v>CADASTRO</v>
      </c>
      <c r="C588" s="50" t="str">
        <f>IFERROR(VLOOKUP($A588,EVENTO!$A$2:$C$4999,3,FALSE),"")</f>
        <v>CONSELHO REGIONAL DE CONTABILIDADE DO CEARÁ,</v>
      </c>
      <c r="D588" s="6" t="s">
        <v>2075</v>
      </c>
      <c r="E588" s="78" t="s">
        <v>2075</v>
      </c>
      <c r="F588" s="117"/>
      <c r="H588" s="80"/>
    </row>
    <row r="589">
      <c r="A589" s="6">
        <v>724.0</v>
      </c>
      <c r="B589" s="50" t="str">
        <f>IFERROR(VLOOKUP($A589,EVENTO!$A$2:$C$4999,2,FALSE),"")</f>
        <v>CADASTRO</v>
      </c>
      <c r="C589" s="50" t="str">
        <f>IFERROR(VLOOKUP($A589,EVENTO!$A$2:$C$4999,3,FALSE),"")</f>
        <v>CONSELHO REGIONAL DE CONTABILIDADE DO CEARÁ,</v>
      </c>
      <c r="D589" s="6" t="s">
        <v>2077</v>
      </c>
      <c r="E589" s="78" t="s">
        <v>2077</v>
      </c>
      <c r="F589" s="117"/>
      <c r="H589" s="80"/>
    </row>
    <row r="590">
      <c r="A590" s="6">
        <v>725.0</v>
      </c>
      <c r="B590" s="50" t="str">
        <f>IFERROR(VLOOKUP($A590,EVENTO!$A$2:$C$4999,2,FALSE),"")</f>
        <v>ADITIVO DE PRAZO</v>
      </c>
      <c r="C590" s="50" t="str">
        <f>IFERROR(VLOOKUP($A590,EVENTO!$A$2:$C$4999,3,FALSE),"")</f>
        <v>MUNICÍPIO DE CRATO - SECRETARIA DE EDUCAÇÃO</v>
      </c>
      <c r="D590" s="6" t="s">
        <v>2079</v>
      </c>
      <c r="E590" s="9" t="s">
        <v>2192</v>
      </c>
      <c r="F590" s="117"/>
      <c r="H590" s="80"/>
    </row>
    <row r="591">
      <c r="A591" s="6">
        <v>726.0</v>
      </c>
      <c r="B591" s="50" t="str">
        <f>IFERROR(VLOOKUP($A591,EVENTO!$A$2:$C$4999,2,FALSE),"")</f>
        <v>CADASTRO</v>
      </c>
      <c r="C591" s="50" t="str">
        <f>IFERROR(VLOOKUP($A591,EVENTO!$A$2:$C$4999,3,FALSE),"")</f>
        <v>PREFEITURA MUNICIPAL DE FORTALEZA - SECRETARIA MUNICIPAL DO ESPORTE E LAZER </v>
      </c>
      <c r="D591" s="6" t="s">
        <v>2081</v>
      </c>
      <c r="E591" s="9" t="s">
        <v>2193</v>
      </c>
      <c r="F591" s="117"/>
      <c r="G591" s="6">
        <v>833.0</v>
      </c>
      <c r="H591" s="79">
        <v>0.34</v>
      </c>
    </row>
    <row r="592">
      <c r="A592" s="6">
        <v>726.0</v>
      </c>
      <c r="B592" s="50" t="str">
        <f>IFERROR(VLOOKUP($A592,EVENTO!$A$2:$C$4999,2,FALSE),"")</f>
        <v>CADASTRO</v>
      </c>
      <c r="C592" s="50" t="str">
        <f>IFERROR(VLOOKUP($A592,EVENTO!$A$2:$C$4999,3,FALSE),"")</f>
        <v>PREFEITURA MUNICIPAL DE FORTALEZA - SECRETARIA MUNICIPAL DO ESPORTE E LAZER </v>
      </c>
      <c r="D592" s="6" t="s">
        <v>2083</v>
      </c>
      <c r="E592" s="9" t="s">
        <v>2194</v>
      </c>
      <c r="F592" s="117"/>
      <c r="G592" s="6">
        <v>7000.0</v>
      </c>
      <c r="H592" s="79">
        <v>0.03</v>
      </c>
    </row>
    <row r="593">
      <c r="A593" s="6">
        <v>727.0</v>
      </c>
      <c r="B593" s="50" t="str">
        <f>IFERROR(VLOOKUP($A593,EVENTO!$A$2:$C$4999,2,FALSE),"")</f>
        <v>CADASTRO</v>
      </c>
      <c r="C593" s="50" t="str">
        <f>IFERROR(VLOOKUP($A593,EVENTO!$A$2:$C$4999,3,FALSE),"")</f>
        <v>MULTINTEGRADA LTDA</v>
      </c>
      <c r="D593" s="6" t="s">
        <v>2085</v>
      </c>
      <c r="E593" s="78" t="s">
        <v>2085</v>
      </c>
      <c r="F593" s="117"/>
      <c r="H593" s="80"/>
    </row>
    <row r="594">
      <c r="A594" s="6">
        <v>727.0</v>
      </c>
      <c r="B594" s="50" t="str">
        <f>IFERROR(VLOOKUP($A594,EVENTO!$A$2:$C$4999,2,FALSE),"")</f>
        <v>CADASTRO</v>
      </c>
      <c r="C594" s="50" t="str">
        <f>IFERROR(VLOOKUP($A594,EVENTO!$A$2:$C$4999,3,FALSE),"")</f>
        <v>MULTINTEGRADA LTDA</v>
      </c>
      <c r="D594" s="6" t="s">
        <v>2087</v>
      </c>
      <c r="E594" s="78" t="s">
        <v>2087</v>
      </c>
      <c r="F594" s="117"/>
      <c r="H594" s="80"/>
    </row>
    <row r="595">
      <c r="A595" s="6">
        <v>727.0</v>
      </c>
      <c r="B595" s="50" t="str">
        <f>IFERROR(VLOOKUP($A595,EVENTO!$A$2:$C$4999,2,FALSE),"")</f>
        <v>CADASTRO</v>
      </c>
      <c r="C595" s="50" t="str">
        <f>IFERROR(VLOOKUP($A595,EVENTO!$A$2:$C$4999,3,FALSE),"")</f>
        <v>MULTINTEGRADA LTDA</v>
      </c>
      <c r="D595" s="6" t="s">
        <v>2089</v>
      </c>
      <c r="E595" s="78" t="s">
        <v>2090</v>
      </c>
      <c r="F595" s="117"/>
      <c r="H595" s="80"/>
    </row>
    <row r="596">
      <c r="A596" s="6">
        <v>727.0</v>
      </c>
      <c r="B596" s="50" t="str">
        <f>IFERROR(VLOOKUP($A596,EVENTO!$A$2:$C$4999,2,FALSE),"")</f>
        <v>CADASTRO</v>
      </c>
      <c r="C596" s="50" t="str">
        <f>IFERROR(VLOOKUP($A596,EVENTO!$A$2:$C$4999,3,FALSE),"")</f>
        <v>MULTINTEGRADA LTDA</v>
      </c>
      <c r="D596" s="6" t="s">
        <v>2091</v>
      </c>
      <c r="E596" s="78" t="s">
        <v>2091</v>
      </c>
      <c r="F596" s="117"/>
      <c r="H596" s="80"/>
    </row>
    <row r="597">
      <c r="A597" s="6">
        <v>727.0</v>
      </c>
      <c r="B597" s="50" t="str">
        <f>IFERROR(VLOOKUP($A597,EVENTO!$A$2:$C$4999,2,FALSE),"")</f>
        <v>CADASTRO</v>
      </c>
      <c r="C597" s="50" t="str">
        <f>IFERROR(VLOOKUP($A597,EVENTO!$A$2:$C$4999,3,FALSE),"")</f>
        <v>MULTINTEGRADA LTDA</v>
      </c>
      <c r="D597" s="6" t="s">
        <v>2093</v>
      </c>
      <c r="E597" s="78" t="s">
        <v>2093</v>
      </c>
      <c r="F597" s="9" t="s">
        <v>2195</v>
      </c>
      <c r="H597" s="80"/>
    </row>
    <row r="598">
      <c r="A598" s="6">
        <v>727.0</v>
      </c>
      <c r="B598" s="50" t="str">
        <f>IFERROR(VLOOKUP($A598,EVENTO!$A$2:$C$4999,2,FALSE),"")</f>
        <v>CADASTRO</v>
      </c>
      <c r="C598" s="50" t="str">
        <f>IFERROR(VLOOKUP($A598,EVENTO!$A$2:$C$4999,3,FALSE),"")</f>
        <v>MULTINTEGRADA LTDA</v>
      </c>
      <c r="D598" s="6" t="s">
        <v>2095</v>
      </c>
      <c r="E598" s="78" t="s">
        <v>2095</v>
      </c>
      <c r="F598" s="9" t="s">
        <v>2148</v>
      </c>
      <c r="G598" s="28">
        <v>3000.0</v>
      </c>
      <c r="H598" s="79">
        <v>0.06</v>
      </c>
    </row>
    <row r="599">
      <c r="A599" s="6">
        <v>729.0</v>
      </c>
      <c r="B599" s="50" t="str">
        <f>IFERROR(VLOOKUP($A599,EVENTO!$A$2:$C$4999,2,FALSE),"")</f>
        <v>ADITIVO DE QUANTIDADE</v>
      </c>
      <c r="C599" s="50" t="str">
        <f>IFERROR(VLOOKUP($A599,EVENTO!$A$2:$C$4999,3,FALSE),"")</f>
        <v>MULTINTEGRADA LTDA</v>
      </c>
      <c r="D599" s="6" t="s">
        <v>2099</v>
      </c>
      <c r="E599" s="78" t="s">
        <v>2099</v>
      </c>
      <c r="H599" s="80"/>
    </row>
    <row r="600">
      <c r="A600" s="6">
        <v>729.0</v>
      </c>
      <c r="B600" s="50" t="str">
        <f>IFERROR(VLOOKUP($A600,EVENTO!$A$2:$C$4999,2,FALSE),"")</f>
        <v>ADITIVO DE QUANTIDADE</v>
      </c>
      <c r="C600" s="50" t="str">
        <f>IFERROR(VLOOKUP($A600,EVENTO!$A$2:$C$4999,3,FALSE),"")</f>
        <v>MULTINTEGRADA LTDA</v>
      </c>
      <c r="D600" s="6" t="s">
        <v>2091</v>
      </c>
      <c r="E600" s="78" t="s">
        <v>2091</v>
      </c>
      <c r="H600" s="80"/>
    </row>
    <row r="601">
      <c r="A601" s="6">
        <v>729.0</v>
      </c>
      <c r="B601" s="50" t="str">
        <f>IFERROR(VLOOKUP($A601,EVENTO!$A$2:$C$4999,2,FALSE),"")</f>
        <v>ADITIVO DE QUANTIDADE</v>
      </c>
      <c r="C601" s="50" t="str">
        <f>IFERROR(VLOOKUP($A601,EVENTO!$A$2:$C$4999,3,FALSE),"")</f>
        <v>MULTINTEGRADA LTDA</v>
      </c>
      <c r="D601" s="6" t="s">
        <v>2093</v>
      </c>
      <c r="E601" s="78" t="s">
        <v>2093</v>
      </c>
      <c r="F601" s="9" t="s">
        <v>2195</v>
      </c>
      <c r="H601" s="80"/>
    </row>
    <row r="602">
      <c r="A602" s="6">
        <v>730.0</v>
      </c>
      <c r="B602" s="50" t="str">
        <f>IFERROR(VLOOKUP($A602,EVENTO!$A$2:$C$4999,2,FALSE),"")</f>
        <v>ADITIVO DE QUANTIDADE</v>
      </c>
      <c r="C602" s="50" t="str">
        <f>IFERROR(VLOOKUP($A602,EVENTO!$A$2:$C$4999,3,FALSE),"")</f>
        <v>MULTINTEGRADA LTDA</v>
      </c>
      <c r="D602" s="6" t="s">
        <v>2102</v>
      </c>
      <c r="E602" s="78" t="s">
        <v>2099</v>
      </c>
      <c r="F602" s="117"/>
      <c r="H602" s="80"/>
    </row>
    <row r="603">
      <c r="A603" s="6">
        <v>730.0</v>
      </c>
      <c r="B603" s="50" t="str">
        <f>IFERROR(VLOOKUP($A603,EVENTO!$A$2:$C$4999,2,FALSE),"")</f>
        <v>ADITIVO DE QUANTIDADE</v>
      </c>
      <c r="C603" s="50" t="str">
        <f>IFERROR(VLOOKUP($A603,EVENTO!$A$2:$C$4999,3,FALSE),"")</f>
        <v>MULTINTEGRADA LTDA</v>
      </c>
      <c r="D603" s="6" t="s">
        <v>2103</v>
      </c>
      <c r="E603" s="78" t="s">
        <v>2103</v>
      </c>
      <c r="F603" s="117"/>
      <c r="H603" s="80"/>
    </row>
    <row r="604">
      <c r="A604" s="6">
        <v>730.0</v>
      </c>
      <c r="B604" s="50" t="str">
        <f>IFERROR(VLOOKUP($A604,EVENTO!$A$2:$C$4999,2,FALSE),"")</f>
        <v>ADITIVO DE QUANTIDADE</v>
      </c>
      <c r="C604" s="50" t="str">
        <f>IFERROR(VLOOKUP($A604,EVENTO!$A$2:$C$4999,3,FALSE),"")</f>
        <v>MULTINTEGRADA LTDA</v>
      </c>
      <c r="D604" s="6" t="s">
        <v>2091</v>
      </c>
      <c r="E604" s="78" t="s">
        <v>2091</v>
      </c>
      <c r="F604" s="117"/>
      <c r="H604" s="80"/>
    </row>
    <row r="605">
      <c r="A605" s="6">
        <v>730.0</v>
      </c>
      <c r="B605" s="50" t="str">
        <f>IFERROR(VLOOKUP($A605,EVENTO!$A$2:$C$4999,2,FALSE),"")</f>
        <v>ADITIVO DE QUANTIDADE</v>
      </c>
      <c r="C605" s="50" t="str">
        <f>IFERROR(VLOOKUP($A605,EVENTO!$A$2:$C$4999,3,FALSE),"")</f>
        <v>MULTINTEGRADA LTDA</v>
      </c>
      <c r="D605" s="6" t="s">
        <v>2093</v>
      </c>
      <c r="E605" s="78" t="s">
        <v>2093</v>
      </c>
      <c r="F605" s="9" t="s">
        <v>2195</v>
      </c>
      <c r="H605" s="80"/>
    </row>
    <row r="606">
      <c r="A606" s="6">
        <v>731.0</v>
      </c>
      <c r="B606" s="50" t="str">
        <f>IFERROR(VLOOKUP($A606,EVENTO!$A$2:$C$4999,2,FALSE),"")</f>
        <v>ADITIVO DE PRAZO</v>
      </c>
      <c r="C606" s="50" t="str">
        <f>IFERROR(VLOOKUP($A606,EVENTO!$A$2:$C$4999,3,FALSE),"")</f>
        <v>MULTINTEGRADA LTDA</v>
      </c>
      <c r="D606" s="6" t="s">
        <v>2085</v>
      </c>
      <c r="E606" s="78" t="s">
        <v>2099</v>
      </c>
      <c r="F606" s="117"/>
      <c r="H606" s="80"/>
    </row>
    <row r="607">
      <c r="A607" s="6">
        <v>731.0</v>
      </c>
      <c r="B607" s="50" t="str">
        <f>IFERROR(VLOOKUP($A607,EVENTO!$A$2:$C$4999,2,FALSE),"")</f>
        <v>ADITIVO DE PRAZO</v>
      </c>
      <c r="C607" s="50" t="str">
        <f>IFERROR(VLOOKUP($A607,EVENTO!$A$2:$C$4999,3,FALSE),"")</f>
        <v>MULTINTEGRADA LTDA</v>
      </c>
      <c r="D607" s="6" t="s">
        <v>2087</v>
      </c>
      <c r="E607" s="78" t="s">
        <v>2087</v>
      </c>
      <c r="F607" s="117"/>
      <c r="H607" s="80"/>
    </row>
    <row r="608">
      <c r="A608" s="6">
        <v>731.0</v>
      </c>
      <c r="B608" s="50" t="str">
        <f>IFERROR(VLOOKUP($A608,EVENTO!$A$2:$C$4999,2,FALSE),"")</f>
        <v>ADITIVO DE PRAZO</v>
      </c>
      <c r="C608" s="50" t="str">
        <f>IFERROR(VLOOKUP($A608,EVENTO!$A$2:$C$4999,3,FALSE),"")</f>
        <v>MULTINTEGRADA LTDA</v>
      </c>
      <c r="D608" s="6" t="s">
        <v>2103</v>
      </c>
      <c r="E608" s="78" t="s">
        <v>2103</v>
      </c>
      <c r="F608" s="117"/>
      <c r="H608" s="80"/>
    </row>
    <row r="609">
      <c r="A609" s="6">
        <v>731.0</v>
      </c>
      <c r="B609" s="50" t="str">
        <f>IFERROR(VLOOKUP($A609,EVENTO!$A$2:$C$4999,2,FALSE),"")</f>
        <v>ADITIVO DE PRAZO</v>
      </c>
      <c r="C609" s="50" t="str">
        <f>IFERROR(VLOOKUP($A609,EVENTO!$A$2:$C$4999,3,FALSE),"")</f>
        <v>MULTINTEGRADA LTDA</v>
      </c>
      <c r="D609" s="6" t="s">
        <v>2091</v>
      </c>
      <c r="E609" s="78" t="s">
        <v>2091</v>
      </c>
      <c r="F609" s="117"/>
      <c r="H609" s="80"/>
    </row>
    <row r="610">
      <c r="A610" s="6">
        <v>731.0</v>
      </c>
      <c r="B610" s="50" t="str">
        <f>IFERROR(VLOOKUP($A610,EVENTO!$A$2:$C$4999,2,FALSE),"")</f>
        <v>ADITIVO DE PRAZO</v>
      </c>
      <c r="C610" s="50" t="str">
        <f>IFERROR(VLOOKUP($A610,EVENTO!$A$2:$C$4999,3,FALSE),"")</f>
        <v>MULTINTEGRADA LTDA</v>
      </c>
      <c r="D610" s="6" t="s">
        <v>2093</v>
      </c>
      <c r="E610" s="78" t="s">
        <v>2093</v>
      </c>
      <c r="F610" s="9" t="s">
        <v>2195</v>
      </c>
      <c r="H610" s="80"/>
    </row>
    <row r="611">
      <c r="A611" s="6">
        <v>731.0</v>
      </c>
      <c r="B611" s="50" t="str">
        <f>IFERROR(VLOOKUP($A611,EVENTO!$A$2:$C$4999,2,FALSE),"")</f>
        <v>ADITIVO DE PRAZO</v>
      </c>
      <c r="C611" s="50" t="str">
        <f>IFERROR(VLOOKUP($A611,EVENTO!$A$2:$C$4999,3,FALSE),"")</f>
        <v>MULTINTEGRADA LTDA</v>
      </c>
      <c r="D611" s="6" t="s">
        <v>2083</v>
      </c>
      <c r="E611" s="78" t="s">
        <v>2083</v>
      </c>
      <c r="F611" s="9" t="s">
        <v>2148</v>
      </c>
      <c r="G611" s="28">
        <v>3000.0</v>
      </c>
      <c r="H611" s="79" t="s">
        <v>2196</v>
      </c>
    </row>
    <row r="612">
      <c r="A612" s="6">
        <v>732.0</v>
      </c>
      <c r="B612" s="50" t="str">
        <f>IFERROR(VLOOKUP($A612,EVENTO!$A$2:$C$4999,2,FALSE),"")</f>
        <v>ADITIVO DE PRAZO</v>
      </c>
      <c r="C612" s="50" t="str">
        <f>IFERROR(VLOOKUP($A612,EVENTO!$A$2:$C$4999,3,FALSE),"")</f>
        <v>MUNICIPIO DE GRANJA - CÂMARA MUNICIPAL DE GRANJA </v>
      </c>
      <c r="D612" s="6" t="s">
        <v>2104</v>
      </c>
      <c r="E612" s="9" t="s">
        <v>2197</v>
      </c>
      <c r="F612" s="9" t="s">
        <v>2148</v>
      </c>
      <c r="H612" s="80"/>
    </row>
    <row r="613">
      <c r="A613" s="11"/>
      <c r="B613" s="50" t="str">
        <f>IFERROR(VLOOKUP($A613,EVENTO!$A$2:$C$4999,2,FALSE),"")</f>
        <v/>
      </c>
      <c r="C613" s="50" t="str">
        <f>IFERROR(VLOOKUP($A613,EVENTO!$A$2:$C$4999,3,FALSE),"")</f>
        <v/>
      </c>
      <c r="D613" s="11"/>
      <c r="E613" s="117"/>
      <c r="F613" s="117"/>
      <c r="H613" s="80"/>
    </row>
    <row r="614">
      <c r="A614" s="11"/>
      <c r="B614" s="50" t="str">
        <f>IFERROR(VLOOKUP($A614,EVENTO!$A$2:$C$4999,2,FALSE),"")</f>
        <v/>
      </c>
      <c r="C614" s="50" t="str">
        <f>IFERROR(VLOOKUP($A614,EVENTO!$A$2:$C$4999,3,FALSE),"")</f>
        <v/>
      </c>
      <c r="D614" s="11"/>
      <c r="E614" s="117"/>
      <c r="F614" s="117"/>
      <c r="H614" s="80"/>
    </row>
    <row r="615">
      <c r="A615" s="11"/>
      <c r="B615" s="50" t="str">
        <f>IFERROR(VLOOKUP($A615,EVENTO!$A$2:$C$4999,2,FALSE),"")</f>
        <v/>
      </c>
      <c r="C615" s="50" t="str">
        <f>IFERROR(VLOOKUP($A615,EVENTO!$A$2:$C$4999,3,FALSE),"")</f>
        <v/>
      </c>
      <c r="D615" s="11"/>
      <c r="E615" s="117"/>
      <c r="F615" s="117"/>
      <c r="H615" s="80"/>
    </row>
    <row r="616">
      <c r="A616" s="11"/>
      <c r="B616" s="50" t="str">
        <f>IFERROR(VLOOKUP($A616,EVENTO!$A$2:$C$4999,2,FALSE),"")</f>
        <v/>
      </c>
      <c r="C616" s="50" t="str">
        <f>IFERROR(VLOOKUP($A616,EVENTO!$A$2:$C$4999,3,FALSE),"")</f>
        <v/>
      </c>
      <c r="D616" s="11"/>
      <c r="E616" s="117"/>
      <c r="F616" s="117"/>
      <c r="H616" s="80"/>
    </row>
    <row r="617">
      <c r="A617" s="11"/>
      <c r="B617" s="50" t="str">
        <f>IFERROR(VLOOKUP($A617,EVENTO!$A$2:$C$4999,2,FALSE),"")</f>
        <v/>
      </c>
      <c r="C617" s="50" t="str">
        <f>IFERROR(VLOOKUP($A617,EVENTO!$A$2:$C$4999,3,FALSE),"")</f>
        <v/>
      </c>
      <c r="D617" s="11"/>
      <c r="E617" s="117"/>
      <c r="F617" s="117"/>
      <c r="H617" s="80"/>
    </row>
    <row r="618">
      <c r="A618" s="11"/>
      <c r="B618" s="50" t="str">
        <f>IFERROR(VLOOKUP($A618,EVENTO!$A$2:$C$4999,2,FALSE),"")</f>
        <v/>
      </c>
      <c r="C618" s="50" t="str">
        <f>IFERROR(VLOOKUP($A618,EVENTO!$A$2:$C$4999,3,FALSE),"")</f>
        <v/>
      </c>
      <c r="D618" s="11"/>
      <c r="E618" s="117"/>
      <c r="F618" s="117"/>
      <c r="H618" s="80"/>
    </row>
    <row r="619">
      <c r="A619" s="11"/>
      <c r="B619" s="50" t="str">
        <f>IFERROR(VLOOKUP($A619,EVENTO!$A$2:$C$4999,2,FALSE),"")</f>
        <v/>
      </c>
      <c r="C619" s="50" t="str">
        <f>IFERROR(VLOOKUP($A619,EVENTO!$A$2:$C$4999,3,FALSE),"")</f>
        <v/>
      </c>
      <c r="D619" s="11"/>
      <c r="E619" s="117"/>
      <c r="F619" s="117"/>
      <c r="H619" s="80"/>
    </row>
    <row r="620">
      <c r="A620" s="11"/>
      <c r="B620" s="50" t="str">
        <f>IFERROR(VLOOKUP($A620,EVENTO!$A$2:$C$4999,2,FALSE),"")</f>
        <v/>
      </c>
      <c r="C620" s="50" t="str">
        <f>IFERROR(VLOOKUP($A620,EVENTO!$A$2:$C$4999,3,FALSE),"")</f>
        <v/>
      </c>
      <c r="D620" s="11"/>
      <c r="E620" s="117"/>
      <c r="F620" s="117"/>
      <c r="H620" s="80"/>
    </row>
    <row r="621">
      <c r="A621" s="11"/>
      <c r="B621" s="50" t="str">
        <f>IFERROR(VLOOKUP($A621,EVENTO!$A$2:$C$4999,2,FALSE),"")</f>
        <v/>
      </c>
      <c r="C621" s="50" t="str">
        <f>IFERROR(VLOOKUP($A621,EVENTO!$A$2:$C$4999,3,FALSE),"")</f>
        <v/>
      </c>
      <c r="D621" s="11"/>
      <c r="E621" s="117"/>
      <c r="F621" s="117"/>
      <c r="H621" s="80"/>
    </row>
    <row r="622">
      <c r="A622" s="11"/>
      <c r="B622" s="50" t="str">
        <f>IFERROR(VLOOKUP($A622,EVENTO!$A$2:$C$4999,2,FALSE),"")</f>
        <v/>
      </c>
      <c r="C622" s="50" t="str">
        <f>IFERROR(VLOOKUP($A622,EVENTO!$A$2:$C$4999,3,FALSE),"")</f>
        <v/>
      </c>
      <c r="D622" s="11"/>
      <c r="E622" s="117"/>
      <c r="F622" s="117"/>
      <c r="H622" s="80"/>
    </row>
    <row r="623">
      <c r="A623" s="11"/>
      <c r="B623" s="50" t="str">
        <f>IFERROR(VLOOKUP($A623,EVENTO!$A$2:$C$4999,2,FALSE),"")</f>
        <v/>
      </c>
      <c r="C623" s="50" t="str">
        <f>IFERROR(VLOOKUP($A623,EVENTO!$A$2:$C$4999,3,FALSE),"")</f>
        <v/>
      </c>
      <c r="D623" s="11"/>
      <c r="E623" s="117"/>
      <c r="F623" s="117"/>
      <c r="H623" s="80"/>
    </row>
    <row r="624">
      <c r="A624" s="11"/>
      <c r="B624" s="50" t="str">
        <f>IFERROR(VLOOKUP($A624,EVENTO!$A$2:$C$4999,2,FALSE),"")</f>
        <v/>
      </c>
      <c r="C624" s="50" t="str">
        <f>IFERROR(VLOOKUP($A624,EVENTO!$A$2:$C$4999,3,FALSE),"")</f>
        <v/>
      </c>
      <c r="D624" s="11"/>
      <c r="E624" s="117"/>
      <c r="F624" s="117"/>
      <c r="H624" s="80"/>
    </row>
    <row r="625">
      <c r="A625" s="11"/>
      <c r="B625" s="50" t="str">
        <f>IFERROR(VLOOKUP($A625,EVENTO!$A$2:$C$4999,2,FALSE),"")</f>
        <v/>
      </c>
      <c r="C625" s="50" t="str">
        <f>IFERROR(VLOOKUP($A625,EVENTO!$A$2:$C$4999,3,FALSE),"")</f>
        <v/>
      </c>
      <c r="D625" s="11"/>
      <c r="E625" s="117"/>
      <c r="F625" s="117"/>
      <c r="H625" s="80"/>
    </row>
    <row r="626">
      <c r="A626" s="11"/>
      <c r="B626" s="50" t="str">
        <f>IFERROR(VLOOKUP($A626,EVENTO!$A$2:$C$4999,2,FALSE),"")</f>
        <v/>
      </c>
      <c r="C626" s="50" t="str">
        <f>IFERROR(VLOOKUP($A626,EVENTO!$A$2:$C$4999,3,FALSE),"")</f>
        <v/>
      </c>
      <c r="D626" s="11"/>
      <c r="E626" s="117"/>
      <c r="F626" s="117"/>
      <c r="H626" s="80"/>
    </row>
    <row r="627">
      <c r="A627" s="11"/>
      <c r="B627" s="50" t="str">
        <f>IFERROR(VLOOKUP($A627,EVENTO!$A$2:$C$4999,2,FALSE),"")</f>
        <v/>
      </c>
      <c r="C627" s="50" t="str">
        <f>IFERROR(VLOOKUP($A627,EVENTO!$A$2:$C$4999,3,FALSE),"")</f>
        <v/>
      </c>
      <c r="D627" s="11"/>
      <c r="E627" s="117"/>
      <c r="F627" s="117"/>
      <c r="H627" s="80"/>
    </row>
    <row r="628">
      <c r="A628" s="11"/>
      <c r="B628" s="50" t="str">
        <f>IFERROR(VLOOKUP($A628,EVENTO!$A$2:$C$4999,2,FALSE),"")</f>
        <v/>
      </c>
      <c r="C628" s="50" t="str">
        <f>IFERROR(VLOOKUP($A628,EVENTO!$A$2:$C$4999,3,FALSE),"")</f>
        <v/>
      </c>
      <c r="D628" s="11"/>
      <c r="E628" s="117"/>
      <c r="F628" s="117"/>
      <c r="H628" s="80"/>
    </row>
    <row r="629">
      <c r="A629" s="11"/>
      <c r="B629" s="50" t="str">
        <f>IFERROR(VLOOKUP($A629,EVENTO!$A$2:$C$4999,2,FALSE),"")</f>
        <v/>
      </c>
      <c r="C629" s="50" t="str">
        <f>IFERROR(VLOOKUP($A629,EVENTO!$A$2:$C$4999,3,FALSE),"")</f>
        <v/>
      </c>
      <c r="D629" s="11"/>
      <c r="E629" s="117"/>
      <c r="F629" s="117"/>
      <c r="H629" s="80"/>
    </row>
    <row r="630">
      <c r="A630" s="11"/>
      <c r="B630" s="50" t="str">
        <f>IFERROR(VLOOKUP($A630,EVENTO!$A$2:$C$4999,2,FALSE),"")</f>
        <v/>
      </c>
      <c r="C630" s="50" t="str">
        <f>IFERROR(VLOOKUP($A630,EVENTO!$A$2:$C$4999,3,FALSE),"")</f>
        <v/>
      </c>
      <c r="D630" s="11"/>
      <c r="E630" s="117"/>
      <c r="F630" s="117"/>
      <c r="H630" s="80"/>
    </row>
    <row r="631">
      <c r="A631" s="11"/>
      <c r="B631" s="50" t="str">
        <f>IFERROR(VLOOKUP($A631,EVENTO!$A$2:$C$4999,2,FALSE),"")</f>
        <v/>
      </c>
      <c r="C631" s="50" t="str">
        <f>IFERROR(VLOOKUP($A631,EVENTO!$A$2:$C$4999,3,FALSE),"")</f>
        <v/>
      </c>
      <c r="D631" s="11"/>
      <c r="E631" s="117"/>
      <c r="F631" s="117"/>
      <c r="H631" s="80"/>
    </row>
    <row r="632">
      <c r="A632" s="11"/>
      <c r="B632" s="50" t="str">
        <f>IFERROR(VLOOKUP($A632,EVENTO!$A$2:$C$4999,2,FALSE),"")</f>
        <v/>
      </c>
      <c r="C632" s="50" t="str">
        <f>IFERROR(VLOOKUP($A632,EVENTO!$A$2:$C$4999,3,FALSE),"")</f>
        <v/>
      </c>
      <c r="D632" s="11"/>
      <c r="E632" s="117"/>
      <c r="F632" s="117"/>
      <c r="H632" s="80"/>
    </row>
    <row r="633">
      <c r="A633" s="11"/>
      <c r="B633" s="50" t="str">
        <f>IFERROR(VLOOKUP($A633,EVENTO!$A$2:$C$4999,2,FALSE),"")</f>
        <v/>
      </c>
      <c r="C633" s="50" t="str">
        <f>IFERROR(VLOOKUP($A633,EVENTO!$A$2:$C$4999,3,FALSE),"")</f>
        <v/>
      </c>
      <c r="D633" s="11"/>
      <c r="E633" s="117"/>
      <c r="F633" s="117"/>
      <c r="H633" s="80"/>
    </row>
    <row r="634">
      <c r="A634" s="11"/>
      <c r="B634" s="50" t="str">
        <f>IFERROR(VLOOKUP($A634,EVENTO!$A$2:$C$4999,2,FALSE),"")</f>
        <v/>
      </c>
      <c r="C634" s="50" t="str">
        <f>IFERROR(VLOOKUP($A634,EVENTO!$A$2:$C$4999,3,FALSE),"")</f>
        <v/>
      </c>
      <c r="D634" s="11"/>
      <c r="E634" s="117"/>
      <c r="F634" s="117"/>
      <c r="H634" s="80"/>
    </row>
    <row r="635">
      <c r="A635" s="11"/>
      <c r="B635" s="50" t="str">
        <f>IFERROR(VLOOKUP($A635,EVENTO!$A$2:$C$4999,2,FALSE),"")</f>
        <v/>
      </c>
      <c r="C635" s="50" t="str">
        <f>IFERROR(VLOOKUP($A635,EVENTO!$A$2:$C$4999,3,FALSE),"")</f>
        <v/>
      </c>
      <c r="D635" s="11"/>
      <c r="E635" s="117"/>
      <c r="F635" s="117"/>
      <c r="H635" s="80"/>
    </row>
    <row r="636">
      <c r="A636" s="11"/>
      <c r="B636" s="50" t="str">
        <f>IFERROR(VLOOKUP($A636,EVENTO!$A$2:$C$4999,2,FALSE),"")</f>
        <v/>
      </c>
      <c r="C636" s="50" t="str">
        <f>IFERROR(VLOOKUP($A636,EVENTO!$A$2:$C$4999,3,FALSE),"")</f>
        <v/>
      </c>
      <c r="D636" s="11"/>
      <c r="E636" s="117"/>
      <c r="F636" s="117"/>
      <c r="H636" s="80"/>
    </row>
    <row r="637">
      <c r="A637" s="11"/>
      <c r="B637" s="50" t="str">
        <f>IFERROR(VLOOKUP($A637,EVENTO!$A$2:$C$4999,2,FALSE),"")</f>
        <v/>
      </c>
      <c r="C637" s="50" t="str">
        <f>IFERROR(VLOOKUP($A637,EVENTO!$A$2:$C$4999,3,FALSE),"")</f>
        <v/>
      </c>
      <c r="D637" s="11"/>
      <c r="E637" s="117"/>
      <c r="F637" s="117"/>
      <c r="H637" s="80"/>
    </row>
    <row r="638">
      <c r="A638" s="11"/>
      <c r="B638" s="50" t="str">
        <f>IFERROR(VLOOKUP($A638,EVENTO!$A$2:$C$4999,2,FALSE),"")</f>
        <v/>
      </c>
      <c r="C638" s="50" t="str">
        <f>IFERROR(VLOOKUP($A638,EVENTO!$A$2:$C$4999,3,FALSE),"")</f>
        <v/>
      </c>
      <c r="D638" s="11"/>
      <c r="E638" s="117"/>
      <c r="F638" s="117"/>
      <c r="H638" s="80"/>
    </row>
    <row r="639">
      <c r="A639" s="11"/>
      <c r="B639" s="50" t="str">
        <f>IFERROR(VLOOKUP($A639,EVENTO!$A$2:$C$4999,2,FALSE),"")</f>
        <v/>
      </c>
      <c r="C639" s="50" t="str">
        <f>IFERROR(VLOOKUP($A639,EVENTO!$A$2:$C$4999,3,FALSE),"")</f>
        <v/>
      </c>
      <c r="D639" s="11"/>
      <c r="E639" s="117"/>
      <c r="F639" s="117"/>
      <c r="H639" s="80"/>
    </row>
    <row r="640">
      <c r="A640" s="11"/>
      <c r="B640" s="50" t="str">
        <f>IFERROR(VLOOKUP($A640,EVENTO!$A$2:$C$4999,2,FALSE),"")</f>
        <v/>
      </c>
      <c r="C640" s="50" t="str">
        <f>IFERROR(VLOOKUP($A640,EVENTO!$A$2:$C$4999,3,FALSE),"")</f>
        <v/>
      </c>
      <c r="D640" s="11"/>
      <c r="E640" s="117"/>
      <c r="F640" s="117"/>
      <c r="H640" s="80"/>
    </row>
    <row r="641">
      <c r="A641" s="11"/>
      <c r="B641" s="50" t="str">
        <f>IFERROR(VLOOKUP($A641,EVENTO!$A$2:$C$4999,2,FALSE),"")</f>
        <v/>
      </c>
      <c r="C641" s="50" t="str">
        <f>IFERROR(VLOOKUP($A641,EVENTO!$A$2:$C$4999,3,FALSE),"")</f>
        <v/>
      </c>
      <c r="D641" s="11"/>
      <c r="E641" s="117"/>
      <c r="F641" s="117"/>
      <c r="H641" s="80"/>
    </row>
    <row r="642">
      <c r="A642" s="11"/>
      <c r="B642" s="50" t="str">
        <f>IFERROR(VLOOKUP($A642,EVENTO!$A$2:$C$4999,2,FALSE),"")</f>
        <v/>
      </c>
      <c r="C642" s="50" t="str">
        <f>IFERROR(VLOOKUP($A642,EVENTO!$A$2:$C$4999,3,FALSE),"")</f>
        <v/>
      </c>
      <c r="D642" s="11"/>
      <c r="E642" s="117"/>
      <c r="F642" s="117"/>
      <c r="H642" s="80"/>
    </row>
    <row r="643">
      <c r="A643" s="11"/>
      <c r="B643" s="50" t="str">
        <f>IFERROR(VLOOKUP($A643,EVENTO!$A$2:$C$4999,2,FALSE),"")</f>
        <v/>
      </c>
      <c r="C643" s="50" t="str">
        <f>IFERROR(VLOOKUP($A643,EVENTO!$A$2:$C$4999,3,FALSE),"")</f>
        <v/>
      </c>
      <c r="D643" s="11"/>
      <c r="E643" s="117"/>
      <c r="F643" s="117"/>
      <c r="H643" s="80"/>
    </row>
    <row r="644">
      <c r="A644" s="11"/>
      <c r="B644" s="50" t="str">
        <f>IFERROR(VLOOKUP($A644,EVENTO!$A$2:$C$4999,2,FALSE),"")</f>
        <v/>
      </c>
      <c r="C644" s="50" t="str">
        <f>IFERROR(VLOOKUP($A644,EVENTO!$A$2:$C$4999,3,FALSE),"")</f>
        <v/>
      </c>
      <c r="D644" s="11"/>
      <c r="E644" s="117"/>
      <c r="F644" s="117"/>
      <c r="H644" s="80"/>
    </row>
    <row r="645">
      <c r="A645" s="11"/>
      <c r="B645" s="50" t="str">
        <f>IFERROR(VLOOKUP($A645,EVENTO!$A$2:$C$4999,2,FALSE),"")</f>
        <v/>
      </c>
      <c r="C645" s="50" t="str">
        <f>IFERROR(VLOOKUP($A645,EVENTO!$A$2:$C$4999,3,FALSE),"")</f>
        <v/>
      </c>
      <c r="D645" s="11"/>
      <c r="E645" s="117"/>
      <c r="F645" s="117"/>
      <c r="H645" s="80"/>
    </row>
    <row r="646">
      <c r="A646" s="11"/>
      <c r="B646" s="50" t="str">
        <f>IFERROR(VLOOKUP($A646,EVENTO!$A$2:$C$4999,2,FALSE),"")</f>
        <v/>
      </c>
      <c r="C646" s="50" t="str">
        <f>IFERROR(VLOOKUP($A646,EVENTO!$A$2:$C$4999,3,FALSE),"")</f>
        <v/>
      </c>
      <c r="D646" s="11"/>
      <c r="E646" s="117"/>
      <c r="F646" s="117"/>
      <c r="H646" s="80"/>
    </row>
    <row r="647">
      <c r="A647" s="11"/>
      <c r="B647" s="50" t="str">
        <f>IFERROR(VLOOKUP($A647,EVENTO!$A$2:$C$4999,2,FALSE),"")</f>
        <v/>
      </c>
      <c r="C647" s="50" t="str">
        <f>IFERROR(VLOOKUP($A647,EVENTO!$A$2:$C$4999,3,FALSE),"")</f>
        <v/>
      </c>
      <c r="D647" s="11"/>
      <c r="E647" s="117"/>
      <c r="F647" s="117"/>
      <c r="H647" s="80"/>
    </row>
    <row r="648">
      <c r="A648" s="11"/>
      <c r="B648" s="50" t="str">
        <f>IFERROR(VLOOKUP($A648,EVENTO!$A$2:$C$4999,2,FALSE),"")</f>
        <v/>
      </c>
      <c r="C648" s="50" t="str">
        <f>IFERROR(VLOOKUP($A648,EVENTO!$A$2:$C$4999,3,FALSE),"")</f>
        <v/>
      </c>
      <c r="D648" s="11"/>
      <c r="E648" s="117"/>
      <c r="F648" s="117"/>
      <c r="H648" s="80"/>
    </row>
    <row r="649">
      <c r="A649" s="11"/>
      <c r="B649" s="50" t="str">
        <f>IFERROR(VLOOKUP($A649,EVENTO!$A$2:$C$4999,2,FALSE),"")</f>
        <v/>
      </c>
      <c r="C649" s="50" t="str">
        <f>IFERROR(VLOOKUP($A649,EVENTO!$A$2:$C$4999,3,FALSE),"")</f>
        <v/>
      </c>
      <c r="D649" s="11"/>
      <c r="E649" s="117"/>
      <c r="F649" s="117"/>
      <c r="H649" s="80"/>
    </row>
    <row r="650">
      <c r="A650" s="11"/>
      <c r="B650" s="50" t="str">
        <f>IFERROR(VLOOKUP($A650,EVENTO!$A$2:$C$4999,2,FALSE),"")</f>
        <v/>
      </c>
      <c r="C650" s="50" t="str">
        <f>IFERROR(VLOOKUP($A650,EVENTO!$A$2:$C$4999,3,FALSE),"")</f>
        <v/>
      </c>
      <c r="D650" s="11"/>
      <c r="E650" s="117"/>
      <c r="F650" s="117"/>
      <c r="H650" s="80"/>
    </row>
    <row r="651">
      <c r="A651" s="11"/>
      <c r="B651" s="50" t="str">
        <f>IFERROR(VLOOKUP($A651,EVENTO!$A$2:$C$4999,2,FALSE),"")</f>
        <v/>
      </c>
      <c r="C651" s="50" t="str">
        <f>IFERROR(VLOOKUP($A651,EVENTO!$A$2:$C$4999,3,FALSE),"")</f>
        <v/>
      </c>
      <c r="D651" s="11"/>
      <c r="E651" s="117"/>
      <c r="F651" s="117"/>
      <c r="H651" s="80"/>
    </row>
    <row r="652">
      <c r="A652" s="11"/>
      <c r="B652" s="50" t="str">
        <f>IFERROR(VLOOKUP($A652,EVENTO!$A$2:$C$4999,2,FALSE),"")</f>
        <v/>
      </c>
      <c r="C652" s="50" t="str">
        <f>IFERROR(VLOOKUP($A652,EVENTO!$A$2:$C$4999,3,FALSE),"")</f>
        <v/>
      </c>
      <c r="D652" s="11"/>
      <c r="E652" s="117"/>
      <c r="F652" s="117"/>
      <c r="H652" s="80"/>
    </row>
    <row r="653">
      <c r="A653" s="11"/>
      <c r="B653" s="50" t="str">
        <f>IFERROR(VLOOKUP($A653,EVENTO!$A$2:$C$4999,2,FALSE),"")</f>
        <v/>
      </c>
      <c r="C653" s="50" t="str">
        <f>IFERROR(VLOOKUP($A653,EVENTO!$A$2:$C$4999,3,FALSE),"")</f>
        <v/>
      </c>
      <c r="D653" s="11"/>
      <c r="E653" s="117"/>
      <c r="F653" s="117"/>
      <c r="H653" s="80"/>
    </row>
    <row r="654">
      <c r="A654" s="11"/>
      <c r="B654" s="50" t="str">
        <f>IFERROR(VLOOKUP($A654,EVENTO!$A$2:$C$4999,2,FALSE),"")</f>
        <v/>
      </c>
      <c r="C654" s="50" t="str">
        <f>IFERROR(VLOOKUP($A654,EVENTO!$A$2:$C$4999,3,FALSE),"")</f>
        <v/>
      </c>
      <c r="D654" s="11"/>
      <c r="E654" s="117"/>
      <c r="F654" s="117"/>
      <c r="H654" s="80"/>
    </row>
    <row r="655">
      <c r="A655" s="11"/>
      <c r="B655" s="50" t="str">
        <f>IFERROR(VLOOKUP($A655,EVENTO!$A$2:$C$4999,2,FALSE),"")</f>
        <v/>
      </c>
      <c r="C655" s="50" t="str">
        <f>IFERROR(VLOOKUP($A655,EVENTO!$A$2:$C$4999,3,FALSE),"")</f>
        <v/>
      </c>
      <c r="D655" s="11"/>
      <c r="E655" s="117"/>
      <c r="F655" s="117"/>
      <c r="H655" s="80"/>
    </row>
    <row r="656">
      <c r="A656" s="11"/>
      <c r="B656" s="50" t="str">
        <f>IFERROR(VLOOKUP($A656,EVENTO!$A$2:$C$4999,2,FALSE),"")</f>
        <v/>
      </c>
      <c r="C656" s="50" t="str">
        <f>IFERROR(VLOOKUP($A656,EVENTO!$A$2:$C$4999,3,FALSE),"")</f>
        <v/>
      </c>
      <c r="D656" s="11"/>
      <c r="E656" s="117"/>
      <c r="F656" s="117"/>
      <c r="H656" s="80"/>
    </row>
    <row r="657">
      <c r="A657" s="11"/>
      <c r="B657" s="50" t="str">
        <f>IFERROR(VLOOKUP($A657,EVENTO!$A$2:$C$4999,2,FALSE),"")</f>
        <v/>
      </c>
      <c r="C657" s="50" t="str">
        <f>IFERROR(VLOOKUP($A657,EVENTO!$A$2:$C$4999,3,FALSE),"")</f>
        <v/>
      </c>
      <c r="D657" s="11"/>
      <c r="E657" s="117"/>
      <c r="F657" s="117"/>
      <c r="H657" s="80"/>
    </row>
    <row r="658">
      <c r="A658" s="11"/>
      <c r="B658" s="50" t="str">
        <f>IFERROR(VLOOKUP($A658,EVENTO!$A$2:$C$4999,2,FALSE),"")</f>
        <v/>
      </c>
      <c r="C658" s="50" t="str">
        <f>IFERROR(VLOOKUP($A658,EVENTO!$A$2:$C$4999,3,FALSE),"")</f>
        <v/>
      </c>
      <c r="D658" s="11"/>
      <c r="E658" s="117"/>
      <c r="F658" s="117"/>
      <c r="H658" s="80"/>
    </row>
    <row r="659">
      <c r="A659" s="11"/>
      <c r="B659" s="50" t="str">
        <f>IFERROR(VLOOKUP($A659,EVENTO!$A$2:$C$4999,2,FALSE),"")</f>
        <v/>
      </c>
      <c r="C659" s="50" t="str">
        <f>IFERROR(VLOOKUP($A659,EVENTO!$A$2:$C$4999,3,FALSE),"")</f>
        <v/>
      </c>
      <c r="D659" s="11"/>
      <c r="E659" s="117"/>
      <c r="F659" s="117"/>
      <c r="H659" s="80"/>
    </row>
    <row r="660">
      <c r="A660" s="11"/>
      <c r="B660" s="50" t="str">
        <f>IFERROR(VLOOKUP($A660,EVENTO!$A$2:$C$4999,2,FALSE),"")</f>
        <v/>
      </c>
      <c r="C660" s="50" t="str">
        <f>IFERROR(VLOOKUP($A660,EVENTO!$A$2:$C$4999,3,FALSE),"")</f>
        <v/>
      </c>
      <c r="D660" s="11"/>
      <c r="E660" s="117"/>
      <c r="F660" s="117"/>
      <c r="H660" s="80"/>
    </row>
    <row r="661">
      <c r="A661" s="11"/>
      <c r="B661" s="50" t="str">
        <f>IFERROR(VLOOKUP($A661,EVENTO!$A$2:$C$4999,2,FALSE),"")</f>
        <v/>
      </c>
      <c r="C661" s="50" t="str">
        <f>IFERROR(VLOOKUP($A661,EVENTO!$A$2:$C$4999,3,FALSE),"")</f>
        <v/>
      </c>
      <c r="D661" s="11"/>
      <c r="E661" s="117"/>
      <c r="F661" s="117"/>
      <c r="H661" s="80"/>
    </row>
    <row r="662">
      <c r="A662" s="11"/>
      <c r="B662" s="50" t="str">
        <f>IFERROR(VLOOKUP($A662,EVENTO!$A$2:$C$4999,2,FALSE),"")</f>
        <v/>
      </c>
      <c r="C662" s="50" t="str">
        <f>IFERROR(VLOOKUP($A662,EVENTO!$A$2:$C$4999,3,FALSE),"")</f>
        <v/>
      </c>
      <c r="D662" s="11"/>
      <c r="E662" s="117"/>
      <c r="F662" s="117"/>
      <c r="H662" s="80"/>
    </row>
    <row r="663">
      <c r="A663" s="11"/>
      <c r="B663" s="50" t="str">
        <f>IFERROR(VLOOKUP($A663,EVENTO!$A$2:$C$4999,2,FALSE),"")</f>
        <v/>
      </c>
      <c r="C663" s="50" t="str">
        <f>IFERROR(VLOOKUP($A663,EVENTO!$A$2:$C$4999,3,FALSE),"")</f>
        <v/>
      </c>
      <c r="D663" s="11"/>
      <c r="E663" s="117"/>
      <c r="F663" s="117"/>
      <c r="H663" s="80"/>
    </row>
    <row r="664">
      <c r="A664" s="11"/>
      <c r="B664" s="50" t="str">
        <f>IFERROR(VLOOKUP($A664,EVENTO!$A$2:$C$4999,2,FALSE),"")</f>
        <v/>
      </c>
      <c r="C664" s="50" t="str">
        <f>IFERROR(VLOOKUP($A664,EVENTO!$A$2:$C$4999,3,FALSE),"")</f>
        <v/>
      </c>
      <c r="D664" s="11"/>
      <c r="E664" s="117"/>
      <c r="F664" s="117"/>
      <c r="H664" s="80"/>
    </row>
    <row r="665">
      <c r="A665" s="11"/>
      <c r="B665" s="50" t="str">
        <f>IFERROR(VLOOKUP($A665,EVENTO!$A$2:$C$4999,2,FALSE),"")</f>
        <v/>
      </c>
      <c r="C665" s="50" t="str">
        <f>IFERROR(VLOOKUP($A665,EVENTO!$A$2:$C$4999,3,FALSE),"")</f>
        <v/>
      </c>
      <c r="D665" s="11"/>
      <c r="E665" s="117"/>
      <c r="F665" s="117"/>
      <c r="H665" s="80"/>
    </row>
    <row r="666">
      <c r="A666" s="11"/>
      <c r="B666" s="50" t="str">
        <f>IFERROR(VLOOKUP($A666,EVENTO!$A$2:$C$4999,2,FALSE),"")</f>
        <v/>
      </c>
      <c r="C666" s="50" t="str">
        <f>IFERROR(VLOOKUP($A666,EVENTO!$A$2:$C$4999,3,FALSE),"")</f>
        <v/>
      </c>
      <c r="D666" s="11"/>
      <c r="E666" s="117"/>
      <c r="F666" s="117"/>
      <c r="H666" s="80"/>
    </row>
    <row r="667">
      <c r="A667" s="11"/>
      <c r="B667" s="50" t="str">
        <f>IFERROR(VLOOKUP($A667,EVENTO!$A$2:$C$4999,2,FALSE),"")</f>
        <v/>
      </c>
      <c r="C667" s="50" t="str">
        <f>IFERROR(VLOOKUP($A667,EVENTO!$A$2:$C$4999,3,FALSE),"")</f>
        <v/>
      </c>
      <c r="D667" s="11"/>
      <c r="E667" s="117"/>
      <c r="F667" s="117"/>
      <c r="H667" s="80"/>
    </row>
    <row r="668">
      <c r="A668" s="11"/>
      <c r="B668" s="50" t="str">
        <f>IFERROR(VLOOKUP($A668,EVENTO!$A$2:$C$4999,2,FALSE),"")</f>
        <v/>
      </c>
      <c r="C668" s="50" t="str">
        <f>IFERROR(VLOOKUP($A668,EVENTO!$A$2:$C$4999,3,FALSE),"")</f>
        <v/>
      </c>
      <c r="D668" s="11"/>
      <c r="E668" s="117"/>
      <c r="F668" s="117"/>
      <c r="H668" s="80"/>
    </row>
    <row r="669">
      <c r="A669" s="11"/>
      <c r="B669" s="50" t="str">
        <f>IFERROR(VLOOKUP($A669,EVENTO!$A$2:$C$4999,2,FALSE),"")</f>
        <v/>
      </c>
      <c r="C669" s="50" t="str">
        <f>IFERROR(VLOOKUP($A669,EVENTO!$A$2:$C$4999,3,FALSE),"")</f>
        <v/>
      </c>
      <c r="D669" s="11"/>
      <c r="E669" s="117"/>
      <c r="F669" s="117"/>
      <c r="H669" s="80"/>
    </row>
    <row r="670">
      <c r="A670" s="11"/>
      <c r="B670" s="50" t="str">
        <f>IFERROR(VLOOKUP($A670,EVENTO!$A$2:$C$4999,2,FALSE),"")</f>
        <v/>
      </c>
      <c r="C670" s="50" t="str">
        <f>IFERROR(VLOOKUP($A670,EVENTO!$A$2:$C$4999,3,FALSE),"")</f>
        <v/>
      </c>
      <c r="D670" s="11"/>
      <c r="E670" s="117"/>
      <c r="F670" s="117"/>
      <c r="H670" s="80"/>
    </row>
    <row r="671">
      <c r="A671" s="11"/>
      <c r="B671" s="50" t="str">
        <f>IFERROR(VLOOKUP($A671,EVENTO!$A$2:$C$4999,2,FALSE),"")</f>
        <v/>
      </c>
      <c r="C671" s="50" t="str">
        <f>IFERROR(VLOOKUP($A671,EVENTO!$A$2:$C$4999,3,FALSE),"")</f>
        <v/>
      </c>
      <c r="D671" s="11"/>
      <c r="E671" s="117"/>
      <c r="F671" s="117"/>
      <c r="H671" s="80"/>
    </row>
    <row r="672">
      <c r="A672" s="11"/>
      <c r="B672" s="50" t="str">
        <f>IFERROR(VLOOKUP($A672,EVENTO!$A$2:$C$4999,2,FALSE),"")</f>
        <v/>
      </c>
      <c r="C672" s="50" t="str">
        <f>IFERROR(VLOOKUP($A672,EVENTO!$A$2:$C$4999,3,FALSE),"")</f>
        <v/>
      </c>
      <c r="D672" s="11"/>
      <c r="E672" s="117"/>
      <c r="F672" s="117"/>
      <c r="H672" s="80"/>
    </row>
    <row r="673">
      <c r="A673" s="11"/>
      <c r="B673" s="50" t="str">
        <f>IFERROR(VLOOKUP($A673,EVENTO!$A$2:$C$4999,2,FALSE),"")</f>
        <v/>
      </c>
      <c r="C673" s="50" t="str">
        <f>IFERROR(VLOOKUP($A673,EVENTO!$A$2:$C$4999,3,FALSE),"")</f>
        <v/>
      </c>
      <c r="D673" s="11"/>
      <c r="E673" s="117"/>
      <c r="F673" s="117"/>
      <c r="H673" s="80"/>
    </row>
    <row r="674">
      <c r="A674" s="11"/>
      <c r="B674" s="50" t="str">
        <f>IFERROR(VLOOKUP($A674,EVENTO!$A$2:$C$4999,2,FALSE),"")</f>
        <v/>
      </c>
      <c r="C674" s="50" t="str">
        <f>IFERROR(VLOOKUP($A674,EVENTO!$A$2:$C$4999,3,FALSE),"")</f>
        <v/>
      </c>
      <c r="D674" s="11"/>
      <c r="E674" s="117"/>
      <c r="F674" s="117"/>
      <c r="H674" s="80"/>
    </row>
    <row r="675">
      <c r="A675" s="11"/>
      <c r="B675" s="50" t="str">
        <f>IFERROR(VLOOKUP($A675,EVENTO!$A$2:$C$4999,2,FALSE),"")</f>
        <v/>
      </c>
      <c r="C675" s="50" t="str">
        <f>IFERROR(VLOOKUP($A675,EVENTO!$A$2:$C$4999,3,FALSE),"")</f>
        <v/>
      </c>
      <c r="D675" s="11"/>
      <c r="E675" s="117"/>
      <c r="F675" s="117"/>
      <c r="H675" s="80"/>
    </row>
    <row r="676">
      <c r="A676" s="11"/>
      <c r="B676" s="50" t="str">
        <f>IFERROR(VLOOKUP($A676,EVENTO!$A$2:$C$4999,2,FALSE),"")</f>
        <v/>
      </c>
      <c r="C676" s="50" t="str">
        <f>IFERROR(VLOOKUP($A676,EVENTO!$A$2:$C$4999,3,FALSE),"")</f>
        <v/>
      </c>
      <c r="D676" s="11"/>
      <c r="E676" s="117"/>
      <c r="F676" s="117"/>
      <c r="H676" s="80"/>
    </row>
    <row r="677">
      <c r="A677" s="11"/>
      <c r="B677" s="50" t="str">
        <f>IFERROR(VLOOKUP($A677,EVENTO!$A$2:$C$4999,2,FALSE),"")</f>
        <v/>
      </c>
      <c r="C677" s="50" t="str">
        <f>IFERROR(VLOOKUP($A677,EVENTO!$A$2:$C$4999,3,FALSE),"")</f>
        <v/>
      </c>
      <c r="D677" s="11"/>
      <c r="E677" s="117"/>
      <c r="F677" s="117"/>
      <c r="H677" s="80"/>
    </row>
    <row r="678">
      <c r="A678" s="11"/>
      <c r="B678" s="50" t="str">
        <f>IFERROR(VLOOKUP($A678,EVENTO!$A$2:$C$4999,2,FALSE),"")</f>
        <v/>
      </c>
      <c r="C678" s="50" t="str">
        <f>IFERROR(VLOOKUP($A678,EVENTO!$A$2:$C$4999,3,FALSE),"")</f>
        <v/>
      </c>
      <c r="D678" s="11"/>
      <c r="E678" s="117"/>
      <c r="F678" s="117"/>
      <c r="H678" s="80"/>
    </row>
    <row r="679">
      <c r="A679" s="11"/>
      <c r="B679" s="50" t="str">
        <f>IFERROR(VLOOKUP($A679,EVENTO!$A$2:$C$4999,2,FALSE),"")</f>
        <v/>
      </c>
      <c r="C679" s="50" t="str">
        <f>IFERROR(VLOOKUP($A679,EVENTO!$A$2:$C$4999,3,FALSE),"")</f>
        <v/>
      </c>
      <c r="D679" s="11"/>
      <c r="E679" s="117"/>
      <c r="F679" s="117"/>
      <c r="H679" s="80"/>
    </row>
    <row r="680">
      <c r="A680" s="11"/>
      <c r="B680" s="50" t="str">
        <f>IFERROR(VLOOKUP($A680,EVENTO!$A$2:$C$4999,2,FALSE),"")</f>
        <v/>
      </c>
      <c r="C680" s="50" t="str">
        <f>IFERROR(VLOOKUP($A680,EVENTO!$A$2:$C$4999,3,FALSE),"")</f>
        <v/>
      </c>
      <c r="D680" s="11"/>
      <c r="E680" s="117"/>
      <c r="F680" s="117"/>
      <c r="H680" s="80"/>
    </row>
    <row r="681">
      <c r="A681" s="11"/>
      <c r="B681" s="50" t="str">
        <f>IFERROR(VLOOKUP($A681,EVENTO!$A$2:$C$4999,2,FALSE),"")</f>
        <v/>
      </c>
      <c r="C681" s="50" t="str">
        <f>IFERROR(VLOOKUP($A681,EVENTO!$A$2:$C$4999,3,FALSE),"")</f>
        <v/>
      </c>
      <c r="D681" s="11"/>
      <c r="E681" s="117"/>
      <c r="F681" s="117"/>
      <c r="H681" s="80"/>
    </row>
    <row r="682">
      <c r="A682" s="11"/>
      <c r="B682" s="50" t="str">
        <f>IFERROR(VLOOKUP($A682,EVENTO!$A$2:$C$4999,2,FALSE),"")</f>
        <v/>
      </c>
      <c r="C682" s="50" t="str">
        <f>IFERROR(VLOOKUP($A682,EVENTO!$A$2:$C$4999,3,FALSE),"")</f>
        <v/>
      </c>
      <c r="D682" s="11"/>
      <c r="E682" s="117"/>
      <c r="F682" s="117"/>
      <c r="H682" s="80"/>
    </row>
    <row r="683">
      <c r="A683" s="11"/>
      <c r="B683" s="50" t="str">
        <f>IFERROR(VLOOKUP($A683,EVENTO!$A$2:$C$4999,2,FALSE),"")</f>
        <v/>
      </c>
      <c r="C683" s="50" t="str">
        <f>IFERROR(VLOOKUP($A683,EVENTO!$A$2:$C$4999,3,FALSE),"")</f>
        <v/>
      </c>
      <c r="D683" s="11"/>
      <c r="E683" s="117"/>
      <c r="F683" s="117"/>
      <c r="H683" s="80"/>
    </row>
    <row r="684">
      <c r="A684" s="11"/>
      <c r="B684" s="50" t="str">
        <f>IFERROR(VLOOKUP($A684,EVENTO!$A$2:$C$4999,2,FALSE),"")</f>
        <v/>
      </c>
      <c r="C684" s="50" t="str">
        <f>IFERROR(VLOOKUP($A684,EVENTO!$A$2:$C$4999,3,FALSE),"")</f>
        <v/>
      </c>
      <c r="D684" s="11"/>
      <c r="E684" s="117"/>
      <c r="F684" s="117"/>
      <c r="H684" s="80"/>
    </row>
    <row r="685">
      <c r="A685" s="11"/>
      <c r="B685" s="50" t="str">
        <f>IFERROR(VLOOKUP($A685,EVENTO!$A$2:$C$4999,2,FALSE),"")</f>
        <v/>
      </c>
      <c r="C685" s="50" t="str">
        <f>IFERROR(VLOOKUP($A685,EVENTO!$A$2:$C$4999,3,FALSE),"")</f>
        <v/>
      </c>
      <c r="D685" s="11"/>
      <c r="E685" s="117"/>
      <c r="F685" s="117"/>
      <c r="H685" s="80"/>
    </row>
    <row r="686">
      <c r="A686" s="11"/>
      <c r="B686" s="50" t="str">
        <f>IFERROR(VLOOKUP($A686,EVENTO!$A$2:$C$4999,2,FALSE),"")</f>
        <v/>
      </c>
      <c r="C686" s="50" t="str">
        <f>IFERROR(VLOOKUP($A686,EVENTO!$A$2:$C$4999,3,FALSE),"")</f>
        <v/>
      </c>
      <c r="D686" s="11"/>
      <c r="E686" s="117"/>
      <c r="F686" s="117"/>
      <c r="H686" s="80"/>
    </row>
    <row r="687">
      <c r="A687" s="11"/>
      <c r="B687" s="50" t="str">
        <f>IFERROR(VLOOKUP($A687,EVENTO!$A$2:$C$4999,2,FALSE),"")</f>
        <v/>
      </c>
      <c r="C687" s="50" t="str">
        <f>IFERROR(VLOOKUP($A687,EVENTO!$A$2:$C$4999,3,FALSE),"")</f>
        <v/>
      </c>
      <c r="D687" s="11"/>
      <c r="E687" s="117"/>
      <c r="F687" s="117"/>
      <c r="H687" s="80"/>
    </row>
    <row r="688">
      <c r="A688" s="11"/>
      <c r="B688" s="50" t="str">
        <f>IFERROR(VLOOKUP($A688,EVENTO!$A$2:$C$4999,2,FALSE),"")</f>
        <v/>
      </c>
      <c r="C688" s="50" t="str">
        <f>IFERROR(VLOOKUP($A688,EVENTO!$A$2:$C$4999,3,FALSE),"")</f>
        <v/>
      </c>
      <c r="D688" s="11"/>
      <c r="E688" s="117"/>
      <c r="F688" s="117"/>
      <c r="H688" s="80"/>
    </row>
    <row r="689">
      <c r="A689" s="11"/>
      <c r="B689" s="50" t="str">
        <f>IFERROR(VLOOKUP($A689,EVENTO!$A$2:$C$4999,2,FALSE),"")</f>
        <v/>
      </c>
      <c r="C689" s="50" t="str">
        <f>IFERROR(VLOOKUP($A689,EVENTO!$A$2:$C$4999,3,FALSE),"")</f>
        <v/>
      </c>
      <c r="D689" s="11"/>
      <c r="E689" s="117"/>
      <c r="F689" s="117"/>
      <c r="H689" s="80"/>
    </row>
    <row r="690">
      <c r="A690" s="11"/>
      <c r="B690" s="50" t="str">
        <f>IFERROR(VLOOKUP($A690,EVENTO!$A$2:$C$4999,2,FALSE),"")</f>
        <v/>
      </c>
      <c r="C690" s="50" t="str">
        <f>IFERROR(VLOOKUP($A690,EVENTO!$A$2:$C$4999,3,FALSE),"")</f>
        <v/>
      </c>
      <c r="D690" s="11"/>
      <c r="E690" s="117"/>
      <c r="F690" s="117"/>
      <c r="H690" s="80"/>
    </row>
    <row r="691">
      <c r="A691" s="11"/>
      <c r="B691" s="50" t="str">
        <f>IFERROR(VLOOKUP($A691,EVENTO!$A$2:$C$4999,2,FALSE),"")</f>
        <v/>
      </c>
      <c r="C691" s="50" t="str">
        <f>IFERROR(VLOOKUP($A691,EVENTO!$A$2:$C$4999,3,FALSE),"")</f>
        <v/>
      </c>
      <c r="D691" s="11"/>
      <c r="E691" s="117"/>
      <c r="F691" s="117"/>
      <c r="H691" s="80"/>
    </row>
    <row r="692">
      <c r="A692" s="11"/>
      <c r="B692" s="50" t="str">
        <f>IFERROR(VLOOKUP($A692,EVENTO!$A$2:$C$4999,2,FALSE),"")</f>
        <v/>
      </c>
      <c r="C692" s="50" t="str">
        <f>IFERROR(VLOOKUP($A692,EVENTO!$A$2:$C$4999,3,FALSE),"")</f>
        <v/>
      </c>
      <c r="D692" s="11"/>
      <c r="E692" s="117"/>
      <c r="F692" s="117"/>
      <c r="H692" s="80"/>
    </row>
    <row r="693">
      <c r="A693" s="11"/>
      <c r="B693" s="50" t="str">
        <f>IFERROR(VLOOKUP($A693,EVENTO!$A$2:$C$4999,2,FALSE),"")</f>
        <v/>
      </c>
      <c r="C693" s="50" t="str">
        <f>IFERROR(VLOOKUP($A693,EVENTO!$A$2:$C$4999,3,FALSE),"")</f>
        <v/>
      </c>
      <c r="D693" s="11"/>
      <c r="E693" s="117"/>
      <c r="F693" s="117"/>
      <c r="H693" s="80"/>
    </row>
    <row r="694">
      <c r="A694" s="11"/>
      <c r="B694" s="50" t="str">
        <f>IFERROR(VLOOKUP($A694,EVENTO!$A$2:$C$4999,2,FALSE),"")</f>
        <v/>
      </c>
      <c r="C694" s="50" t="str">
        <f>IFERROR(VLOOKUP($A694,EVENTO!$A$2:$C$4999,3,FALSE),"")</f>
        <v/>
      </c>
      <c r="D694" s="11"/>
      <c r="E694" s="117"/>
      <c r="F694" s="117"/>
      <c r="H694" s="80"/>
    </row>
    <row r="695">
      <c r="A695" s="11"/>
      <c r="B695" s="50" t="str">
        <f>IFERROR(VLOOKUP($A695,EVENTO!$A$2:$C$4999,2,FALSE),"")</f>
        <v/>
      </c>
      <c r="C695" s="50" t="str">
        <f>IFERROR(VLOOKUP($A695,EVENTO!$A$2:$C$4999,3,FALSE),"")</f>
        <v/>
      </c>
      <c r="D695" s="11"/>
      <c r="E695" s="117"/>
      <c r="F695" s="117"/>
      <c r="H695" s="80"/>
    </row>
    <row r="696">
      <c r="A696" s="11"/>
      <c r="B696" s="50" t="str">
        <f>IFERROR(VLOOKUP($A696,EVENTO!$A$2:$C$4999,2,FALSE),"")</f>
        <v/>
      </c>
      <c r="C696" s="50" t="str">
        <f>IFERROR(VLOOKUP($A696,EVENTO!$A$2:$C$4999,3,FALSE),"")</f>
        <v/>
      </c>
      <c r="D696" s="11"/>
      <c r="E696" s="117"/>
      <c r="F696" s="117"/>
      <c r="H696" s="80"/>
    </row>
    <row r="697">
      <c r="A697" s="11"/>
      <c r="B697" s="50" t="str">
        <f>IFERROR(VLOOKUP($A697,EVENTO!$A$2:$C$4999,2,FALSE),"")</f>
        <v/>
      </c>
      <c r="C697" s="50" t="str">
        <f>IFERROR(VLOOKUP($A697,EVENTO!$A$2:$C$4999,3,FALSE),"")</f>
        <v/>
      </c>
      <c r="D697" s="11"/>
      <c r="E697" s="117"/>
      <c r="F697" s="117"/>
      <c r="H697" s="80"/>
    </row>
    <row r="698">
      <c r="A698" s="11"/>
      <c r="B698" s="50" t="str">
        <f>IFERROR(VLOOKUP($A698,EVENTO!$A$2:$C$4999,2,FALSE),"")</f>
        <v/>
      </c>
      <c r="C698" s="50" t="str">
        <f>IFERROR(VLOOKUP($A698,EVENTO!$A$2:$C$4999,3,FALSE),"")</f>
        <v/>
      </c>
      <c r="D698" s="11"/>
      <c r="E698" s="117"/>
      <c r="F698" s="117"/>
      <c r="H698" s="80"/>
    </row>
    <row r="699">
      <c r="A699" s="11"/>
      <c r="B699" s="50" t="str">
        <f>IFERROR(VLOOKUP($A699,EVENTO!$A$2:$C$4999,2,FALSE),"")</f>
        <v/>
      </c>
      <c r="C699" s="50" t="str">
        <f>IFERROR(VLOOKUP($A699,EVENTO!$A$2:$C$4999,3,FALSE),"")</f>
        <v/>
      </c>
      <c r="D699" s="11"/>
      <c r="E699" s="117"/>
      <c r="F699" s="117"/>
      <c r="H699" s="80"/>
    </row>
    <row r="700">
      <c r="A700" s="11"/>
      <c r="B700" s="50" t="str">
        <f>IFERROR(VLOOKUP($A700,EVENTO!$A$2:$C$4999,2,FALSE),"")</f>
        <v/>
      </c>
      <c r="C700" s="50" t="str">
        <f>IFERROR(VLOOKUP($A700,EVENTO!$A$2:$C$4999,3,FALSE),"")</f>
        <v/>
      </c>
      <c r="D700" s="11"/>
      <c r="E700" s="117"/>
      <c r="F700" s="117"/>
      <c r="H700" s="80"/>
    </row>
    <row r="701">
      <c r="A701" s="11"/>
      <c r="B701" s="50" t="str">
        <f>IFERROR(VLOOKUP($A701,EVENTO!$A$2:$C$4999,2,FALSE),"")</f>
        <v/>
      </c>
      <c r="C701" s="50" t="str">
        <f>IFERROR(VLOOKUP($A701,EVENTO!$A$2:$C$4999,3,FALSE),"")</f>
        <v/>
      </c>
      <c r="D701" s="11"/>
      <c r="E701" s="117"/>
      <c r="F701" s="117"/>
      <c r="H701" s="80"/>
    </row>
    <row r="702">
      <c r="A702" s="11"/>
      <c r="B702" s="50" t="str">
        <f>IFERROR(VLOOKUP($A702,EVENTO!$A$2:$C$4999,2,FALSE),"")</f>
        <v/>
      </c>
      <c r="C702" s="50" t="str">
        <f>IFERROR(VLOOKUP($A702,EVENTO!$A$2:$C$4999,3,FALSE),"")</f>
        <v/>
      </c>
      <c r="D702" s="11"/>
      <c r="E702" s="117"/>
      <c r="F702" s="117"/>
      <c r="H702" s="80"/>
    </row>
    <row r="703">
      <c r="A703" s="11"/>
      <c r="B703" s="50" t="str">
        <f>IFERROR(VLOOKUP($A703,EVENTO!$A$2:$C$4999,2,FALSE),"")</f>
        <v/>
      </c>
      <c r="C703" s="50" t="str">
        <f>IFERROR(VLOOKUP($A703,EVENTO!$A$2:$C$4999,3,FALSE),"")</f>
        <v/>
      </c>
      <c r="D703" s="11"/>
      <c r="E703" s="117"/>
      <c r="F703" s="117"/>
      <c r="H703" s="80"/>
    </row>
    <row r="704">
      <c r="A704" s="11"/>
      <c r="B704" s="50" t="str">
        <f>IFERROR(VLOOKUP($A704,EVENTO!$A$2:$C$4999,2,FALSE),"")</f>
        <v/>
      </c>
      <c r="C704" s="50" t="str">
        <f>IFERROR(VLOOKUP($A704,EVENTO!$A$2:$C$4999,3,FALSE),"")</f>
        <v/>
      </c>
      <c r="D704" s="11"/>
      <c r="E704" s="117"/>
      <c r="F704" s="117"/>
      <c r="H704" s="80"/>
    </row>
    <row r="705">
      <c r="A705" s="11"/>
      <c r="B705" s="50" t="str">
        <f>IFERROR(VLOOKUP($A705,EVENTO!$A$2:$C$4999,2,FALSE),"")</f>
        <v/>
      </c>
      <c r="C705" s="50" t="str">
        <f>IFERROR(VLOOKUP($A705,EVENTO!$A$2:$C$4999,3,FALSE),"")</f>
        <v/>
      </c>
      <c r="D705" s="11"/>
      <c r="E705" s="117"/>
      <c r="F705" s="117"/>
      <c r="H705" s="80"/>
    </row>
    <row r="706">
      <c r="A706" s="11"/>
      <c r="B706" s="50" t="str">
        <f>IFERROR(VLOOKUP($A706,EVENTO!$A$2:$C$4999,2,FALSE),"")</f>
        <v/>
      </c>
      <c r="C706" s="50" t="str">
        <f>IFERROR(VLOOKUP($A706,EVENTO!$A$2:$C$4999,3,FALSE),"")</f>
        <v/>
      </c>
      <c r="D706" s="11"/>
      <c r="E706" s="117"/>
      <c r="F706" s="117"/>
      <c r="H706" s="80"/>
    </row>
    <row r="707">
      <c r="A707" s="11"/>
      <c r="B707" s="50" t="str">
        <f>IFERROR(VLOOKUP($A707,EVENTO!$A$2:$C$4999,2,FALSE),"")</f>
        <v/>
      </c>
      <c r="C707" s="50" t="str">
        <f>IFERROR(VLOOKUP($A707,EVENTO!$A$2:$C$4999,3,FALSE),"")</f>
        <v/>
      </c>
      <c r="D707" s="11"/>
      <c r="E707" s="117"/>
      <c r="F707" s="117"/>
      <c r="H707" s="80"/>
    </row>
    <row r="708">
      <c r="A708" s="11"/>
      <c r="B708" s="50" t="str">
        <f>IFERROR(VLOOKUP($A708,EVENTO!$A$2:$C$4999,2,FALSE),"")</f>
        <v/>
      </c>
      <c r="C708" s="50" t="str">
        <f>IFERROR(VLOOKUP($A708,EVENTO!$A$2:$C$4999,3,FALSE),"")</f>
        <v/>
      </c>
      <c r="D708" s="11"/>
      <c r="E708" s="117"/>
      <c r="F708" s="117"/>
      <c r="H708" s="80"/>
    </row>
    <row r="709">
      <c r="A709" s="11"/>
      <c r="B709" s="50" t="str">
        <f>IFERROR(VLOOKUP($A709,EVENTO!$A$2:$C$4999,2,FALSE),"")</f>
        <v/>
      </c>
      <c r="C709" s="50" t="str">
        <f>IFERROR(VLOOKUP($A709,EVENTO!$A$2:$C$4999,3,FALSE),"")</f>
        <v/>
      </c>
      <c r="D709" s="11"/>
      <c r="E709" s="117"/>
      <c r="F709" s="117"/>
      <c r="H709" s="80"/>
    </row>
    <row r="710">
      <c r="A710" s="11"/>
      <c r="B710" s="50" t="str">
        <f>IFERROR(VLOOKUP($A710,EVENTO!$A$2:$C$4999,2,FALSE),"")</f>
        <v/>
      </c>
      <c r="C710" s="50" t="str">
        <f>IFERROR(VLOOKUP($A710,EVENTO!$A$2:$C$4999,3,FALSE),"")</f>
        <v/>
      </c>
      <c r="D710" s="11"/>
      <c r="E710" s="117"/>
      <c r="F710" s="117"/>
      <c r="H710" s="80"/>
    </row>
    <row r="711">
      <c r="A711" s="11"/>
      <c r="B711" s="50" t="str">
        <f>IFERROR(VLOOKUP($A711,EVENTO!$A$2:$C$4999,2,FALSE),"")</f>
        <v/>
      </c>
      <c r="C711" s="50" t="str">
        <f>IFERROR(VLOOKUP($A711,EVENTO!$A$2:$C$4999,3,FALSE),"")</f>
        <v/>
      </c>
      <c r="D711" s="11"/>
      <c r="E711" s="117"/>
      <c r="F711" s="117"/>
      <c r="H711" s="80"/>
    </row>
    <row r="712">
      <c r="A712" s="11"/>
      <c r="B712" s="50" t="str">
        <f>IFERROR(VLOOKUP($A712,EVENTO!$A$2:$C$4999,2,FALSE),"")</f>
        <v/>
      </c>
      <c r="C712" s="50" t="str">
        <f>IFERROR(VLOOKUP($A712,EVENTO!$A$2:$C$4999,3,FALSE),"")</f>
        <v/>
      </c>
      <c r="D712" s="11"/>
      <c r="E712" s="117"/>
      <c r="F712" s="117"/>
      <c r="H712" s="80"/>
    </row>
    <row r="713">
      <c r="A713" s="11"/>
      <c r="B713" s="50" t="str">
        <f>IFERROR(VLOOKUP($A713,EVENTO!$A$2:$C$4999,2,FALSE),"")</f>
        <v/>
      </c>
      <c r="C713" s="50" t="str">
        <f>IFERROR(VLOOKUP($A713,EVENTO!$A$2:$C$4999,3,FALSE),"")</f>
        <v/>
      </c>
      <c r="D713" s="11"/>
      <c r="E713" s="117"/>
      <c r="F713" s="117"/>
      <c r="H713" s="80"/>
    </row>
    <row r="714">
      <c r="A714" s="11"/>
      <c r="B714" s="50" t="str">
        <f>IFERROR(VLOOKUP($A714,EVENTO!$A$2:$C$4999,2,FALSE),"")</f>
        <v/>
      </c>
      <c r="C714" s="50" t="str">
        <f>IFERROR(VLOOKUP($A714,EVENTO!$A$2:$C$4999,3,FALSE),"")</f>
        <v/>
      </c>
      <c r="D714" s="11"/>
      <c r="E714" s="117"/>
      <c r="F714" s="117"/>
      <c r="H714" s="80"/>
    </row>
    <row r="715">
      <c r="A715" s="11"/>
      <c r="B715" s="50" t="str">
        <f>IFERROR(VLOOKUP($A715,EVENTO!$A$2:$C$4999,2,FALSE),"")</f>
        <v/>
      </c>
      <c r="C715" s="50" t="str">
        <f>IFERROR(VLOOKUP($A715,EVENTO!$A$2:$C$4999,3,FALSE),"")</f>
        <v/>
      </c>
      <c r="D715" s="11"/>
      <c r="E715" s="117"/>
      <c r="F715" s="117"/>
      <c r="H715" s="80"/>
    </row>
    <row r="716">
      <c r="A716" s="11"/>
      <c r="B716" s="50" t="str">
        <f>IFERROR(VLOOKUP($A716,EVENTO!$A$2:$C$4999,2,FALSE),"")</f>
        <v/>
      </c>
      <c r="C716" s="50" t="str">
        <f>IFERROR(VLOOKUP($A716,EVENTO!$A$2:$C$4999,3,FALSE),"")</f>
        <v/>
      </c>
      <c r="D716" s="11"/>
      <c r="E716" s="117"/>
      <c r="F716" s="117"/>
      <c r="H716" s="80"/>
    </row>
    <row r="717">
      <c r="A717" s="11"/>
      <c r="B717" s="50" t="str">
        <f>IFERROR(VLOOKUP($A717,EVENTO!$A$2:$C$4999,2,FALSE),"")</f>
        <v/>
      </c>
      <c r="C717" s="50" t="str">
        <f>IFERROR(VLOOKUP($A717,EVENTO!$A$2:$C$4999,3,FALSE),"")</f>
        <v/>
      </c>
      <c r="D717" s="11"/>
      <c r="E717" s="117"/>
      <c r="F717" s="117"/>
      <c r="H717" s="80"/>
    </row>
    <row r="718">
      <c r="A718" s="11"/>
      <c r="B718" s="50" t="str">
        <f>IFERROR(VLOOKUP($A718,EVENTO!$A$2:$C$4999,2,FALSE),"")</f>
        <v/>
      </c>
      <c r="C718" s="50" t="str">
        <f>IFERROR(VLOOKUP($A718,EVENTO!$A$2:$C$4999,3,FALSE),"")</f>
        <v/>
      </c>
      <c r="D718" s="11"/>
      <c r="E718" s="117"/>
      <c r="F718" s="117"/>
      <c r="H718" s="80"/>
    </row>
    <row r="719">
      <c r="A719" s="11"/>
      <c r="B719" s="50" t="str">
        <f>IFERROR(VLOOKUP($A719,EVENTO!$A$2:$C$4999,2,FALSE),"")</f>
        <v/>
      </c>
      <c r="C719" s="50" t="str">
        <f>IFERROR(VLOOKUP($A719,EVENTO!$A$2:$C$4999,3,FALSE),"")</f>
        <v/>
      </c>
      <c r="D719" s="11"/>
      <c r="E719" s="117"/>
      <c r="F719" s="117"/>
      <c r="H719" s="80"/>
    </row>
    <row r="720">
      <c r="A720" s="11"/>
      <c r="B720" s="50" t="str">
        <f>IFERROR(VLOOKUP($A720,EVENTO!$A$2:$C$4999,2,FALSE),"")</f>
        <v/>
      </c>
      <c r="C720" s="50" t="str">
        <f>IFERROR(VLOOKUP($A720,EVENTO!$A$2:$C$4999,3,FALSE),"")</f>
        <v/>
      </c>
      <c r="D720" s="11"/>
      <c r="E720" s="117"/>
      <c r="F720" s="117"/>
      <c r="H720" s="80"/>
    </row>
    <row r="721">
      <c r="A721" s="11"/>
      <c r="B721" s="50" t="str">
        <f>IFERROR(VLOOKUP($A721,EVENTO!$A$2:$C$4999,2,FALSE),"")</f>
        <v/>
      </c>
      <c r="C721" s="50" t="str">
        <f>IFERROR(VLOOKUP($A721,EVENTO!$A$2:$C$4999,3,FALSE),"")</f>
        <v/>
      </c>
      <c r="D721" s="11"/>
      <c r="E721" s="117"/>
      <c r="F721" s="117"/>
      <c r="H721" s="80"/>
    </row>
    <row r="722">
      <c r="A722" s="11"/>
      <c r="B722" s="50" t="str">
        <f>IFERROR(VLOOKUP($A722,EVENTO!$A$2:$C$4999,2,FALSE),"")</f>
        <v/>
      </c>
      <c r="C722" s="50" t="str">
        <f>IFERROR(VLOOKUP($A722,EVENTO!$A$2:$C$4999,3,FALSE),"")</f>
        <v/>
      </c>
      <c r="D722" s="11"/>
      <c r="E722" s="117"/>
      <c r="F722" s="117"/>
      <c r="H722" s="80"/>
    </row>
    <row r="723">
      <c r="A723" s="11"/>
      <c r="B723" s="50" t="str">
        <f>IFERROR(VLOOKUP($A723,EVENTO!$A$2:$C$4999,2,FALSE),"")</f>
        <v/>
      </c>
      <c r="C723" s="50" t="str">
        <f>IFERROR(VLOOKUP($A723,EVENTO!$A$2:$C$4999,3,FALSE),"")</f>
        <v/>
      </c>
      <c r="D723" s="11"/>
      <c r="E723" s="117"/>
      <c r="F723" s="117"/>
      <c r="H723" s="80"/>
    </row>
    <row r="724">
      <c r="A724" s="11"/>
      <c r="B724" s="50" t="str">
        <f>IFERROR(VLOOKUP($A724,EVENTO!$A$2:$C$4999,2,FALSE),"")</f>
        <v/>
      </c>
      <c r="C724" s="50" t="str">
        <f>IFERROR(VLOOKUP($A724,EVENTO!$A$2:$C$4999,3,FALSE),"")</f>
        <v/>
      </c>
      <c r="D724" s="11"/>
      <c r="E724" s="117"/>
      <c r="F724" s="117"/>
      <c r="H724" s="80"/>
    </row>
    <row r="725">
      <c r="A725" s="11"/>
      <c r="B725" s="50" t="str">
        <f>IFERROR(VLOOKUP($A725,EVENTO!$A$2:$C$4999,2,FALSE),"")</f>
        <v/>
      </c>
      <c r="C725" s="50" t="str">
        <f>IFERROR(VLOOKUP($A725,EVENTO!$A$2:$C$4999,3,FALSE),"")</f>
        <v/>
      </c>
      <c r="D725" s="11"/>
      <c r="E725" s="117"/>
      <c r="F725" s="117"/>
      <c r="H725" s="80"/>
    </row>
    <row r="726">
      <c r="A726" s="11"/>
      <c r="B726" s="50" t="str">
        <f>IFERROR(VLOOKUP($A726,EVENTO!$A$2:$C$4999,2,FALSE),"")</f>
        <v/>
      </c>
      <c r="C726" s="50" t="str">
        <f>IFERROR(VLOOKUP($A726,EVENTO!$A$2:$C$4999,3,FALSE),"")</f>
        <v/>
      </c>
      <c r="D726" s="11"/>
      <c r="E726" s="117"/>
      <c r="F726" s="117"/>
      <c r="H726" s="80"/>
    </row>
    <row r="727">
      <c r="A727" s="11"/>
      <c r="B727" s="50" t="str">
        <f>IFERROR(VLOOKUP($A727,EVENTO!$A$2:$C$4999,2,FALSE),"")</f>
        <v/>
      </c>
      <c r="C727" s="50" t="str">
        <f>IFERROR(VLOOKUP($A727,EVENTO!$A$2:$C$4999,3,FALSE),"")</f>
        <v/>
      </c>
      <c r="D727" s="11"/>
      <c r="E727" s="117"/>
      <c r="F727" s="117"/>
      <c r="H727" s="80"/>
    </row>
    <row r="728">
      <c r="A728" s="11"/>
      <c r="B728" s="50" t="str">
        <f>IFERROR(VLOOKUP($A728,EVENTO!$A$2:$C$4999,2,FALSE),"")</f>
        <v/>
      </c>
      <c r="C728" s="50" t="str">
        <f>IFERROR(VLOOKUP($A728,EVENTO!$A$2:$C$4999,3,FALSE),"")</f>
        <v/>
      </c>
      <c r="D728" s="11"/>
      <c r="E728" s="117"/>
      <c r="F728" s="117"/>
      <c r="H728" s="80"/>
    </row>
    <row r="729">
      <c r="A729" s="11"/>
      <c r="B729" s="50" t="str">
        <f>IFERROR(VLOOKUP($A729,EVENTO!$A$2:$C$4999,2,FALSE),"")</f>
        <v/>
      </c>
      <c r="C729" s="50" t="str">
        <f>IFERROR(VLOOKUP($A729,EVENTO!$A$2:$C$4999,3,FALSE),"")</f>
        <v/>
      </c>
      <c r="D729" s="11"/>
      <c r="E729" s="117"/>
      <c r="F729" s="117"/>
      <c r="H729" s="80"/>
    </row>
    <row r="730">
      <c r="A730" s="11"/>
      <c r="B730" s="50" t="str">
        <f>IFERROR(VLOOKUP($A730,EVENTO!$A$2:$C$4999,2,FALSE),"")</f>
        <v/>
      </c>
      <c r="C730" s="50" t="str">
        <f>IFERROR(VLOOKUP($A730,EVENTO!$A$2:$C$4999,3,FALSE),"")</f>
        <v/>
      </c>
      <c r="D730" s="11"/>
      <c r="E730" s="117"/>
      <c r="F730" s="117"/>
      <c r="H730" s="80"/>
    </row>
    <row r="731">
      <c r="A731" s="11"/>
      <c r="B731" s="50" t="str">
        <f>IFERROR(VLOOKUP($A731,EVENTO!$A$2:$C$4999,2,FALSE),"")</f>
        <v/>
      </c>
      <c r="C731" s="50" t="str">
        <f>IFERROR(VLOOKUP($A731,EVENTO!$A$2:$C$4999,3,FALSE),"")</f>
        <v/>
      </c>
      <c r="D731" s="11"/>
      <c r="E731" s="117"/>
      <c r="F731" s="117"/>
      <c r="H731" s="80"/>
    </row>
    <row r="732">
      <c r="A732" s="11"/>
      <c r="B732" s="50" t="str">
        <f>IFERROR(VLOOKUP($A732,EVENTO!$A$2:$C$4999,2,FALSE),"")</f>
        <v/>
      </c>
      <c r="C732" s="50" t="str">
        <f>IFERROR(VLOOKUP($A732,EVENTO!$A$2:$C$4999,3,FALSE),"")</f>
        <v/>
      </c>
      <c r="D732" s="11"/>
      <c r="E732" s="117"/>
      <c r="F732" s="117"/>
      <c r="H732" s="80"/>
    </row>
    <row r="733">
      <c r="A733" s="11"/>
      <c r="B733" s="50" t="str">
        <f>IFERROR(VLOOKUP($A733,EVENTO!$A$2:$C$4999,2,FALSE),"")</f>
        <v/>
      </c>
      <c r="C733" s="50" t="str">
        <f>IFERROR(VLOOKUP($A733,EVENTO!$A$2:$C$4999,3,FALSE),"")</f>
        <v/>
      </c>
      <c r="D733" s="11"/>
      <c r="E733" s="117"/>
      <c r="F733" s="117"/>
      <c r="H733" s="80"/>
    </row>
    <row r="734">
      <c r="A734" s="11"/>
      <c r="B734" s="50" t="str">
        <f>IFERROR(VLOOKUP($A734,EVENTO!$A$2:$C$4999,2,FALSE),"")</f>
        <v/>
      </c>
      <c r="C734" s="50" t="str">
        <f>IFERROR(VLOOKUP($A734,EVENTO!$A$2:$C$4999,3,FALSE),"")</f>
        <v/>
      </c>
      <c r="D734" s="11"/>
      <c r="E734" s="117"/>
      <c r="F734" s="117"/>
      <c r="H734" s="80"/>
    </row>
    <row r="735">
      <c r="A735" s="11"/>
      <c r="B735" s="50" t="str">
        <f>IFERROR(VLOOKUP($A735,EVENTO!$A$2:$C$4999,2,FALSE),"")</f>
        <v/>
      </c>
      <c r="C735" s="50" t="str">
        <f>IFERROR(VLOOKUP($A735,EVENTO!$A$2:$C$4999,3,FALSE),"")</f>
        <v/>
      </c>
      <c r="D735" s="11"/>
      <c r="E735" s="117"/>
      <c r="F735" s="117"/>
      <c r="H735" s="80"/>
    </row>
    <row r="736">
      <c r="A736" s="11"/>
      <c r="B736" s="50" t="str">
        <f>IFERROR(VLOOKUP($A736,EVENTO!$A$2:$C$4999,2,FALSE),"")</f>
        <v/>
      </c>
      <c r="C736" s="50" t="str">
        <f>IFERROR(VLOOKUP($A736,EVENTO!$A$2:$C$4999,3,FALSE),"")</f>
        <v/>
      </c>
      <c r="D736" s="11"/>
      <c r="E736" s="117"/>
      <c r="F736" s="117"/>
      <c r="H736" s="80"/>
    </row>
    <row r="737">
      <c r="A737" s="11"/>
      <c r="B737" s="50" t="str">
        <f>IFERROR(VLOOKUP($A737,EVENTO!$A$2:$C$4999,2,FALSE),"")</f>
        <v/>
      </c>
      <c r="C737" s="50" t="str">
        <f>IFERROR(VLOOKUP($A737,EVENTO!$A$2:$C$4999,3,FALSE),"")</f>
        <v/>
      </c>
      <c r="D737" s="11"/>
      <c r="E737" s="117"/>
      <c r="F737" s="117"/>
      <c r="H737" s="80"/>
    </row>
    <row r="738">
      <c r="A738" s="11"/>
      <c r="B738" s="50" t="str">
        <f>IFERROR(VLOOKUP($A738,EVENTO!$A$2:$C$4999,2,FALSE),"")</f>
        <v/>
      </c>
      <c r="C738" s="50" t="str">
        <f>IFERROR(VLOOKUP($A738,EVENTO!$A$2:$C$4999,3,FALSE),"")</f>
        <v/>
      </c>
      <c r="D738" s="11"/>
      <c r="E738" s="117"/>
      <c r="F738" s="117"/>
      <c r="H738" s="80"/>
    </row>
    <row r="739">
      <c r="A739" s="11"/>
      <c r="B739" s="50" t="str">
        <f>IFERROR(VLOOKUP($A739,EVENTO!$A$2:$C$4999,2,FALSE),"")</f>
        <v/>
      </c>
      <c r="C739" s="50" t="str">
        <f>IFERROR(VLOOKUP($A739,EVENTO!$A$2:$C$4999,3,FALSE),"")</f>
        <v/>
      </c>
      <c r="D739" s="11"/>
      <c r="E739" s="117"/>
      <c r="F739" s="117"/>
      <c r="H739" s="80"/>
    </row>
    <row r="740">
      <c r="A740" s="11"/>
      <c r="B740" s="50" t="str">
        <f>IFERROR(VLOOKUP($A740,EVENTO!$A$2:$C$4999,2,FALSE),"")</f>
        <v/>
      </c>
      <c r="C740" s="50" t="str">
        <f>IFERROR(VLOOKUP($A740,EVENTO!$A$2:$C$4999,3,FALSE),"")</f>
        <v/>
      </c>
      <c r="D740" s="11"/>
      <c r="E740" s="117"/>
      <c r="F740" s="117"/>
      <c r="H740" s="80"/>
    </row>
    <row r="741">
      <c r="A741" s="11"/>
      <c r="B741" s="50" t="str">
        <f>IFERROR(VLOOKUP($A741,EVENTO!$A$2:$C$4999,2,FALSE),"")</f>
        <v/>
      </c>
      <c r="C741" s="50" t="str">
        <f>IFERROR(VLOOKUP($A741,EVENTO!$A$2:$C$4999,3,FALSE),"")</f>
        <v/>
      </c>
      <c r="D741" s="11"/>
      <c r="E741" s="117"/>
      <c r="F741" s="117"/>
      <c r="H741" s="80"/>
    </row>
    <row r="742">
      <c r="A742" s="11"/>
      <c r="B742" s="50" t="str">
        <f>IFERROR(VLOOKUP($A742,EVENTO!$A$2:$C$4999,2,FALSE),"")</f>
        <v/>
      </c>
      <c r="C742" s="50" t="str">
        <f>IFERROR(VLOOKUP($A742,EVENTO!$A$2:$C$4999,3,FALSE),"")</f>
        <v/>
      </c>
      <c r="D742" s="11"/>
      <c r="E742" s="117"/>
      <c r="F742" s="117"/>
      <c r="H742" s="80"/>
    </row>
    <row r="743">
      <c r="A743" s="11"/>
      <c r="B743" s="50" t="str">
        <f>IFERROR(VLOOKUP($A743,EVENTO!$A$2:$C$4999,2,FALSE),"")</f>
        <v/>
      </c>
      <c r="C743" s="50" t="str">
        <f>IFERROR(VLOOKUP($A743,EVENTO!$A$2:$C$4999,3,FALSE),"")</f>
        <v/>
      </c>
      <c r="D743" s="11"/>
      <c r="E743" s="117"/>
      <c r="F743" s="117"/>
      <c r="H743" s="80"/>
    </row>
    <row r="744">
      <c r="A744" s="11"/>
      <c r="B744" s="50" t="str">
        <f>IFERROR(VLOOKUP($A744,EVENTO!$A$2:$C$4999,2,FALSE),"")</f>
        <v/>
      </c>
      <c r="C744" s="50" t="str">
        <f>IFERROR(VLOOKUP($A744,EVENTO!$A$2:$C$4999,3,FALSE),"")</f>
        <v/>
      </c>
      <c r="D744" s="11"/>
      <c r="E744" s="117"/>
      <c r="F744" s="117"/>
      <c r="H744" s="80"/>
    </row>
    <row r="745">
      <c r="A745" s="11"/>
      <c r="B745" s="50" t="str">
        <f>IFERROR(VLOOKUP($A745,EVENTO!$A$2:$C$4999,2,FALSE),"")</f>
        <v/>
      </c>
      <c r="C745" s="50" t="str">
        <f>IFERROR(VLOOKUP($A745,EVENTO!$A$2:$C$4999,3,FALSE),"")</f>
        <v/>
      </c>
      <c r="D745" s="11"/>
      <c r="E745" s="117"/>
      <c r="F745" s="117"/>
      <c r="H745" s="80"/>
    </row>
    <row r="746">
      <c r="A746" s="11"/>
      <c r="B746" s="50" t="str">
        <f>IFERROR(VLOOKUP($A746,EVENTO!$A$2:$C$4999,2,FALSE),"")</f>
        <v/>
      </c>
      <c r="C746" s="50" t="str">
        <f>IFERROR(VLOOKUP($A746,EVENTO!$A$2:$C$4999,3,FALSE),"")</f>
        <v/>
      </c>
      <c r="D746" s="11"/>
      <c r="E746" s="117"/>
      <c r="F746" s="117"/>
      <c r="H746" s="80"/>
    </row>
    <row r="747">
      <c r="A747" s="11"/>
      <c r="B747" s="50" t="str">
        <f>IFERROR(VLOOKUP($A747,EVENTO!$A$2:$C$4999,2,FALSE),"")</f>
        <v/>
      </c>
      <c r="C747" s="50" t="str">
        <f>IFERROR(VLOOKUP($A747,EVENTO!$A$2:$C$4999,3,FALSE),"")</f>
        <v/>
      </c>
      <c r="D747" s="11"/>
      <c r="E747" s="117"/>
      <c r="F747" s="117"/>
      <c r="H747" s="80"/>
    </row>
    <row r="748">
      <c r="A748" s="11"/>
      <c r="B748" s="50" t="str">
        <f>IFERROR(VLOOKUP($A748,EVENTO!$A$2:$C$4999,2,FALSE),"")</f>
        <v/>
      </c>
      <c r="C748" s="50" t="str">
        <f>IFERROR(VLOOKUP($A748,EVENTO!$A$2:$C$4999,3,FALSE),"")</f>
        <v/>
      </c>
      <c r="D748" s="11"/>
      <c r="E748" s="117"/>
      <c r="F748" s="117"/>
      <c r="H748" s="80"/>
    </row>
    <row r="749">
      <c r="A749" s="11"/>
      <c r="B749" s="50" t="str">
        <f>IFERROR(VLOOKUP($A749,EVENTO!$A$2:$C$4999,2,FALSE),"")</f>
        <v/>
      </c>
      <c r="C749" s="50" t="str">
        <f>IFERROR(VLOOKUP($A749,EVENTO!$A$2:$C$4999,3,FALSE),"")</f>
        <v/>
      </c>
      <c r="D749" s="11"/>
      <c r="E749" s="117"/>
      <c r="F749" s="117"/>
      <c r="H749" s="80"/>
    </row>
    <row r="750">
      <c r="A750" s="11"/>
      <c r="B750" s="50" t="str">
        <f>IFERROR(VLOOKUP($A750,EVENTO!$A$2:$C$4999,2,FALSE),"")</f>
        <v/>
      </c>
      <c r="C750" s="50" t="str">
        <f>IFERROR(VLOOKUP($A750,EVENTO!$A$2:$C$4999,3,FALSE),"")</f>
        <v/>
      </c>
      <c r="D750" s="11"/>
      <c r="E750" s="117"/>
      <c r="F750" s="117"/>
      <c r="H750" s="80"/>
    </row>
    <row r="751">
      <c r="A751" s="11"/>
      <c r="B751" s="50" t="str">
        <f>IFERROR(VLOOKUP($A751,EVENTO!$A$2:$C$4999,2,FALSE),"")</f>
        <v/>
      </c>
      <c r="C751" s="50" t="str">
        <f>IFERROR(VLOOKUP($A751,EVENTO!$A$2:$C$4999,3,FALSE),"")</f>
        <v/>
      </c>
      <c r="D751" s="11"/>
      <c r="E751" s="117"/>
      <c r="F751" s="117"/>
      <c r="H751" s="80"/>
    </row>
    <row r="752">
      <c r="A752" s="11"/>
      <c r="B752" s="50" t="str">
        <f>IFERROR(VLOOKUP($A752,EVENTO!$A$2:$C$4999,2,FALSE),"")</f>
        <v/>
      </c>
      <c r="C752" s="50" t="str">
        <f>IFERROR(VLOOKUP($A752,EVENTO!$A$2:$C$4999,3,FALSE),"")</f>
        <v/>
      </c>
      <c r="D752" s="11"/>
      <c r="E752" s="117"/>
      <c r="F752" s="117"/>
      <c r="H752" s="80"/>
    </row>
    <row r="753">
      <c r="A753" s="11"/>
      <c r="B753" s="50" t="str">
        <f>IFERROR(VLOOKUP($A753,EVENTO!$A$2:$C$4999,2,FALSE),"")</f>
        <v/>
      </c>
      <c r="C753" s="50" t="str">
        <f>IFERROR(VLOOKUP($A753,EVENTO!$A$2:$C$4999,3,FALSE),"")</f>
        <v/>
      </c>
      <c r="D753" s="11"/>
      <c r="E753" s="117"/>
      <c r="F753" s="117"/>
      <c r="H753" s="80"/>
    </row>
    <row r="754">
      <c r="A754" s="11"/>
      <c r="B754" s="50" t="str">
        <f>IFERROR(VLOOKUP($A754,EVENTO!$A$2:$C$4999,2,FALSE),"")</f>
        <v/>
      </c>
      <c r="C754" s="50" t="str">
        <f>IFERROR(VLOOKUP($A754,EVENTO!$A$2:$C$4999,3,FALSE),"")</f>
        <v/>
      </c>
      <c r="D754" s="11"/>
      <c r="E754" s="117"/>
      <c r="F754" s="117"/>
      <c r="H754" s="80"/>
    </row>
    <row r="755">
      <c r="A755" s="11"/>
      <c r="B755" s="50" t="str">
        <f>IFERROR(VLOOKUP($A755,EVENTO!$A$2:$C$4999,2,FALSE),"")</f>
        <v/>
      </c>
      <c r="C755" s="50" t="str">
        <f>IFERROR(VLOOKUP($A755,EVENTO!$A$2:$C$4999,3,FALSE),"")</f>
        <v/>
      </c>
      <c r="D755" s="11"/>
      <c r="E755" s="117"/>
      <c r="F755" s="117"/>
      <c r="H755" s="80"/>
    </row>
    <row r="756">
      <c r="A756" s="11"/>
      <c r="B756" s="50" t="str">
        <f>IFERROR(VLOOKUP($A756,EVENTO!$A$2:$C$4999,2,FALSE),"")</f>
        <v/>
      </c>
      <c r="C756" s="50" t="str">
        <f>IFERROR(VLOOKUP($A756,EVENTO!$A$2:$C$4999,3,FALSE),"")</f>
        <v/>
      </c>
      <c r="D756" s="11"/>
      <c r="E756" s="117"/>
      <c r="F756" s="117"/>
      <c r="H756" s="80"/>
    </row>
    <row r="757">
      <c r="A757" s="11"/>
      <c r="B757" s="50" t="str">
        <f>IFERROR(VLOOKUP($A757,EVENTO!$A$2:$C$4999,2,FALSE),"")</f>
        <v/>
      </c>
      <c r="C757" s="50" t="str">
        <f>IFERROR(VLOOKUP($A757,EVENTO!$A$2:$C$4999,3,FALSE),"")</f>
        <v/>
      </c>
      <c r="D757" s="11"/>
      <c r="E757" s="117"/>
      <c r="F757" s="117"/>
      <c r="H757" s="80"/>
    </row>
    <row r="758">
      <c r="A758" s="11"/>
      <c r="B758" s="50" t="str">
        <f>IFERROR(VLOOKUP($A758,EVENTO!$A$2:$C$4999,2,FALSE),"")</f>
        <v/>
      </c>
      <c r="C758" s="50" t="str">
        <f>IFERROR(VLOOKUP($A758,EVENTO!$A$2:$C$4999,3,FALSE),"")</f>
        <v/>
      </c>
      <c r="D758" s="11"/>
      <c r="E758" s="117"/>
      <c r="F758" s="117"/>
      <c r="H758" s="80"/>
    </row>
    <row r="759">
      <c r="A759" s="11"/>
      <c r="B759" s="50" t="str">
        <f>IFERROR(VLOOKUP($A759,EVENTO!$A$2:$C$4999,2,FALSE),"")</f>
        <v/>
      </c>
      <c r="C759" s="50" t="str">
        <f>IFERROR(VLOOKUP($A759,EVENTO!$A$2:$C$4999,3,FALSE),"")</f>
        <v/>
      </c>
      <c r="D759" s="11"/>
      <c r="E759" s="117"/>
      <c r="F759" s="117"/>
      <c r="H759" s="80"/>
    </row>
    <row r="760">
      <c r="A760" s="11"/>
      <c r="B760" s="50" t="str">
        <f>IFERROR(VLOOKUP($A760,EVENTO!$A$2:$C$4999,2,FALSE),"")</f>
        <v/>
      </c>
      <c r="C760" s="50" t="str">
        <f>IFERROR(VLOOKUP($A760,EVENTO!$A$2:$C$4999,3,FALSE),"")</f>
        <v/>
      </c>
      <c r="D760" s="11"/>
      <c r="E760" s="117"/>
      <c r="F760" s="117"/>
      <c r="H760" s="80"/>
    </row>
    <row r="761">
      <c r="A761" s="11"/>
      <c r="B761" s="50" t="str">
        <f>IFERROR(VLOOKUP($A761,EVENTO!$A$2:$C$4999,2,FALSE),"")</f>
        <v/>
      </c>
      <c r="C761" s="50" t="str">
        <f>IFERROR(VLOOKUP($A761,EVENTO!$A$2:$C$4999,3,FALSE),"")</f>
        <v/>
      </c>
      <c r="D761" s="11"/>
      <c r="E761" s="117"/>
      <c r="F761" s="117"/>
      <c r="H761" s="80"/>
    </row>
    <row r="762">
      <c r="A762" s="11"/>
      <c r="B762" s="50" t="str">
        <f>IFERROR(VLOOKUP($A762,EVENTO!$A$2:$C$4999,2,FALSE),"")</f>
        <v/>
      </c>
      <c r="C762" s="50" t="str">
        <f>IFERROR(VLOOKUP($A762,EVENTO!$A$2:$C$4999,3,FALSE),"")</f>
        <v/>
      </c>
      <c r="D762" s="11"/>
      <c r="E762" s="117"/>
      <c r="F762" s="117"/>
      <c r="H762" s="80"/>
    </row>
    <row r="763">
      <c r="A763" s="11"/>
      <c r="B763" s="50" t="str">
        <f>IFERROR(VLOOKUP($A763,EVENTO!$A$2:$C$4999,2,FALSE),"")</f>
        <v/>
      </c>
      <c r="C763" s="50" t="str">
        <f>IFERROR(VLOOKUP($A763,EVENTO!$A$2:$C$4999,3,FALSE),"")</f>
        <v/>
      </c>
      <c r="D763" s="11"/>
      <c r="E763" s="117"/>
      <c r="F763" s="117"/>
      <c r="H763" s="80"/>
    </row>
    <row r="764">
      <c r="A764" s="11"/>
      <c r="B764" s="50" t="str">
        <f>IFERROR(VLOOKUP($A764,EVENTO!$A$2:$C$4999,2,FALSE),"")</f>
        <v/>
      </c>
      <c r="C764" s="50" t="str">
        <f>IFERROR(VLOOKUP($A764,EVENTO!$A$2:$C$4999,3,FALSE),"")</f>
        <v/>
      </c>
      <c r="D764" s="11"/>
      <c r="E764" s="117"/>
      <c r="F764" s="117"/>
      <c r="H764" s="80"/>
    </row>
    <row r="765">
      <c r="A765" s="11"/>
      <c r="B765" s="50" t="str">
        <f>IFERROR(VLOOKUP($A765,EVENTO!$A$2:$C$4999,2,FALSE),"")</f>
        <v/>
      </c>
      <c r="C765" s="50" t="str">
        <f>IFERROR(VLOOKUP($A765,EVENTO!$A$2:$C$4999,3,FALSE),"")</f>
        <v/>
      </c>
      <c r="D765" s="11"/>
      <c r="E765" s="117"/>
      <c r="F765" s="117"/>
      <c r="H765" s="80"/>
    </row>
    <row r="766">
      <c r="A766" s="11"/>
      <c r="B766" s="50" t="str">
        <f>IFERROR(VLOOKUP($A766,EVENTO!$A$2:$C$4999,2,FALSE),"")</f>
        <v/>
      </c>
      <c r="C766" s="50" t="str">
        <f>IFERROR(VLOOKUP($A766,EVENTO!$A$2:$C$4999,3,FALSE),"")</f>
        <v/>
      </c>
      <c r="D766" s="11"/>
      <c r="E766" s="117"/>
      <c r="F766" s="117"/>
      <c r="H766" s="80"/>
    </row>
    <row r="767">
      <c r="A767" s="11"/>
      <c r="B767" s="50" t="str">
        <f>IFERROR(VLOOKUP($A767,EVENTO!$A$2:$C$4999,2,FALSE),"")</f>
        <v/>
      </c>
      <c r="C767" s="50" t="str">
        <f>IFERROR(VLOOKUP($A767,EVENTO!$A$2:$C$4999,3,FALSE),"")</f>
        <v/>
      </c>
      <c r="D767" s="11"/>
      <c r="E767" s="117"/>
      <c r="F767" s="117"/>
      <c r="H767" s="80"/>
    </row>
    <row r="768">
      <c r="A768" s="11"/>
      <c r="B768" s="50" t="str">
        <f>IFERROR(VLOOKUP($A768,EVENTO!$A$2:$C$4999,2,FALSE),"")</f>
        <v/>
      </c>
      <c r="C768" s="50" t="str">
        <f>IFERROR(VLOOKUP($A768,EVENTO!$A$2:$C$4999,3,FALSE),"")</f>
        <v/>
      </c>
      <c r="D768" s="11"/>
      <c r="E768" s="117"/>
      <c r="F768" s="117"/>
      <c r="H768" s="80"/>
    </row>
    <row r="769">
      <c r="A769" s="11"/>
      <c r="B769" s="50" t="str">
        <f>IFERROR(VLOOKUP($A769,EVENTO!$A$2:$C$4999,2,FALSE),"")</f>
        <v/>
      </c>
      <c r="C769" s="50" t="str">
        <f>IFERROR(VLOOKUP($A769,EVENTO!$A$2:$C$4999,3,FALSE),"")</f>
        <v/>
      </c>
      <c r="D769" s="11"/>
      <c r="E769" s="117"/>
      <c r="F769" s="117"/>
      <c r="H769" s="80"/>
    </row>
    <row r="770">
      <c r="A770" s="11"/>
      <c r="B770" s="50" t="str">
        <f>IFERROR(VLOOKUP($A770,EVENTO!$A$2:$C$4999,2,FALSE),"")</f>
        <v/>
      </c>
      <c r="C770" s="50" t="str">
        <f>IFERROR(VLOOKUP($A770,EVENTO!$A$2:$C$4999,3,FALSE),"")</f>
        <v/>
      </c>
      <c r="D770" s="11"/>
      <c r="E770" s="117"/>
      <c r="F770" s="117"/>
      <c r="H770" s="80"/>
    </row>
    <row r="771">
      <c r="A771" s="11"/>
      <c r="B771" s="50" t="str">
        <f>IFERROR(VLOOKUP($A771,EVENTO!$A$2:$C$4999,2,FALSE),"")</f>
        <v/>
      </c>
      <c r="C771" s="50" t="str">
        <f>IFERROR(VLOOKUP($A771,EVENTO!$A$2:$C$4999,3,FALSE),"")</f>
        <v/>
      </c>
      <c r="D771" s="11"/>
      <c r="E771" s="117"/>
      <c r="F771" s="117"/>
      <c r="H771" s="80"/>
    </row>
    <row r="772">
      <c r="A772" s="11"/>
      <c r="B772" s="50" t="str">
        <f>IFERROR(VLOOKUP($A772,EVENTO!$A$2:$C$4999,2,FALSE),"")</f>
        <v/>
      </c>
      <c r="C772" s="50" t="str">
        <f>IFERROR(VLOOKUP($A772,EVENTO!$A$2:$C$4999,3,FALSE),"")</f>
        <v/>
      </c>
      <c r="D772" s="11"/>
      <c r="E772" s="117"/>
      <c r="F772" s="117"/>
      <c r="H772" s="80"/>
    </row>
    <row r="773">
      <c r="A773" s="11"/>
      <c r="B773" s="50" t="str">
        <f>IFERROR(VLOOKUP($A773,EVENTO!$A$2:$C$4999,2,FALSE),"")</f>
        <v/>
      </c>
      <c r="C773" s="50" t="str">
        <f>IFERROR(VLOOKUP($A773,EVENTO!$A$2:$C$4999,3,FALSE),"")</f>
        <v/>
      </c>
      <c r="D773" s="11"/>
      <c r="E773" s="117"/>
      <c r="F773" s="117"/>
      <c r="H773" s="80"/>
    </row>
    <row r="774">
      <c r="A774" s="11"/>
      <c r="B774" s="50" t="str">
        <f>IFERROR(VLOOKUP($A774,EVENTO!$A$2:$C$4999,2,FALSE),"")</f>
        <v/>
      </c>
      <c r="C774" s="50" t="str">
        <f>IFERROR(VLOOKUP($A774,EVENTO!$A$2:$C$4999,3,FALSE),"")</f>
        <v/>
      </c>
      <c r="D774" s="11"/>
      <c r="E774" s="117"/>
      <c r="F774" s="117"/>
      <c r="H774" s="80"/>
    </row>
    <row r="775">
      <c r="A775" s="11"/>
      <c r="B775" s="50" t="str">
        <f>IFERROR(VLOOKUP($A775,EVENTO!$A$2:$C$4999,2,FALSE),"")</f>
        <v/>
      </c>
      <c r="C775" s="50" t="str">
        <f>IFERROR(VLOOKUP($A775,EVENTO!$A$2:$C$4999,3,FALSE),"")</f>
        <v/>
      </c>
      <c r="D775" s="11"/>
      <c r="E775" s="117"/>
      <c r="F775" s="117"/>
      <c r="H775" s="80"/>
    </row>
    <row r="776">
      <c r="A776" s="11"/>
      <c r="B776" s="50" t="str">
        <f>IFERROR(VLOOKUP($A776,EVENTO!$A$2:$C$4999,2,FALSE),"")</f>
        <v/>
      </c>
      <c r="C776" s="50" t="str">
        <f>IFERROR(VLOOKUP($A776,EVENTO!$A$2:$C$4999,3,FALSE),"")</f>
        <v/>
      </c>
      <c r="D776" s="11"/>
      <c r="E776" s="117"/>
      <c r="F776" s="117"/>
      <c r="H776" s="80"/>
    </row>
    <row r="777">
      <c r="A777" s="11"/>
      <c r="B777" s="50" t="str">
        <f>IFERROR(VLOOKUP($A777,EVENTO!$A$2:$C$4999,2,FALSE),"")</f>
        <v/>
      </c>
      <c r="C777" s="50" t="str">
        <f>IFERROR(VLOOKUP($A777,EVENTO!$A$2:$C$4999,3,FALSE),"")</f>
        <v/>
      </c>
      <c r="D777" s="11"/>
      <c r="E777" s="117"/>
      <c r="F777" s="117"/>
      <c r="H777" s="80"/>
    </row>
    <row r="778">
      <c r="A778" s="11"/>
      <c r="B778" s="50" t="str">
        <f>IFERROR(VLOOKUP($A778,EVENTO!$A$2:$C$4999,2,FALSE),"")</f>
        <v/>
      </c>
      <c r="C778" s="50" t="str">
        <f>IFERROR(VLOOKUP($A778,EVENTO!$A$2:$C$4999,3,FALSE),"")</f>
        <v/>
      </c>
      <c r="D778" s="11"/>
      <c r="E778" s="117"/>
      <c r="F778" s="117"/>
      <c r="H778" s="80"/>
    </row>
    <row r="779">
      <c r="A779" s="11"/>
      <c r="B779" s="50" t="str">
        <f>IFERROR(VLOOKUP($A779,EVENTO!$A$2:$C$4999,2,FALSE),"")</f>
        <v/>
      </c>
      <c r="C779" s="50" t="str">
        <f>IFERROR(VLOOKUP($A779,EVENTO!$A$2:$C$4999,3,FALSE),"")</f>
        <v/>
      </c>
      <c r="D779" s="11"/>
      <c r="E779" s="117"/>
      <c r="F779" s="117"/>
      <c r="H779" s="80"/>
    </row>
    <row r="780">
      <c r="A780" s="11"/>
      <c r="B780" s="50" t="str">
        <f>IFERROR(VLOOKUP($A780,EVENTO!$A$2:$C$4999,2,FALSE),"")</f>
        <v/>
      </c>
      <c r="C780" s="50" t="str">
        <f>IFERROR(VLOOKUP($A780,EVENTO!$A$2:$C$4999,3,FALSE),"")</f>
        <v/>
      </c>
      <c r="D780" s="11"/>
      <c r="E780" s="117"/>
      <c r="F780" s="117"/>
      <c r="H780" s="80"/>
    </row>
    <row r="781">
      <c r="A781" s="11"/>
      <c r="B781" s="50" t="str">
        <f>IFERROR(VLOOKUP($A781,EVENTO!$A$2:$C$4999,2,FALSE),"")</f>
        <v/>
      </c>
      <c r="C781" s="50" t="str">
        <f>IFERROR(VLOOKUP($A781,EVENTO!$A$2:$C$4999,3,FALSE),"")</f>
        <v/>
      </c>
      <c r="D781" s="11"/>
      <c r="E781" s="117"/>
      <c r="F781" s="117"/>
      <c r="H781" s="80"/>
    </row>
    <row r="782">
      <c r="A782" s="11"/>
      <c r="B782" s="50" t="str">
        <f>IFERROR(VLOOKUP($A782,EVENTO!$A$2:$C$4999,2,FALSE),"")</f>
        <v/>
      </c>
      <c r="C782" s="50" t="str">
        <f>IFERROR(VLOOKUP($A782,EVENTO!$A$2:$C$4999,3,FALSE),"")</f>
        <v/>
      </c>
      <c r="D782" s="11"/>
      <c r="E782" s="117"/>
      <c r="F782" s="117"/>
      <c r="H782" s="80"/>
    </row>
    <row r="783">
      <c r="A783" s="11"/>
      <c r="B783" s="50" t="str">
        <f>IFERROR(VLOOKUP($A783,EVENTO!$A$2:$C$4999,2,FALSE),"")</f>
        <v/>
      </c>
      <c r="C783" s="50" t="str">
        <f>IFERROR(VLOOKUP($A783,EVENTO!$A$2:$C$4999,3,FALSE),"")</f>
        <v/>
      </c>
      <c r="D783" s="11"/>
      <c r="E783" s="117"/>
      <c r="F783" s="117"/>
      <c r="H783" s="80"/>
    </row>
    <row r="784">
      <c r="A784" s="11"/>
      <c r="B784" s="50" t="str">
        <f>IFERROR(VLOOKUP($A784,EVENTO!$A$2:$C$4999,2,FALSE),"")</f>
        <v/>
      </c>
      <c r="C784" s="50" t="str">
        <f>IFERROR(VLOOKUP($A784,EVENTO!$A$2:$C$4999,3,FALSE),"")</f>
        <v/>
      </c>
      <c r="D784" s="11"/>
      <c r="E784" s="117"/>
      <c r="F784" s="117"/>
      <c r="H784" s="80"/>
    </row>
    <row r="785">
      <c r="A785" s="11"/>
      <c r="B785" s="50" t="str">
        <f>IFERROR(VLOOKUP($A785,EVENTO!$A$2:$C$4999,2,FALSE),"")</f>
        <v/>
      </c>
      <c r="C785" s="50" t="str">
        <f>IFERROR(VLOOKUP($A785,EVENTO!$A$2:$C$4999,3,FALSE),"")</f>
        <v/>
      </c>
      <c r="D785" s="11"/>
      <c r="E785" s="117"/>
      <c r="F785" s="117"/>
      <c r="H785" s="80"/>
    </row>
    <row r="786">
      <c r="A786" s="11"/>
      <c r="B786" s="50" t="str">
        <f>IFERROR(VLOOKUP($A786,EVENTO!$A$2:$C$4999,2,FALSE),"")</f>
        <v/>
      </c>
      <c r="C786" s="50" t="str">
        <f>IFERROR(VLOOKUP($A786,EVENTO!$A$2:$C$4999,3,FALSE),"")</f>
        <v/>
      </c>
      <c r="D786" s="11"/>
      <c r="E786" s="117"/>
      <c r="F786" s="117"/>
      <c r="H786" s="80"/>
    </row>
    <row r="787">
      <c r="A787" s="11"/>
      <c r="B787" s="50" t="str">
        <f>IFERROR(VLOOKUP($A787,EVENTO!$A$2:$C$4999,2,FALSE),"")</f>
        <v/>
      </c>
      <c r="C787" s="50" t="str">
        <f>IFERROR(VLOOKUP($A787,EVENTO!$A$2:$C$4999,3,FALSE),"")</f>
        <v/>
      </c>
      <c r="D787" s="11"/>
      <c r="E787" s="117"/>
      <c r="F787" s="117"/>
      <c r="H787" s="80"/>
    </row>
    <row r="788">
      <c r="A788" s="11"/>
      <c r="B788" s="50" t="str">
        <f>IFERROR(VLOOKUP($A788,EVENTO!$A$2:$C$4999,2,FALSE),"")</f>
        <v/>
      </c>
      <c r="C788" s="50" t="str">
        <f>IFERROR(VLOOKUP($A788,EVENTO!$A$2:$C$4999,3,FALSE),"")</f>
        <v/>
      </c>
      <c r="D788" s="11"/>
      <c r="E788" s="117"/>
      <c r="F788" s="117"/>
      <c r="H788" s="80"/>
    </row>
    <row r="789">
      <c r="A789" s="11"/>
      <c r="B789" s="50" t="str">
        <f>IFERROR(VLOOKUP($A789,EVENTO!$A$2:$C$4999,2,FALSE),"")</f>
        <v/>
      </c>
      <c r="C789" s="50" t="str">
        <f>IFERROR(VLOOKUP($A789,EVENTO!$A$2:$C$4999,3,FALSE),"")</f>
        <v/>
      </c>
      <c r="D789" s="11"/>
      <c r="E789" s="117"/>
      <c r="F789" s="117"/>
      <c r="H789" s="80"/>
    </row>
    <row r="790">
      <c r="A790" s="11"/>
      <c r="B790" s="50" t="str">
        <f>IFERROR(VLOOKUP($A790,EVENTO!$A$2:$C$4999,2,FALSE),"")</f>
        <v/>
      </c>
      <c r="C790" s="50" t="str">
        <f>IFERROR(VLOOKUP($A790,EVENTO!$A$2:$C$4999,3,FALSE),"")</f>
        <v/>
      </c>
      <c r="D790" s="11"/>
      <c r="E790" s="117"/>
      <c r="F790" s="117"/>
      <c r="H790" s="80"/>
    </row>
    <row r="791">
      <c r="A791" s="11"/>
      <c r="B791" s="50" t="str">
        <f>IFERROR(VLOOKUP($A791,EVENTO!$A$2:$C$4999,2,FALSE),"")</f>
        <v/>
      </c>
      <c r="C791" s="50" t="str">
        <f>IFERROR(VLOOKUP($A791,EVENTO!$A$2:$C$4999,3,FALSE),"")</f>
        <v/>
      </c>
      <c r="D791" s="11"/>
      <c r="E791" s="117"/>
      <c r="F791" s="117"/>
      <c r="H791" s="80"/>
    </row>
    <row r="792">
      <c r="A792" s="11"/>
      <c r="B792" s="50" t="str">
        <f>IFERROR(VLOOKUP($A792,EVENTO!$A$2:$C$4999,2,FALSE),"")</f>
        <v/>
      </c>
      <c r="C792" s="50" t="str">
        <f>IFERROR(VLOOKUP($A792,EVENTO!$A$2:$C$4999,3,FALSE),"")</f>
        <v/>
      </c>
      <c r="D792" s="11"/>
      <c r="E792" s="117"/>
      <c r="F792" s="117"/>
      <c r="H792" s="80"/>
    </row>
    <row r="793">
      <c r="A793" s="11"/>
      <c r="B793" s="50" t="str">
        <f>IFERROR(VLOOKUP($A793,EVENTO!$A$2:$C$4999,2,FALSE),"")</f>
        <v/>
      </c>
      <c r="C793" s="50" t="str">
        <f>IFERROR(VLOOKUP($A793,EVENTO!$A$2:$C$4999,3,FALSE),"")</f>
        <v/>
      </c>
      <c r="D793" s="11"/>
      <c r="E793" s="117"/>
      <c r="F793" s="117"/>
      <c r="H793" s="80"/>
    </row>
    <row r="794">
      <c r="A794" s="11"/>
      <c r="B794" s="50" t="str">
        <f>IFERROR(VLOOKUP($A794,EVENTO!$A$2:$C$4999,2,FALSE),"")</f>
        <v/>
      </c>
      <c r="C794" s="50" t="str">
        <f>IFERROR(VLOOKUP($A794,EVENTO!$A$2:$C$4999,3,FALSE),"")</f>
        <v/>
      </c>
      <c r="D794" s="11"/>
      <c r="E794" s="117"/>
      <c r="F794" s="117"/>
      <c r="H794" s="80"/>
    </row>
    <row r="795">
      <c r="A795" s="11"/>
      <c r="B795" s="50" t="str">
        <f>IFERROR(VLOOKUP($A795,EVENTO!$A$2:$C$4999,2,FALSE),"")</f>
        <v/>
      </c>
      <c r="C795" s="50" t="str">
        <f>IFERROR(VLOOKUP($A795,EVENTO!$A$2:$C$4999,3,FALSE),"")</f>
        <v/>
      </c>
      <c r="D795" s="11"/>
      <c r="E795" s="117"/>
      <c r="F795" s="117"/>
      <c r="H795" s="80"/>
    </row>
    <row r="796">
      <c r="A796" s="11"/>
      <c r="B796" s="50" t="str">
        <f>IFERROR(VLOOKUP($A796,EVENTO!$A$2:$C$4999,2,FALSE),"")</f>
        <v/>
      </c>
      <c r="C796" s="50" t="str">
        <f>IFERROR(VLOOKUP($A796,EVENTO!$A$2:$C$4999,3,FALSE),"")</f>
        <v/>
      </c>
      <c r="D796" s="11"/>
      <c r="E796" s="117"/>
      <c r="F796" s="117"/>
      <c r="H796" s="80"/>
    </row>
    <row r="797">
      <c r="A797" s="11"/>
      <c r="B797" s="50" t="str">
        <f>IFERROR(VLOOKUP($A797,EVENTO!$A$2:$C$4999,2,FALSE),"")</f>
        <v/>
      </c>
      <c r="C797" s="50" t="str">
        <f>IFERROR(VLOOKUP($A797,EVENTO!$A$2:$C$4999,3,FALSE),"")</f>
        <v/>
      </c>
      <c r="D797" s="11"/>
      <c r="E797" s="117"/>
      <c r="F797" s="117"/>
      <c r="H797" s="80"/>
    </row>
    <row r="798">
      <c r="A798" s="11"/>
      <c r="B798" s="50" t="str">
        <f>IFERROR(VLOOKUP($A798,EVENTO!$A$2:$C$4999,2,FALSE),"")</f>
        <v/>
      </c>
      <c r="C798" s="50" t="str">
        <f>IFERROR(VLOOKUP($A798,EVENTO!$A$2:$C$4999,3,FALSE),"")</f>
        <v/>
      </c>
      <c r="D798" s="11"/>
      <c r="E798" s="117"/>
      <c r="F798" s="117"/>
      <c r="H798" s="80"/>
    </row>
    <row r="799">
      <c r="A799" s="11"/>
      <c r="B799" s="50" t="str">
        <f>IFERROR(VLOOKUP($A799,EVENTO!$A$2:$C$4999,2,FALSE),"")</f>
        <v/>
      </c>
      <c r="C799" s="50" t="str">
        <f>IFERROR(VLOOKUP($A799,EVENTO!$A$2:$C$4999,3,FALSE),"")</f>
        <v/>
      </c>
      <c r="D799" s="11"/>
      <c r="E799" s="117"/>
      <c r="F799" s="117"/>
      <c r="H799" s="80"/>
    </row>
    <row r="800">
      <c r="A800" s="11"/>
      <c r="B800" s="50" t="str">
        <f>IFERROR(VLOOKUP($A800,EVENTO!$A$2:$C$4999,2,FALSE),"")</f>
        <v/>
      </c>
      <c r="C800" s="50" t="str">
        <f>IFERROR(VLOOKUP($A800,EVENTO!$A$2:$C$4999,3,FALSE),"")</f>
        <v/>
      </c>
      <c r="D800" s="11"/>
      <c r="E800" s="117"/>
      <c r="F800" s="117"/>
      <c r="H800" s="80"/>
    </row>
    <row r="801">
      <c r="A801" s="11"/>
      <c r="B801" s="50" t="str">
        <f>IFERROR(VLOOKUP($A801,EVENTO!$A$2:$C$4999,2,FALSE),"")</f>
        <v/>
      </c>
      <c r="C801" s="50" t="str">
        <f>IFERROR(VLOOKUP($A801,EVENTO!$A$2:$C$4999,3,FALSE),"")</f>
        <v/>
      </c>
      <c r="D801" s="11"/>
      <c r="E801" s="117"/>
      <c r="F801" s="117"/>
      <c r="H801" s="80"/>
    </row>
    <row r="802">
      <c r="A802" s="11"/>
      <c r="B802" s="50" t="str">
        <f>IFERROR(VLOOKUP($A802,EVENTO!$A$2:$C$4999,2,FALSE),"")</f>
        <v/>
      </c>
      <c r="C802" s="50" t="str">
        <f>IFERROR(VLOOKUP($A802,EVENTO!$A$2:$C$4999,3,FALSE),"")</f>
        <v/>
      </c>
      <c r="D802" s="11"/>
      <c r="E802" s="117"/>
      <c r="F802" s="117"/>
      <c r="H802" s="80"/>
    </row>
    <row r="803">
      <c r="A803" s="11"/>
      <c r="B803" s="50" t="str">
        <f>IFERROR(VLOOKUP($A803,EVENTO!$A$2:$C$4999,2,FALSE),"")</f>
        <v/>
      </c>
      <c r="C803" s="50" t="str">
        <f>IFERROR(VLOOKUP($A803,EVENTO!$A$2:$C$4999,3,FALSE),"")</f>
        <v/>
      </c>
      <c r="D803" s="11"/>
      <c r="E803" s="117"/>
      <c r="F803" s="117"/>
      <c r="H803" s="80"/>
    </row>
    <row r="804">
      <c r="A804" s="11"/>
      <c r="B804" s="50" t="str">
        <f>IFERROR(VLOOKUP($A804,EVENTO!$A$2:$C$4999,2,FALSE),"")</f>
        <v/>
      </c>
      <c r="C804" s="50" t="str">
        <f>IFERROR(VLOOKUP($A804,EVENTO!$A$2:$C$4999,3,FALSE),"")</f>
        <v/>
      </c>
      <c r="D804" s="11"/>
      <c r="E804" s="117"/>
      <c r="F804" s="117"/>
      <c r="H804" s="80"/>
    </row>
    <row r="805">
      <c r="A805" s="11"/>
      <c r="B805" s="50" t="str">
        <f>IFERROR(VLOOKUP($A805,EVENTO!$A$2:$C$4999,2,FALSE),"")</f>
        <v/>
      </c>
      <c r="C805" s="50" t="str">
        <f>IFERROR(VLOOKUP($A805,EVENTO!$A$2:$C$4999,3,FALSE),"")</f>
        <v/>
      </c>
      <c r="D805" s="11"/>
      <c r="E805" s="117"/>
      <c r="F805" s="117"/>
      <c r="H805" s="80"/>
    </row>
    <row r="806">
      <c r="A806" s="11"/>
      <c r="B806" s="50" t="str">
        <f>IFERROR(VLOOKUP($A806,EVENTO!$A$2:$C$4999,2,FALSE),"")</f>
        <v/>
      </c>
      <c r="C806" s="50" t="str">
        <f>IFERROR(VLOOKUP($A806,EVENTO!$A$2:$C$4999,3,FALSE),"")</f>
        <v/>
      </c>
      <c r="D806" s="11"/>
      <c r="E806" s="117"/>
      <c r="F806" s="117"/>
      <c r="H806" s="80"/>
    </row>
    <row r="807">
      <c r="A807" s="11"/>
      <c r="B807" s="50" t="str">
        <f>IFERROR(VLOOKUP($A807,EVENTO!$A$2:$C$4999,2,FALSE),"")</f>
        <v/>
      </c>
      <c r="C807" s="50" t="str">
        <f>IFERROR(VLOOKUP($A807,EVENTO!$A$2:$C$4999,3,FALSE),"")</f>
        <v/>
      </c>
      <c r="D807" s="11"/>
      <c r="E807" s="117"/>
      <c r="F807" s="117"/>
      <c r="H807" s="80"/>
    </row>
    <row r="808">
      <c r="A808" s="11"/>
      <c r="B808" s="50" t="str">
        <f>IFERROR(VLOOKUP($A808,EVENTO!$A$2:$C$4999,2,FALSE),"")</f>
        <v/>
      </c>
      <c r="C808" s="50" t="str">
        <f>IFERROR(VLOOKUP($A808,EVENTO!$A$2:$C$4999,3,FALSE),"")</f>
        <v/>
      </c>
      <c r="D808" s="11"/>
      <c r="E808" s="117"/>
      <c r="F808" s="117"/>
      <c r="H808" s="80"/>
    </row>
    <row r="809">
      <c r="A809" s="11"/>
      <c r="B809" s="50" t="str">
        <f>IFERROR(VLOOKUP($A809,EVENTO!$A$2:$C$4999,2,FALSE),"")</f>
        <v/>
      </c>
      <c r="C809" s="50" t="str">
        <f>IFERROR(VLOOKUP($A809,EVENTO!$A$2:$C$4999,3,FALSE),"")</f>
        <v/>
      </c>
      <c r="D809" s="11"/>
      <c r="E809" s="117"/>
      <c r="F809" s="117"/>
      <c r="H809" s="80"/>
    </row>
    <row r="810">
      <c r="A810" s="11"/>
      <c r="B810" s="50" t="str">
        <f>IFERROR(VLOOKUP($A810,EVENTO!$A$2:$C$4999,2,FALSE),"")</f>
        <v/>
      </c>
      <c r="C810" s="50" t="str">
        <f>IFERROR(VLOOKUP($A810,EVENTO!$A$2:$C$4999,3,FALSE),"")</f>
        <v/>
      </c>
      <c r="D810" s="11"/>
      <c r="E810" s="117"/>
      <c r="F810" s="117"/>
      <c r="H810" s="80"/>
    </row>
    <row r="811">
      <c r="A811" s="11"/>
      <c r="B811" s="50" t="str">
        <f>IFERROR(VLOOKUP($A811,EVENTO!$A$2:$C$4999,2,FALSE),"")</f>
        <v/>
      </c>
      <c r="C811" s="50" t="str">
        <f>IFERROR(VLOOKUP($A811,EVENTO!$A$2:$C$4999,3,FALSE),"")</f>
        <v/>
      </c>
      <c r="D811" s="11"/>
      <c r="E811" s="117"/>
      <c r="F811" s="117"/>
      <c r="H811" s="80"/>
    </row>
    <row r="812">
      <c r="A812" s="11"/>
      <c r="B812" s="50" t="str">
        <f>IFERROR(VLOOKUP($A812,EVENTO!$A$2:$C$4999,2,FALSE),"")</f>
        <v/>
      </c>
      <c r="C812" s="50" t="str">
        <f>IFERROR(VLOOKUP($A812,EVENTO!$A$2:$C$4999,3,FALSE),"")</f>
        <v/>
      </c>
      <c r="D812" s="11"/>
      <c r="E812" s="117"/>
      <c r="F812" s="117"/>
      <c r="H812" s="80"/>
    </row>
    <row r="813">
      <c r="A813" s="11"/>
      <c r="B813" s="50" t="str">
        <f>IFERROR(VLOOKUP($A813,EVENTO!$A$2:$C$4999,2,FALSE),"")</f>
        <v/>
      </c>
      <c r="C813" s="50" t="str">
        <f>IFERROR(VLOOKUP($A813,EVENTO!$A$2:$C$4999,3,FALSE),"")</f>
        <v/>
      </c>
      <c r="D813" s="11"/>
      <c r="E813" s="117"/>
      <c r="F813" s="117"/>
      <c r="H813" s="80"/>
    </row>
    <row r="814">
      <c r="A814" s="11"/>
      <c r="B814" s="50" t="str">
        <f>IFERROR(VLOOKUP($A814,EVENTO!$A$2:$C$4999,2,FALSE),"")</f>
        <v/>
      </c>
      <c r="C814" s="50" t="str">
        <f>IFERROR(VLOOKUP($A814,EVENTO!$A$2:$C$4999,3,FALSE),"")</f>
        <v/>
      </c>
      <c r="D814" s="11"/>
      <c r="E814" s="117"/>
      <c r="F814" s="117"/>
      <c r="H814" s="80"/>
    </row>
    <row r="815">
      <c r="A815" s="11"/>
      <c r="B815" s="50" t="str">
        <f>IFERROR(VLOOKUP($A815,EVENTO!$A$2:$C$4999,2,FALSE),"")</f>
        <v/>
      </c>
      <c r="C815" s="50" t="str">
        <f>IFERROR(VLOOKUP($A815,EVENTO!$A$2:$C$4999,3,FALSE),"")</f>
        <v/>
      </c>
      <c r="D815" s="11"/>
      <c r="E815" s="117"/>
      <c r="F815" s="117"/>
      <c r="H815" s="80"/>
    </row>
    <row r="816">
      <c r="A816" s="11"/>
      <c r="B816" s="50" t="str">
        <f>IFERROR(VLOOKUP($A816,EVENTO!$A$2:$C$4999,2,FALSE),"")</f>
        <v/>
      </c>
      <c r="C816" s="50" t="str">
        <f>IFERROR(VLOOKUP($A816,EVENTO!$A$2:$C$4999,3,FALSE),"")</f>
        <v/>
      </c>
      <c r="D816" s="11"/>
      <c r="E816" s="117"/>
      <c r="F816" s="117"/>
      <c r="H816" s="80"/>
    </row>
    <row r="817">
      <c r="A817" s="11"/>
      <c r="B817" s="50" t="str">
        <f>IFERROR(VLOOKUP($A817,EVENTO!$A$2:$C$4999,2,FALSE),"")</f>
        <v/>
      </c>
      <c r="C817" s="50" t="str">
        <f>IFERROR(VLOOKUP($A817,EVENTO!$A$2:$C$4999,3,FALSE),"")</f>
        <v/>
      </c>
      <c r="D817" s="11"/>
      <c r="E817" s="117"/>
      <c r="F817" s="117"/>
      <c r="H817" s="80"/>
    </row>
    <row r="818">
      <c r="A818" s="11"/>
      <c r="B818" s="50" t="str">
        <f>IFERROR(VLOOKUP($A818,EVENTO!$A$2:$C$4999,2,FALSE),"")</f>
        <v/>
      </c>
      <c r="C818" s="50" t="str">
        <f>IFERROR(VLOOKUP($A818,EVENTO!$A$2:$C$4999,3,FALSE),"")</f>
        <v/>
      </c>
      <c r="D818" s="11"/>
      <c r="E818" s="117"/>
      <c r="F818" s="117"/>
      <c r="H818" s="80"/>
    </row>
    <row r="819">
      <c r="A819" s="11"/>
      <c r="B819" s="50" t="str">
        <f>IFERROR(VLOOKUP($A819,EVENTO!$A$2:$C$4999,2,FALSE),"")</f>
        <v/>
      </c>
      <c r="C819" s="50" t="str">
        <f>IFERROR(VLOOKUP($A819,EVENTO!$A$2:$C$4999,3,FALSE),"")</f>
        <v/>
      </c>
      <c r="D819" s="11"/>
      <c r="E819" s="117"/>
      <c r="F819" s="117"/>
      <c r="H819" s="80"/>
    </row>
    <row r="820">
      <c r="A820" s="11"/>
      <c r="B820" s="50" t="str">
        <f>IFERROR(VLOOKUP($A820,EVENTO!$A$2:$C$4999,2,FALSE),"")</f>
        <v/>
      </c>
      <c r="C820" s="50" t="str">
        <f>IFERROR(VLOOKUP($A820,EVENTO!$A$2:$C$4999,3,FALSE),"")</f>
        <v/>
      </c>
      <c r="D820" s="11"/>
      <c r="E820" s="117"/>
      <c r="F820" s="117"/>
      <c r="H820" s="80"/>
    </row>
    <row r="821">
      <c r="A821" s="11"/>
      <c r="B821" s="50" t="str">
        <f>IFERROR(VLOOKUP($A821,EVENTO!$A$2:$C$4999,2,FALSE),"")</f>
        <v/>
      </c>
      <c r="C821" s="50" t="str">
        <f>IFERROR(VLOOKUP($A821,EVENTO!$A$2:$C$4999,3,FALSE),"")</f>
        <v/>
      </c>
      <c r="D821" s="11"/>
      <c r="E821" s="117"/>
      <c r="F821" s="117"/>
      <c r="H821" s="80"/>
    </row>
    <row r="822">
      <c r="A822" s="11"/>
      <c r="B822" s="50" t="str">
        <f>IFERROR(VLOOKUP($A822,EVENTO!$A$2:$C$4999,2,FALSE),"")</f>
        <v/>
      </c>
      <c r="C822" s="50" t="str">
        <f>IFERROR(VLOOKUP($A822,EVENTO!$A$2:$C$4999,3,FALSE),"")</f>
        <v/>
      </c>
      <c r="D822" s="11"/>
      <c r="E822" s="117"/>
      <c r="F822" s="117"/>
      <c r="H822" s="80"/>
    </row>
    <row r="823">
      <c r="A823" s="11"/>
      <c r="B823" s="50" t="str">
        <f>IFERROR(VLOOKUP($A823,EVENTO!$A$2:$C$4999,2,FALSE),"")</f>
        <v/>
      </c>
      <c r="C823" s="50" t="str">
        <f>IFERROR(VLOOKUP($A823,EVENTO!$A$2:$C$4999,3,FALSE),"")</f>
        <v/>
      </c>
      <c r="D823" s="11"/>
      <c r="E823" s="117"/>
      <c r="F823" s="117"/>
      <c r="H823" s="80"/>
    </row>
    <row r="824">
      <c r="A824" s="11"/>
      <c r="B824" s="50" t="str">
        <f>IFERROR(VLOOKUP($A824,EVENTO!$A$2:$C$4999,2,FALSE),"")</f>
        <v/>
      </c>
      <c r="C824" s="50" t="str">
        <f>IFERROR(VLOOKUP($A824,EVENTO!$A$2:$C$4999,3,FALSE),"")</f>
        <v/>
      </c>
      <c r="D824" s="11"/>
      <c r="E824" s="117"/>
      <c r="F824" s="117"/>
      <c r="H824" s="80"/>
    </row>
    <row r="825">
      <c r="A825" s="11"/>
      <c r="B825" s="50" t="str">
        <f>IFERROR(VLOOKUP($A825,EVENTO!$A$2:$C$4999,2,FALSE),"")</f>
        <v/>
      </c>
      <c r="C825" s="50" t="str">
        <f>IFERROR(VLOOKUP($A825,EVENTO!$A$2:$C$4999,3,FALSE),"")</f>
        <v/>
      </c>
      <c r="D825" s="11"/>
      <c r="E825" s="117"/>
      <c r="F825" s="117"/>
      <c r="H825" s="80"/>
    </row>
    <row r="826">
      <c r="A826" s="11"/>
      <c r="B826" s="50" t="str">
        <f>IFERROR(VLOOKUP($A826,EVENTO!$A$2:$C$4999,2,FALSE),"")</f>
        <v/>
      </c>
      <c r="C826" s="50" t="str">
        <f>IFERROR(VLOOKUP($A826,EVENTO!$A$2:$C$4999,3,FALSE),"")</f>
        <v/>
      </c>
      <c r="D826" s="11"/>
      <c r="E826" s="117"/>
      <c r="F826" s="117"/>
      <c r="H826" s="80"/>
    </row>
    <row r="827">
      <c r="A827" s="11"/>
      <c r="B827" s="50" t="str">
        <f>IFERROR(VLOOKUP($A827,EVENTO!$A$2:$C$4999,2,FALSE),"")</f>
        <v/>
      </c>
      <c r="C827" s="50" t="str">
        <f>IFERROR(VLOOKUP($A827,EVENTO!$A$2:$C$4999,3,FALSE),"")</f>
        <v/>
      </c>
      <c r="D827" s="11"/>
      <c r="E827" s="117"/>
      <c r="F827" s="117"/>
      <c r="H827" s="80"/>
    </row>
    <row r="828">
      <c r="A828" s="11"/>
      <c r="B828" s="50" t="str">
        <f>IFERROR(VLOOKUP($A828,EVENTO!$A$2:$C$4999,2,FALSE),"")</f>
        <v/>
      </c>
      <c r="C828" s="50" t="str">
        <f>IFERROR(VLOOKUP($A828,EVENTO!$A$2:$C$4999,3,FALSE),"")</f>
        <v/>
      </c>
      <c r="D828" s="11"/>
      <c r="E828" s="117"/>
      <c r="F828" s="117"/>
      <c r="H828" s="80"/>
    </row>
    <row r="829">
      <c r="A829" s="11"/>
      <c r="B829" s="50" t="str">
        <f>IFERROR(VLOOKUP($A829,EVENTO!$A$2:$C$4999,2,FALSE),"")</f>
        <v/>
      </c>
      <c r="C829" s="50" t="str">
        <f>IFERROR(VLOOKUP($A829,EVENTO!$A$2:$C$4999,3,FALSE),"")</f>
        <v/>
      </c>
      <c r="D829" s="11"/>
      <c r="E829" s="117"/>
      <c r="F829" s="117"/>
      <c r="H829" s="80"/>
    </row>
    <row r="830">
      <c r="A830" s="11"/>
      <c r="B830" s="50" t="str">
        <f>IFERROR(VLOOKUP($A830,EVENTO!$A$2:$C$4999,2,FALSE),"")</f>
        <v/>
      </c>
      <c r="C830" s="50" t="str">
        <f>IFERROR(VLOOKUP($A830,EVENTO!$A$2:$C$4999,3,FALSE),"")</f>
        <v/>
      </c>
      <c r="D830" s="11"/>
      <c r="E830" s="117"/>
      <c r="F830" s="117"/>
      <c r="H830" s="80"/>
    </row>
    <row r="831">
      <c r="A831" s="11"/>
      <c r="B831" s="50" t="str">
        <f>IFERROR(VLOOKUP($A831,EVENTO!$A$2:$C$4999,2,FALSE),"")</f>
        <v/>
      </c>
      <c r="C831" s="50" t="str">
        <f>IFERROR(VLOOKUP($A831,EVENTO!$A$2:$C$4999,3,FALSE),"")</f>
        <v/>
      </c>
      <c r="D831" s="11"/>
      <c r="E831" s="117"/>
      <c r="F831" s="117"/>
      <c r="H831" s="80"/>
    </row>
    <row r="832">
      <c r="A832" s="11"/>
      <c r="B832" s="50" t="str">
        <f>IFERROR(VLOOKUP($A832,EVENTO!$A$2:$C$4999,2,FALSE),"")</f>
        <v/>
      </c>
      <c r="C832" s="50" t="str">
        <f>IFERROR(VLOOKUP($A832,EVENTO!$A$2:$C$4999,3,FALSE),"")</f>
        <v/>
      </c>
      <c r="D832" s="11"/>
      <c r="E832" s="117"/>
      <c r="F832" s="117"/>
      <c r="H832" s="80"/>
    </row>
    <row r="833">
      <c r="A833" s="11"/>
      <c r="B833" s="50" t="str">
        <f>IFERROR(VLOOKUP($A833,EVENTO!$A$2:$C$4999,2,FALSE),"")</f>
        <v/>
      </c>
      <c r="C833" s="50" t="str">
        <f>IFERROR(VLOOKUP($A833,EVENTO!$A$2:$C$4999,3,FALSE),"")</f>
        <v/>
      </c>
      <c r="D833" s="11"/>
      <c r="E833" s="117"/>
      <c r="F833" s="117"/>
      <c r="H833" s="80"/>
    </row>
    <row r="834">
      <c r="A834" s="11"/>
      <c r="B834" s="50" t="str">
        <f>IFERROR(VLOOKUP($A834,EVENTO!$A$2:$C$4999,2,FALSE),"")</f>
        <v/>
      </c>
      <c r="C834" s="50" t="str">
        <f>IFERROR(VLOOKUP($A834,EVENTO!$A$2:$C$4999,3,FALSE),"")</f>
        <v/>
      </c>
      <c r="D834" s="11"/>
      <c r="E834" s="117"/>
      <c r="F834" s="117"/>
      <c r="H834" s="80"/>
    </row>
    <row r="835">
      <c r="A835" s="11"/>
      <c r="B835" s="50" t="str">
        <f>IFERROR(VLOOKUP($A835,EVENTO!$A$2:$C$4999,2,FALSE),"")</f>
        <v/>
      </c>
      <c r="C835" s="50" t="str">
        <f>IFERROR(VLOOKUP($A835,EVENTO!$A$2:$C$4999,3,FALSE),"")</f>
        <v/>
      </c>
      <c r="D835" s="11"/>
      <c r="E835" s="117"/>
      <c r="F835" s="117"/>
      <c r="H835" s="80"/>
    </row>
    <row r="836">
      <c r="A836" s="11"/>
      <c r="B836" s="50" t="str">
        <f>IFERROR(VLOOKUP($A836,EVENTO!$A$2:$C$4999,2,FALSE),"")</f>
        <v/>
      </c>
      <c r="C836" s="50" t="str">
        <f>IFERROR(VLOOKUP($A836,EVENTO!$A$2:$C$4999,3,FALSE),"")</f>
        <v/>
      </c>
      <c r="D836" s="11"/>
      <c r="E836" s="117"/>
      <c r="F836" s="117"/>
      <c r="H836" s="80"/>
    </row>
    <row r="837">
      <c r="A837" s="11"/>
      <c r="B837" s="50" t="str">
        <f>IFERROR(VLOOKUP($A837,EVENTO!$A$2:$C$4999,2,FALSE),"")</f>
        <v/>
      </c>
      <c r="C837" s="50" t="str">
        <f>IFERROR(VLOOKUP($A837,EVENTO!$A$2:$C$4999,3,FALSE),"")</f>
        <v/>
      </c>
      <c r="D837" s="11"/>
      <c r="E837" s="117"/>
      <c r="F837" s="117"/>
      <c r="H837" s="80"/>
    </row>
    <row r="838">
      <c r="A838" s="11"/>
      <c r="B838" s="50" t="str">
        <f>IFERROR(VLOOKUP($A838,EVENTO!$A$2:$C$4999,2,FALSE),"")</f>
        <v/>
      </c>
      <c r="C838" s="50" t="str">
        <f>IFERROR(VLOOKUP($A838,EVENTO!$A$2:$C$4999,3,FALSE),"")</f>
        <v/>
      </c>
      <c r="D838" s="11"/>
      <c r="E838" s="117"/>
      <c r="F838" s="117"/>
      <c r="H838" s="80"/>
    </row>
    <row r="839">
      <c r="A839" s="11"/>
      <c r="B839" s="50" t="str">
        <f>IFERROR(VLOOKUP($A839,EVENTO!$A$2:$C$4999,2,FALSE),"")</f>
        <v/>
      </c>
      <c r="C839" s="50" t="str">
        <f>IFERROR(VLOOKUP($A839,EVENTO!$A$2:$C$4999,3,FALSE),"")</f>
        <v/>
      </c>
      <c r="D839" s="11"/>
      <c r="E839" s="117"/>
      <c r="F839" s="117"/>
      <c r="H839" s="80"/>
    </row>
    <row r="840">
      <c r="A840" s="11"/>
      <c r="B840" s="50" t="str">
        <f>IFERROR(VLOOKUP($A840,EVENTO!$A$2:$C$4999,2,FALSE),"")</f>
        <v/>
      </c>
      <c r="C840" s="50" t="str">
        <f>IFERROR(VLOOKUP($A840,EVENTO!$A$2:$C$4999,3,FALSE),"")</f>
        <v/>
      </c>
      <c r="D840" s="11"/>
      <c r="E840" s="117"/>
      <c r="F840" s="117"/>
      <c r="H840" s="80"/>
    </row>
    <row r="841">
      <c r="A841" s="11"/>
      <c r="B841" s="50" t="str">
        <f>IFERROR(VLOOKUP($A841,EVENTO!$A$2:$C$4999,2,FALSE),"")</f>
        <v/>
      </c>
      <c r="C841" s="50" t="str">
        <f>IFERROR(VLOOKUP($A841,EVENTO!$A$2:$C$4999,3,FALSE),"")</f>
        <v/>
      </c>
      <c r="D841" s="11"/>
      <c r="E841" s="117"/>
      <c r="F841" s="117"/>
      <c r="H841" s="80"/>
    </row>
    <row r="842">
      <c r="A842" s="11"/>
      <c r="B842" s="50" t="str">
        <f>IFERROR(VLOOKUP($A842,EVENTO!$A$2:$C$4999,2,FALSE),"")</f>
        <v/>
      </c>
      <c r="C842" s="50" t="str">
        <f>IFERROR(VLOOKUP($A842,EVENTO!$A$2:$C$4999,3,FALSE),"")</f>
        <v/>
      </c>
      <c r="D842" s="11"/>
      <c r="E842" s="117"/>
      <c r="F842" s="117"/>
      <c r="H842" s="80"/>
    </row>
    <row r="843">
      <c r="A843" s="11"/>
      <c r="B843" s="50" t="str">
        <f>IFERROR(VLOOKUP($A843,EVENTO!$A$2:$C$4999,2,FALSE),"")</f>
        <v/>
      </c>
      <c r="C843" s="50" t="str">
        <f>IFERROR(VLOOKUP($A843,EVENTO!$A$2:$C$4999,3,FALSE),"")</f>
        <v/>
      </c>
      <c r="D843" s="11"/>
      <c r="E843" s="117"/>
      <c r="F843" s="117"/>
      <c r="H843" s="80"/>
    </row>
    <row r="844">
      <c r="A844" s="11"/>
      <c r="B844" s="50" t="str">
        <f>IFERROR(VLOOKUP($A844,EVENTO!$A$2:$C$4999,2,FALSE),"")</f>
        <v/>
      </c>
      <c r="C844" s="50" t="str">
        <f>IFERROR(VLOOKUP($A844,EVENTO!$A$2:$C$4999,3,FALSE),"")</f>
        <v/>
      </c>
      <c r="D844" s="11"/>
      <c r="E844" s="117"/>
      <c r="F844" s="117"/>
      <c r="H844" s="80"/>
    </row>
    <row r="845">
      <c r="A845" s="11"/>
      <c r="B845" s="50" t="str">
        <f>IFERROR(VLOOKUP($A845,EVENTO!$A$2:$C$4999,2,FALSE),"")</f>
        <v/>
      </c>
      <c r="C845" s="50" t="str">
        <f>IFERROR(VLOOKUP($A845,EVENTO!$A$2:$C$4999,3,FALSE),"")</f>
        <v/>
      </c>
      <c r="D845" s="11"/>
      <c r="E845" s="117"/>
      <c r="F845" s="117"/>
      <c r="H845" s="80"/>
    </row>
    <row r="846">
      <c r="A846" s="11"/>
      <c r="B846" s="50" t="str">
        <f>IFERROR(VLOOKUP($A846,EVENTO!$A$2:$C$4999,2,FALSE),"")</f>
        <v/>
      </c>
      <c r="C846" s="50" t="str">
        <f>IFERROR(VLOOKUP($A846,EVENTO!$A$2:$C$4999,3,FALSE),"")</f>
        <v/>
      </c>
      <c r="D846" s="11"/>
      <c r="E846" s="117"/>
      <c r="F846" s="117"/>
      <c r="H846" s="80"/>
    </row>
    <row r="847">
      <c r="A847" s="11"/>
      <c r="B847" s="50" t="str">
        <f>IFERROR(VLOOKUP($A847,EVENTO!$A$2:$C$4999,2,FALSE),"")</f>
        <v/>
      </c>
      <c r="C847" s="50" t="str">
        <f>IFERROR(VLOOKUP($A847,EVENTO!$A$2:$C$4999,3,FALSE),"")</f>
        <v/>
      </c>
      <c r="D847" s="11"/>
      <c r="E847" s="117"/>
      <c r="F847" s="117"/>
      <c r="H847" s="80"/>
    </row>
    <row r="848">
      <c r="A848" s="11"/>
      <c r="B848" s="50" t="str">
        <f>IFERROR(VLOOKUP($A848,EVENTO!$A$2:$C$4999,2,FALSE),"")</f>
        <v/>
      </c>
      <c r="C848" s="50" t="str">
        <f>IFERROR(VLOOKUP($A848,EVENTO!$A$2:$C$4999,3,FALSE),"")</f>
        <v/>
      </c>
      <c r="D848" s="11"/>
      <c r="E848" s="117"/>
      <c r="F848" s="117"/>
      <c r="H848" s="80"/>
    </row>
    <row r="849">
      <c r="A849" s="11"/>
      <c r="B849" s="50" t="str">
        <f>IFERROR(VLOOKUP($A849,EVENTO!$A$2:$C$4999,2,FALSE),"")</f>
        <v/>
      </c>
      <c r="C849" s="50" t="str">
        <f>IFERROR(VLOOKUP($A849,EVENTO!$A$2:$C$4999,3,FALSE),"")</f>
        <v/>
      </c>
      <c r="D849" s="11"/>
      <c r="E849" s="117"/>
      <c r="F849" s="117"/>
      <c r="H849" s="80"/>
    </row>
    <row r="850">
      <c r="A850" s="11"/>
      <c r="B850" s="50" t="str">
        <f>IFERROR(VLOOKUP($A850,EVENTO!$A$2:$C$4999,2,FALSE),"")</f>
        <v/>
      </c>
      <c r="C850" s="50" t="str">
        <f>IFERROR(VLOOKUP($A850,EVENTO!$A$2:$C$4999,3,FALSE),"")</f>
        <v/>
      </c>
      <c r="D850" s="11"/>
      <c r="E850" s="117"/>
      <c r="F850" s="117"/>
      <c r="H850" s="80"/>
    </row>
    <row r="851">
      <c r="A851" s="11"/>
      <c r="B851" s="50" t="str">
        <f>IFERROR(VLOOKUP($A851,EVENTO!$A$2:$C$4999,2,FALSE),"")</f>
        <v/>
      </c>
      <c r="C851" s="50" t="str">
        <f>IFERROR(VLOOKUP($A851,EVENTO!$A$2:$C$4999,3,FALSE),"")</f>
        <v/>
      </c>
      <c r="D851" s="11"/>
      <c r="E851" s="117"/>
      <c r="F851" s="117"/>
      <c r="H851" s="80"/>
    </row>
    <row r="852">
      <c r="A852" s="11"/>
      <c r="B852" s="50" t="str">
        <f>IFERROR(VLOOKUP($A852,EVENTO!$A$2:$C$4999,2,FALSE),"")</f>
        <v/>
      </c>
      <c r="C852" s="50" t="str">
        <f>IFERROR(VLOOKUP($A852,EVENTO!$A$2:$C$4999,3,FALSE),"")</f>
        <v/>
      </c>
      <c r="D852" s="11"/>
      <c r="E852" s="117"/>
      <c r="F852" s="117"/>
      <c r="H852" s="80"/>
    </row>
    <row r="853">
      <c r="A853" s="11"/>
      <c r="B853" s="50" t="str">
        <f>IFERROR(VLOOKUP($A853,EVENTO!$A$2:$C$4999,2,FALSE),"")</f>
        <v/>
      </c>
      <c r="C853" s="50" t="str">
        <f>IFERROR(VLOOKUP($A853,EVENTO!$A$2:$C$4999,3,FALSE),"")</f>
        <v/>
      </c>
      <c r="D853" s="11"/>
      <c r="E853" s="117"/>
      <c r="F853" s="117"/>
      <c r="H853" s="80"/>
    </row>
    <row r="854">
      <c r="A854" s="11"/>
      <c r="B854" s="50" t="str">
        <f>IFERROR(VLOOKUP($A854,EVENTO!$A$2:$C$4999,2,FALSE),"")</f>
        <v/>
      </c>
      <c r="C854" s="50" t="str">
        <f>IFERROR(VLOOKUP($A854,EVENTO!$A$2:$C$4999,3,FALSE),"")</f>
        <v/>
      </c>
      <c r="D854" s="11"/>
      <c r="E854" s="117"/>
      <c r="F854" s="117"/>
      <c r="H854" s="80"/>
    </row>
    <row r="855">
      <c r="A855" s="11"/>
      <c r="B855" s="50" t="str">
        <f>IFERROR(VLOOKUP($A855,EVENTO!$A$2:$C$4999,2,FALSE),"")</f>
        <v/>
      </c>
      <c r="C855" s="50" t="str">
        <f>IFERROR(VLOOKUP($A855,EVENTO!$A$2:$C$4999,3,FALSE),"")</f>
        <v/>
      </c>
      <c r="D855" s="11"/>
      <c r="E855" s="117"/>
      <c r="F855" s="117"/>
      <c r="H855" s="80"/>
    </row>
    <row r="856">
      <c r="A856" s="11"/>
      <c r="B856" s="50" t="str">
        <f>IFERROR(VLOOKUP($A856,EVENTO!$A$2:$C$4999,2,FALSE),"")</f>
        <v/>
      </c>
      <c r="C856" s="50" t="str">
        <f>IFERROR(VLOOKUP($A856,EVENTO!$A$2:$C$4999,3,FALSE),"")</f>
        <v/>
      </c>
      <c r="D856" s="11"/>
      <c r="E856" s="117"/>
      <c r="F856" s="117"/>
      <c r="H856" s="80"/>
    </row>
    <row r="857">
      <c r="A857" s="11"/>
      <c r="B857" s="50" t="str">
        <f>IFERROR(VLOOKUP($A857,EVENTO!$A$2:$C$4999,2,FALSE),"")</f>
        <v/>
      </c>
      <c r="C857" s="50" t="str">
        <f>IFERROR(VLOOKUP($A857,EVENTO!$A$2:$C$4999,3,FALSE),"")</f>
        <v/>
      </c>
      <c r="D857" s="11"/>
      <c r="E857" s="117"/>
      <c r="F857" s="117"/>
      <c r="H857" s="80"/>
    </row>
    <row r="858">
      <c r="A858" s="11"/>
      <c r="B858" s="50" t="str">
        <f>IFERROR(VLOOKUP($A858,EVENTO!$A$2:$C$4999,2,FALSE),"")</f>
        <v/>
      </c>
      <c r="C858" s="50" t="str">
        <f>IFERROR(VLOOKUP($A858,EVENTO!$A$2:$C$4999,3,FALSE),"")</f>
        <v/>
      </c>
      <c r="D858" s="11"/>
      <c r="E858" s="117"/>
      <c r="F858" s="117"/>
      <c r="H858" s="80"/>
    </row>
    <row r="859">
      <c r="A859" s="11"/>
      <c r="B859" s="50" t="str">
        <f>IFERROR(VLOOKUP($A859,EVENTO!$A$2:$C$4999,2,FALSE),"")</f>
        <v/>
      </c>
      <c r="C859" s="50" t="str">
        <f>IFERROR(VLOOKUP($A859,EVENTO!$A$2:$C$4999,3,FALSE),"")</f>
        <v/>
      </c>
      <c r="D859" s="11"/>
      <c r="E859" s="117"/>
      <c r="F859" s="117"/>
      <c r="H859" s="80"/>
    </row>
    <row r="860">
      <c r="A860" s="11"/>
      <c r="B860" s="50" t="str">
        <f>IFERROR(VLOOKUP($A860,EVENTO!$A$2:$C$4999,2,FALSE),"")</f>
        <v/>
      </c>
      <c r="C860" s="50" t="str">
        <f>IFERROR(VLOOKUP($A860,EVENTO!$A$2:$C$4999,3,FALSE),"")</f>
        <v/>
      </c>
      <c r="D860" s="11"/>
      <c r="E860" s="117"/>
      <c r="F860" s="117"/>
      <c r="H860" s="80"/>
    </row>
    <row r="861">
      <c r="A861" s="11"/>
      <c r="B861" s="50" t="str">
        <f>IFERROR(VLOOKUP($A861,EVENTO!$A$2:$C$4999,2,FALSE),"")</f>
        <v/>
      </c>
      <c r="C861" s="50" t="str">
        <f>IFERROR(VLOOKUP($A861,EVENTO!$A$2:$C$4999,3,FALSE),"")</f>
        <v/>
      </c>
      <c r="D861" s="11"/>
      <c r="E861" s="117"/>
      <c r="F861" s="117"/>
      <c r="H861" s="80"/>
    </row>
    <row r="862">
      <c r="A862" s="11"/>
      <c r="B862" s="50" t="str">
        <f>IFERROR(VLOOKUP($A862,EVENTO!$A$2:$C$4999,2,FALSE),"")</f>
        <v/>
      </c>
      <c r="C862" s="50" t="str">
        <f>IFERROR(VLOOKUP($A862,EVENTO!$A$2:$C$4999,3,FALSE),"")</f>
        <v/>
      </c>
      <c r="D862" s="11"/>
      <c r="E862" s="117"/>
      <c r="F862" s="117"/>
      <c r="H862" s="80"/>
    </row>
    <row r="863">
      <c r="A863" s="11"/>
      <c r="B863" s="50" t="str">
        <f>IFERROR(VLOOKUP($A863,EVENTO!$A$2:$C$4999,2,FALSE),"")</f>
        <v/>
      </c>
      <c r="C863" s="50" t="str">
        <f>IFERROR(VLOOKUP($A863,EVENTO!$A$2:$C$4999,3,FALSE),"")</f>
        <v/>
      </c>
      <c r="D863" s="11"/>
      <c r="E863" s="117"/>
      <c r="F863" s="117"/>
      <c r="H863" s="80"/>
    </row>
    <row r="864">
      <c r="A864" s="11"/>
      <c r="B864" s="50" t="str">
        <f>IFERROR(VLOOKUP($A864,EVENTO!$A$2:$C$4999,2,FALSE),"")</f>
        <v/>
      </c>
      <c r="C864" s="50" t="str">
        <f>IFERROR(VLOOKUP($A864,EVENTO!$A$2:$C$4999,3,FALSE),"")</f>
        <v/>
      </c>
      <c r="D864" s="11"/>
      <c r="E864" s="117"/>
      <c r="F864" s="117"/>
      <c r="H864" s="80"/>
    </row>
    <row r="865">
      <c r="A865" s="11"/>
      <c r="B865" s="50" t="str">
        <f>IFERROR(VLOOKUP($A865,EVENTO!$A$2:$C$4999,2,FALSE),"")</f>
        <v/>
      </c>
      <c r="C865" s="50" t="str">
        <f>IFERROR(VLOOKUP($A865,EVENTO!$A$2:$C$4999,3,FALSE),"")</f>
        <v/>
      </c>
      <c r="D865" s="11"/>
      <c r="E865" s="117"/>
      <c r="F865" s="117"/>
      <c r="H865" s="80"/>
    </row>
    <row r="866">
      <c r="A866" s="11"/>
      <c r="B866" s="50" t="str">
        <f>IFERROR(VLOOKUP($A866,EVENTO!$A$2:$C$4999,2,FALSE),"")</f>
        <v/>
      </c>
      <c r="C866" s="50" t="str">
        <f>IFERROR(VLOOKUP($A866,EVENTO!$A$2:$C$4999,3,FALSE),"")</f>
        <v/>
      </c>
      <c r="D866" s="11"/>
      <c r="E866" s="117"/>
      <c r="F866" s="117"/>
      <c r="H866" s="80"/>
    </row>
    <row r="867">
      <c r="A867" s="11"/>
      <c r="B867" s="50" t="str">
        <f>IFERROR(VLOOKUP($A867,EVENTO!$A$2:$C$4999,2,FALSE),"")</f>
        <v/>
      </c>
      <c r="C867" s="50" t="str">
        <f>IFERROR(VLOOKUP($A867,EVENTO!$A$2:$C$4999,3,FALSE),"")</f>
        <v/>
      </c>
      <c r="D867" s="11"/>
      <c r="E867" s="117"/>
      <c r="F867" s="117"/>
      <c r="H867" s="80"/>
    </row>
    <row r="868">
      <c r="A868" s="11"/>
      <c r="B868" s="50" t="str">
        <f>IFERROR(VLOOKUP($A868,EVENTO!$A$2:$C$4999,2,FALSE),"")</f>
        <v/>
      </c>
      <c r="C868" s="50" t="str">
        <f>IFERROR(VLOOKUP($A868,EVENTO!$A$2:$C$4999,3,FALSE),"")</f>
        <v/>
      </c>
      <c r="D868" s="11"/>
      <c r="E868" s="117"/>
      <c r="F868" s="117"/>
      <c r="H868" s="80"/>
    </row>
    <row r="869">
      <c r="A869" s="11"/>
      <c r="B869" s="50" t="str">
        <f>IFERROR(VLOOKUP($A869,EVENTO!$A$2:$C$4999,2,FALSE),"")</f>
        <v/>
      </c>
      <c r="C869" s="50" t="str">
        <f>IFERROR(VLOOKUP($A869,EVENTO!$A$2:$C$4999,3,FALSE),"")</f>
        <v/>
      </c>
      <c r="D869" s="11"/>
      <c r="E869" s="117"/>
      <c r="F869" s="117"/>
      <c r="H869" s="80"/>
    </row>
    <row r="870">
      <c r="A870" s="11"/>
      <c r="B870" s="50" t="str">
        <f>IFERROR(VLOOKUP($A870,EVENTO!$A$2:$C$4999,2,FALSE),"")</f>
        <v/>
      </c>
      <c r="C870" s="50" t="str">
        <f>IFERROR(VLOOKUP($A870,EVENTO!$A$2:$C$4999,3,FALSE),"")</f>
        <v/>
      </c>
      <c r="D870" s="11"/>
      <c r="E870" s="117"/>
      <c r="F870" s="117"/>
      <c r="H870" s="80"/>
    </row>
    <row r="871">
      <c r="A871" s="11"/>
      <c r="B871" s="50" t="str">
        <f>IFERROR(VLOOKUP($A871,EVENTO!$A$2:$C$4999,2,FALSE),"")</f>
        <v/>
      </c>
      <c r="C871" s="50" t="str">
        <f>IFERROR(VLOOKUP($A871,EVENTO!$A$2:$C$4999,3,FALSE),"")</f>
        <v/>
      </c>
      <c r="D871" s="11"/>
      <c r="E871" s="117"/>
      <c r="F871" s="117"/>
      <c r="H871" s="80"/>
    </row>
    <row r="872">
      <c r="A872" s="11"/>
      <c r="B872" s="50" t="str">
        <f>IFERROR(VLOOKUP($A872,EVENTO!$A$2:$C$4999,2,FALSE),"")</f>
        <v/>
      </c>
      <c r="C872" s="50" t="str">
        <f>IFERROR(VLOOKUP($A872,EVENTO!$A$2:$C$4999,3,FALSE),"")</f>
        <v/>
      </c>
      <c r="D872" s="11"/>
      <c r="E872" s="117"/>
      <c r="F872" s="117"/>
      <c r="H872" s="80"/>
    </row>
    <row r="873">
      <c r="A873" s="11"/>
      <c r="B873" s="50" t="str">
        <f>IFERROR(VLOOKUP($A873,EVENTO!$A$2:$C$4999,2,FALSE),"")</f>
        <v/>
      </c>
      <c r="C873" s="50" t="str">
        <f>IFERROR(VLOOKUP($A873,EVENTO!$A$2:$C$4999,3,FALSE),"")</f>
        <v/>
      </c>
      <c r="D873" s="11"/>
      <c r="E873" s="117"/>
      <c r="F873" s="117"/>
      <c r="H873" s="80"/>
    </row>
    <row r="874">
      <c r="A874" s="11"/>
      <c r="B874" s="50" t="str">
        <f>IFERROR(VLOOKUP($A874,EVENTO!$A$2:$C$4999,2,FALSE),"")</f>
        <v/>
      </c>
      <c r="C874" s="50" t="str">
        <f>IFERROR(VLOOKUP($A874,EVENTO!$A$2:$C$4999,3,FALSE),"")</f>
        <v/>
      </c>
      <c r="D874" s="11"/>
      <c r="E874" s="117"/>
      <c r="F874" s="117"/>
      <c r="H874" s="80"/>
    </row>
    <row r="875">
      <c r="A875" s="11"/>
      <c r="B875" s="50" t="str">
        <f>IFERROR(VLOOKUP($A875,EVENTO!$A$2:$C$4999,2,FALSE),"")</f>
        <v/>
      </c>
      <c r="C875" s="50" t="str">
        <f>IFERROR(VLOOKUP($A875,EVENTO!$A$2:$C$4999,3,FALSE),"")</f>
        <v/>
      </c>
      <c r="D875" s="11"/>
      <c r="E875" s="117"/>
      <c r="F875" s="117"/>
      <c r="H875" s="80"/>
    </row>
    <row r="876">
      <c r="A876" s="11"/>
      <c r="B876" s="50" t="str">
        <f>IFERROR(VLOOKUP($A876,EVENTO!$A$2:$C$4999,2,FALSE),"")</f>
        <v/>
      </c>
      <c r="C876" s="50" t="str">
        <f>IFERROR(VLOOKUP($A876,EVENTO!$A$2:$C$4999,3,FALSE),"")</f>
        <v/>
      </c>
      <c r="D876" s="11"/>
      <c r="E876" s="117"/>
      <c r="F876" s="117"/>
      <c r="H876" s="80"/>
    </row>
    <row r="877">
      <c r="A877" s="11"/>
      <c r="B877" s="50" t="str">
        <f>IFERROR(VLOOKUP($A877,EVENTO!$A$2:$C$4999,2,FALSE),"")</f>
        <v/>
      </c>
      <c r="C877" s="50" t="str">
        <f>IFERROR(VLOOKUP($A877,EVENTO!$A$2:$C$4999,3,FALSE),"")</f>
        <v/>
      </c>
      <c r="D877" s="11"/>
      <c r="E877" s="117"/>
      <c r="F877" s="117"/>
      <c r="H877" s="80"/>
    </row>
    <row r="878">
      <c r="A878" s="11"/>
      <c r="B878" s="50" t="str">
        <f>IFERROR(VLOOKUP($A878,EVENTO!$A$2:$C$4999,2,FALSE),"")</f>
        <v/>
      </c>
      <c r="C878" s="50" t="str">
        <f>IFERROR(VLOOKUP($A878,EVENTO!$A$2:$C$4999,3,FALSE),"")</f>
        <v/>
      </c>
      <c r="D878" s="11"/>
      <c r="E878" s="117"/>
      <c r="F878" s="117"/>
      <c r="H878" s="80"/>
    </row>
    <row r="879">
      <c r="A879" s="11"/>
      <c r="B879" s="50" t="str">
        <f>IFERROR(VLOOKUP($A879,EVENTO!$A$2:$C$4999,2,FALSE),"")</f>
        <v/>
      </c>
      <c r="C879" s="50" t="str">
        <f>IFERROR(VLOOKUP($A879,EVENTO!$A$2:$C$4999,3,FALSE),"")</f>
        <v/>
      </c>
      <c r="D879" s="11"/>
      <c r="E879" s="117"/>
      <c r="F879" s="117"/>
      <c r="H879" s="80"/>
    </row>
    <row r="880">
      <c r="A880" s="11"/>
      <c r="B880" s="50" t="str">
        <f>IFERROR(VLOOKUP($A880,EVENTO!$A$2:$C$4999,2,FALSE),"")</f>
        <v/>
      </c>
      <c r="C880" s="50" t="str">
        <f>IFERROR(VLOOKUP($A880,EVENTO!$A$2:$C$4999,3,FALSE),"")</f>
        <v/>
      </c>
      <c r="D880" s="11"/>
      <c r="E880" s="117"/>
      <c r="F880" s="117"/>
      <c r="H880" s="80"/>
    </row>
    <row r="881">
      <c r="A881" s="11"/>
      <c r="B881" s="50" t="str">
        <f>IFERROR(VLOOKUP($A881,EVENTO!$A$2:$C$4999,2,FALSE),"")</f>
        <v/>
      </c>
      <c r="C881" s="50" t="str">
        <f>IFERROR(VLOOKUP($A881,EVENTO!$A$2:$C$4999,3,FALSE),"")</f>
        <v/>
      </c>
      <c r="D881" s="11"/>
      <c r="E881" s="117"/>
      <c r="F881" s="117"/>
      <c r="H881" s="80"/>
    </row>
    <row r="882">
      <c r="A882" s="11"/>
      <c r="B882" s="50" t="str">
        <f>IFERROR(VLOOKUP($A882,EVENTO!$A$2:$C$4999,2,FALSE),"")</f>
        <v/>
      </c>
      <c r="C882" s="50" t="str">
        <f>IFERROR(VLOOKUP($A882,EVENTO!$A$2:$C$4999,3,FALSE),"")</f>
        <v/>
      </c>
      <c r="D882" s="11"/>
      <c r="E882" s="117"/>
      <c r="F882" s="117"/>
      <c r="H882" s="80"/>
    </row>
    <row r="883">
      <c r="A883" s="11"/>
      <c r="B883" s="50" t="str">
        <f>IFERROR(VLOOKUP($A883,EVENTO!$A$2:$C$4999,2,FALSE),"")</f>
        <v/>
      </c>
      <c r="C883" s="50" t="str">
        <f>IFERROR(VLOOKUP($A883,EVENTO!$A$2:$C$4999,3,FALSE),"")</f>
        <v/>
      </c>
      <c r="D883" s="11"/>
      <c r="E883" s="117"/>
      <c r="F883" s="117"/>
      <c r="H883" s="80"/>
    </row>
    <row r="884">
      <c r="A884" s="11"/>
      <c r="B884" s="50" t="str">
        <f>IFERROR(VLOOKUP($A884,EVENTO!$A$2:$C$4999,2,FALSE),"")</f>
        <v/>
      </c>
      <c r="C884" s="50" t="str">
        <f>IFERROR(VLOOKUP($A884,EVENTO!$A$2:$C$4999,3,FALSE),"")</f>
        <v/>
      </c>
      <c r="D884" s="11"/>
      <c r="E884" s="117"/>
      <c r="F884" s="117"/>
      <c r="H884" s="80"/>
    </row>
    <row r="885">
      <c r="A885" s="11"/>
      <c r="B885" s="50" t="str">
        <f>IFERROR(VLOOKUP($A885,EVENTO!$A$2:$C$4999,2,FALSE),"")</f>
        <v/>
      </c>
      <c r="C885" s="50" t="str">
        <f>IFERROR(VLOOKUP($A885,EVENTO!$A$2:$C$4999,3,FALSE),"")</f>
        <v/>
      </c>
      <c r="D885" s="11"/>
      <c r="E885" s="117"/>
      <c r="F885" s="117"/>
      <c r="H885" s="80"/>
    </row>
    <row r="886">
      <c r="A886" s="11"/>
      <c r="B886" s="50" t="str">
        <f>IFERROR(VLOOKUP($A886,EVENTO!$A$2:$C$4999,2,FALSE),"")</f>
        <v/>
      </c>
      <c r="C886" s="50" t="str">
        <f>IFERROR(VLOOKUP($A886,EVENTO!$A$2:$C$4999,3,FALSE),"")</f>
        <v/>
      </c>
      <c r="D886" s="11"/>
      <c r="E886" s="117"/>
      <c r="F886" s="117"/>
      <c r="H886" s="80"/>
    </row>
    <row r="887">
      <c r="A887" s="11"/>
      <c r="B887" s="50" t="str">
        <f>IFERROR(VLOOKUP($A887,EVENTO!$A$2:$C$4999,2,FALSE),"")</f>
        <v/>
      </c>
      <c r="C887" s="50" t="str">
        <f>IFERROR(VLOOKUP($A887,EVENTO!$A$2:$C$4999,3,FALSE),"")</f>
        <v/>
      </c>
      <c r="D887" s="11"/>
      <c r="E887" s="117"/>
      <c r="F887" s="117"/>
      <c r="H887" s="80"/>
    </row>
    <row r="888">
      <c r="A888" s="11"/>
      <c r="B888" s="50" t="str">
        <f>IFERROR(VLOOKUP($A888,EVENTO!$A$2:$C$4999,2,FALSE),"")</f>
        <v/>
      </c>
      <c r="C888" s="50" t="str">
        <f>IFERROR(VLOOKUP($A888,EVENTO!$A$2:$C$4999,3,FALSE),"")</f>
        <v/>
      </c>
      <c r="D888" s="11"/>
      <c r="E888" s="117"/>
      <c r="F888" s="117"/>
      <c r="H888" s="80"/>
    </row>
    <row r="889">
      <c r="A889" s="11"/>
      <c r="B889" s="50" t="str">
        <f>IFERROR(VLOOKUP($A889,EVENTO!$A$2:$C$4999,2,FALSE),"")</f>
        <v/>
      </c>
      <c r="C889" s="50" t="str">
        <f>IFERROR(VLOOKUP($A889,EVENTO!$A$2:$C$4999,3,FALSE),"")</f>
        <v/>
      </c>
      <c r="D889" s="11"/>
      <c r="E889" s="117"/>
      <c r="F889" s="117"/>
      <c r="H889" s="80"/>
    </row>
    <row r="890">
      <c r="A890" s="11"/>
      <c r="B890" s="50" t="str">
        <f>IFERROR(VLOOKUP($A890,EVENTO!$A$2:$C$4999,2,FALSE),"")</f>
        <v/>
      </c>
      <c r="C890" s="50" t="str">
        <f>IFERROR(VLOOKUP($A890,EVENTO!$A$2:$C$4999,3,FALSE),"")</f>
        <v/>
      </c>
      <c r="D890" s="11"/>
      <c r="E890" s="117"/>
      <c r="F890" s="117"/>
      <c r="H890" s="80"/>
    </row>
    <row r="891">
      <c r="A891" s="11"/>
      <c r="B891" s="50" t="str">
        <f>IFERROR(VLOOKUP($A891,EVENTO!$A$2:$C$4999,2,FALSE),"")</f>
        <v/>
      </c>
      <c r="C891" s="50" t="str">
        <f>IFERROR(VLOOKUP($A891,EVENTO!$A$2:$C$4999,3,FALSE),"")</f>
        <v/>
      </c>
      <c r="D891" s="11"/>
      <c r="E891" s="117"/>
      <c r="F891" s="117"/>
      <c r="H891" s="80"/>
    </row>
    <row r="892">
      <c r="A892" s="11"/>
      <c r="B892" s="50" t="str">
        <f>IFERROR(VLOOKUP($A892,EVENTO!$A$2:$C$4999,2,FALSE),"")</f>
        <v/>
      </c>
      <c r="C892" s="50" t="str">
        <f>IFERROR(VLOOKUP($A892,EVENTO!$A$2:$C$4999,3,FALSE),"")</f>
        <v/>
      </c>
      <c r="D892" s="11"/>
      <c r="E892" s="117"/>
      <c r="F892" s="117"/>
      <c r="H892" s="80"/>
    </row>
    <row r="893">
      <c r="A893" s="11"/>
      <c r="B893" s="50" t="str">
        <f>IFERROR(VLOOKUP($A893,EVENTO!$A$2:$C$4999,2,FALSE),"")</f>
        <v/>
      </c>
      <c r="C893" s="50" t="str">
        <f>IFERROR(VLOOKUP($A893,EVENTO!$A$2:$C$4999,3,FALSE),"")</f>
        <v/>
      </c>
      <c r="D893" s="11"/>
      <c r="E893" s="117"/>
      <c r="F893" s="117"/>
      <c r="H893" s="80"/>
    </row>
    <row r="894">
      <c r="A894" s="11"/>
      <c r="B894" s="50" t="str">
        <f>IFERROR(VLOOKUP($A894,EVENTO!$A$2:$C$4999,2,FALSE),"")</f>
        <v/>
      </c>
      <c r="C894" s="50" t="str">
        <f>IFERROR(VLOOKUP($A894,EVENTO!$A$2:$C$4999,3,FALSE),"")</f>
        <v/>
      </c>
      <c r="D894" s="11"/>
      <c r="E894" s="117"/>
      <c r="F894" s="117"/>
      <c r="H894" s="80"/>
    </row>
    <row r="895">
      <c r="A895" s="11"/>
      <c r="B895" s="50" t="str">
        <f>IFERROR(VLOOKUP($A895,EVENTO!$A$2:$C$4999,2,FALSE),"")</f>
        <v/>
      </c>
      <c r="C895" s="50" t="str">
        <f>IFERROR(VLOOKUP($A895,EVENTO!$A$2:$C$4999,3,FALSE),"")</f>
        <v/>
      </c>
      <c r="D895" s="11"/>
      <c r="E895" s="117"/>
      <c r="F895" s="117"/>
      <c r="H895" s="80"/>
    </row>
    <row r="896">
      <c r="A896" s="11"/>
      <c r="B896" s="50" t="str">
        <f>IFERROR(VLOOKUP($A896,EVENTO!$A$2:$C$4999,2,FALSE),"")</f>
        <v/>
      </c>
      <c r="C896" s="50" t="str">
        <f>IFERROR(VLOOKUP($A896,EVENTO!$A$2:$C$4999,3,FALSE),"")</f>
        <v/>
      </c>
      <c r="D896" s="11"/>
      <c r="E896" s="117"/>
      <c r="F896" s="117"/>
      <c r="H896" s="80"/>
    </row>
    <row r="897">
      <c r="A897" s="11"/>
      <c r="B897" s="50" t="str">
        <f>IFERROR(VLOOKUP($A897,EVENTO!$A$2:$C$4999,2,FALSE),"")</f>
        <v/>
      </c>
      <c r="C897" s="50" t="str">
        <f>IFERROR(VLOOKUP($A897,EVENTO!$A$2:$C$4999,3,FALSE),"")</f>
        <v/>
      </c>
      <c r="D897" s="11"/>
      <c r="E897" s="117"/>
      <c r="F897" s="117"/>
      <c r="H897" s="80"/>
    </row>
    <row r="898">
      <c r="A898" s="11"/>
      <c r="B898" s="50" t="str">
        <f>IFERROR(VLOOKUP($A898,EVENTO!$A$2:$C$4999,2,FALSE),"")</f>
        <v/>
      </c>
      <c r="C898" s="50" t="str">
        <f>IFERROR(VLOOKUP($A898,EVENTO!$A$2:$C$4999,3,FALSE),"")</f>
        <v/>
      </c>
      <c r="D898" s="11"/>
      <c r="E898" s="117"/>
      <c r="F898" s="117"/>
      <c r="H898" s="80"/>
    </row>
    <row r="899">
      <c r="A899" s="11"/>
      <c r="B899" s="50" t="str">
        <f>IFERROR(VLOOKUP($A899,EVENTO!$A$2:$C$4999,2,FALSE),"")</f>
        <v/>
      </c>
      <c r="C899" s="50" t="str">
        <f>IFERROR(VLOOKUP($A899,EVENTO!$A$2:$C$4999,3,FALSE),"")</f>
        <v/>
      </c>
      <c r="D899" s="11"/>
      <c r="E899" s="117"/>
      <c r="F899" s="117"/>
      <c r="H899" s="80"/>
    </row>
    <row r="900">
      <c r="A900" s="11"/>
      <c r="B900" s="50" t="str">
        <f>IFERROR(VLOOKUP($A900,EVENTO!$A$2:$C$4999,2,FALSE),"")</f>
        <v/>
      </c>
      <c r="C900" s="50" t="str">
        <f>IFERROR(VLOOKUP($A900,EVENTO!$A$2:$C$4999,3,FALSE),"")</f>
        <v/>
      </c>
      <c r="D900" s="11"/>
      <c r="E900" s="117"/>
      <c r="F900" s="117"/>
      <c r="H900" s="80"/>
    </row>
    <row r="901">
      <c r="A901" s="11"/>
      <c r="B901" s="50" t="str">
        <f>IFERROR(VLOOKUP($A901,EVENTO!$A$2:$C$4999,2,FALSE),"")</f>
        <v/>
      </c>
      <c r="C901" s="50" t="str">
        <f>IFERROR(VLOOKUP($A901,EVENTO!$A$2:$C$4999,3,FALSE),"")</f>
        <v/>
      </c>
      <c r="D901" s="11"/>
      <c r="E901" s="117"/>
      <c r="F901" s="117"/>
      <c r="H901" s="80"/>
    </row>
    <row r="902">
      <c r="A902" s="11"/>
      <c r="B902" s="50" t="str">
        <f>IFERROR(VLOOKUP($A902,EVENTO!$A$2:$C$4999,2,FALSE),"")</f>
        <v/>
      </c>
      <c r="C902" s="50" t="str">
        <f>IFERROR(VLOOKUP($A902,EVENTO!$A$2:$C$4999,3,FALSE),"")</f>
        <v/>
      </c>
      <c r="D902" s="11"/>
      <c r="E902" s="117"/>
      <c r="F902" s="117"/>
      <c r="H902" s="80"/>
    </row>
    <row r="903">
      <c r="A903" s="11"/>
      <c r="B903" s="50" t="str">
        <f>IFERROR(VLOOKUP($A903,EVENTO!$A$2:$C$4999,2,FALSE),"")</f>
        <v/>
      </c>
      <c r="C903" s="50" t="str">
        <f>IFERROR(VLOOKUP($A903,EVENTO!$A$2:$C$4999,3,FALSE),"")</f>
        <v/>
      </c>
      <c r="D903" s="11"/>
      <c r="E903" s="117"/>
      <c r="F903" s="117"/>
      <c r="H903" s="80"/>
    </row>
    <row r="904">
      <c r="A904" s="11"/>
      <c r="B904" s="50" t="str">
        <f>IFERROR(VLOOKUP($A904,EVENTO!$A$2:$C$4999,2,FALSE),"")</f>
        <v/>
      </c>
      <c r="C904" s="50" t="str">
        <f>IFERROR(VLOOKUP($A904,EVENTO!$A$2:$C$4999,3,FALSE),"")</f>
        <v/>
      </c>
      <c r="D904" s="11"/>
      <c r="E904" s="117"/>
      <c r="F904" s="117"/>
      <c r="H904" s="80"/>
    </row>
    <row r="905">
      <c r="A905" s="11"/>
      <c r="B905" s="50" t="str">
        <f>IFERROR(VLOOKUP($A905,EVENTO!$A$2:$C$4999,2,FALSE),"")</f>
        <v/>
      </c>
      <c r="C905" s="50" t="str">
        <f>IFERROR(VLOOKUP($A905,EVENTO!$A$2:$C$4999,3,FALSE),"")</f>
        <v/>
      </c>
      <c r="D905" s="11"/>
      <c r="E905" s="117"/>
      <c r="F905" s="117"/>
      <c r="H905" s="80"/>
    </row>
    <row r="906">
      <c r="A906" s="11"/>
      <c r="B906" s="50" t="str">
        <f>IFERROR(VLOOKUP($A906,EVENTO!$A$2:$C$4999,2,FALSE),"")</f>
        <v/>
      </c>
      <c r="C906" s="50" t="str">
        <f>IFERROR(VLOOKUP($A906,EVENTO!$A$2:$C$4999,3,FALSE),"")</f>
        <v/>
      </c>
      <c r="D906" s="11"/>
      <c r="E906" s="117"/>
      <c r="F906" s="117"/>
      <c r="H906" s="80"/>
    </row>
    <row r="907">
      <c r="A907" s="11"/>
      <c r="B907" s="50" t="str">
        <f>IFERROR(VLOOKUP($A907,EVENTO!$A$2:$C$4999,2,FALSE),"")</f>
        <v/>
      </c>
      <c r="C907" s="50" t="str">
        <f>IFERROR(VLOOKUP($A907,EVENTO!$A$2:$C$4999,3,FALSE),"")</f>
        <v/>
      </c>
      <c r="D907" s="11"/>
      <c r="E907" s="117"/>
      <c r="F907" s="117"/>
      <c r="H907" s="80"/>
    </row>
    <row r="908">
      <c r="A908" s="11"/>
      <c r="B908" s="50" t="str">
        <f>IFERROR(VLOOKUP($A908,EVENTO!$A$2:$C$4999,2,FALSE),"")</f>
        <v/>
      </c>
      <c r="C908" s="50" t="str">
        <f>IFERROR(VLOOKUP($A908,EVENTO!$A$2:$C$4999,3,FALSE),"")</f>
        <v/>
      </c>
      <c r="D908" s="11"/>
      <c r="E908" s="117"/>
      <c r="F908" s="117"/>
      <c r="H908" s="80"/>
    </row>
    <row r="909">
      <c r="A909" s="11"/>
      <c r="B909" s="50" t="str">
        <f>IFERROR(VLOOKUP($A909,EVENTO!$A$2:$C$4999,2,FALSE),"")</f>
        <v/>
      </c>
      <c r="C909" s="50" t="str">
        <f>IFERROR(VLOOKUP($A909,EVENTO!$A$2:$C$4999,3,FALSE),"")</f>
        <v/>
      </c>
      <c r="D909" s="11"/>
      <c r="E909" s="117"/>
      <c r="F909" s="117"/>
      <c r="H909" s="80"/>
    </row>
    <row r="910">
      <c r="A910" s="11"/>
      <c r="B910" s="50" t="str">
        <f>IFERROR(VLOOKUP($A910,EVENTO!$A$2:$C$4999,2,FALSE),"")</f>
        <v/>
      </c>
      <c r="C910" s="50" t="str">
        <f>IFERROR(VLOOKUP($A910,EVENTO!$A$2:$C$4999,3,FALSE),"")</f>
        <v/>
      </c>
      <c r="D910" s="11"/>
      <c r="E910" s="117"/>
      <c r="F910" s="117"/>
      <c r="H910" s="80"/>
    </row>
    <row r="911">
      <c r="A911" s="11"/>
      <c r="B911" s="50" t="str">
        <f>IFERROR(VLOOKUP($A911,EVENTO!$A$2:$C$4999,2,FALSE),"")</f>
        <v/>
      </c>
      <c r="C911" s="50" t="str">
        <f>IFERROR(VLOOKUP($A911,EVENTO!$A$2:$C$4999,3,FALSE),"")</f>
        <v/>
      </c>
      <c r="D911" s="11"/>
      <c r="E911" s="117"/>
      <c r="F911" s="117"/>
      <c r="H911" s="80"/>
    </row>
    <row r="912">
      <c r="A912" s="11"/>
      <c r="B912" s="50" t="str">
        <f>IFERROR(VLOOKUP($A912,EVENTO!$A$2:$C$4999,2,FALSE),"")</f>
        <v/>
      </c>
      <c r="C912" s="50" t="str">
        <f>IFERROR(VLOOKUP($A912,EVENTO!$A$2:$C$4999,3,FALSE),"")</f>
        <v/>
      </c>
      <c r="D912" s="11"/>
      <c r="E912" s="117"/>
      <c r="F912" s="117"/>
      <c r="H912" s="80"/>
    </row>
    <row r="913">
      <c r="A913" s="11"/>
      <c r="B913" s="50" t="str">
        <f>IFERROR(VLOOKUP($A913,EVENTO!$A$2:$C$4999,2,FALSE),"")</f>
        <v/>
      </c>
      <c r="C913" s="50" t="str">
        <f>IFERROR(VLOOKUP($A913,EVENTO!$A$2:$C$4999,3,FALSE),"")</f>
        <v/>
      </c>
      <c r="D913" s="11"/>
      <c r="E913" s="117"/>
      <c r="F913" s="117"/>
      <c r="H913" s="80"/>
    </row>
    <row r="914">
      <c r="A914" s="11"/>
      <c r="B914" s="50" t="str">
        <f>IFERROR(VLOOKUP($A914,EVENTO!$A$2:$C$4999,2,FALSE),"")</f>
        <v/>
      </c>
      <c r="C914" s="50" t="str">
        <f>IFERROR(VLOOKUP($A914,EVENTO!$A$2:$C$4999,3,FALSE),"")</f>
        <v/>
      </c>
      <c r="D914" s="11"/>
      <c r="E914" s="117"/>
      <c r="F914" s="117"/>
      <c r="H914" s="80"/>
    </row>
    <row r="915">
      <c r="A915" s="11"/>
      <c r="B915" s="50" t="str">
        <f>IFERROR(VLOOKUP($A915,EVENTO!$A$2:$C$4999,2,FALSE),"")</f>
        <v/>
      </c>
      <c r="C915" s="50" t="str">
        <f>IFERROR(VLOOKUP($A915,EVENTO!$A$2:$C$4999,3,FALSE),"")</f>
        <v/>
      </c>
      <c r="D915" s="11"/>
      <c r="E915" s="117"/>
      <c r="F915" s="117"/>
      <c r="H915" s="80"/>
    </row>
    <row r="916">
      <c r="A916" s="11"/>
      <c r="B916" s="50" t="str">
        <f>IFERROR(VLOOKUP($A916,EVENTO!$A$2:$C$4999,2,FALSE),"")</f>
        <v/>
      </c>
      <c r="C916" s="50" t="str">
        <f>IFERROR(VLOOKUP($A916,EVENTO!$A$2:$C$4999,3,FALSE),"")</f>
        <v/>
      </c>
      <c r="D916" s="11"/>
      <c r="E916" s="117"/>
      <c r="F916" s="117"/>
      <c r="H916" s="80"/>
    </row>
    <row r="917">
      <c r="A917" s="11"/>
      <c r="B917" s="50" t="str">
        <f>IFERROR(VLOOKUP($A917,EVENTO!$A$2:$C$4999,2,FALSE),"")</f>
        <v/>
      </c>
      <c r="C917" s="50" t="str">
        <f>IFERROR(VLOOKUP($A917,EVENTO!$A$2:$C$4999,3,FALSE),"")</f>
        <v/>
      </c>
      <c r="D917" s="11"/>
      <c r="E917" s="117"/>
      <c r="F917" s="117"/>
      <c r="H917" s="80"/>
    </row>
    <row r="918">
      <c r="A918" s="11"/>
      <c r="B918" s="50" t="str">
        <f>IFERROR(VLOOKUP($A918,EVENTO!$A$2:$C$4999,2,FALSE),"")</f>
        <v/>
      </c>
      <c r="C918" s="50" t="str">
        <f>IFERROR(VLOOKUP($A918,EVENTO!$A$2:$C$4999,3,FALSE),"")</f>
        <v/>
      </c>
      <c r="D918" s="11"/>
      <c r="E918" s="117"/>
      <c r="F918" s="117"/>
      <c r="H918" s="80"/>
    </row>
    <row r="919">
      <c r="A919" s="11"/>
      <c r="B919" s="50" t="str">
        <f>IFERROR(VLOOKUP($A919,EVENTO!$A$2:$C$4999,2,FALSE),"")</f>
        <v/>
      </c>
      <c r="C919" s="50" t="str">
        <f>IFERROR(VLOOKUP($A919,EVENTO!$A$2:$C$4999,3,FALSE),"")</f>
        <v/>
      </c>
      <c r="D919" s="11"/>
      <c r="E919" s="117"/>
      <c r="F919" s="117"/>
      <c r="H919" s="80"/>
    </row>
    <row r="920">
      <c r="A920" s="11"/>
      <c r="B920" s="50" t="str">
        <f>IFERROR(VLOOKUP($A920,EVENTO!$A$2:$C$4999,2,FALSE),"")</f>
        <v/>
      </c>
      <c r="C920" s="50" t="str">
        <f>IFERROR(VLOOKUP($A920,EVENTO!$A$2:$C$4999,3,FALSE),"")</f>
        <v/>
      </c>
      <c r="D920" s="11"/>
      <c r="E920" s="117"/>
      <c r="F920" s="117"/>
      <c r="H920" s="80"/>
    </row>
    <row r="921">
      <c r="A921" s="11"/>
      <c r="B921" s="50" t="str">
        <f>IFERROR(VLOOKUP($A921,EVENTO!$A$2:$C$4999,2,FALSE),"")</f>
        <v/>
      </c>
      <c r="C921" s="50" t="str">
        <f>IFERROR(VLOOKUP($A921,EVENTO!$A$2:$C$4999,3,FALSE),"")</f>
        <v/>
      </c>
      <c r="D921" s="11"/>
      <c r="E921" s="117"/>
      <c r="F921" s="117"/>
      <c r="H921" s="80"/>
    </row>
    <row r="922">
      <c r="A922" s="11"/>
      <c r="B922" s="50" t="str">
        <f>IFERROR(VLOOKUP($A922,EVENTO!$A$2:$C$4999,2,FALSE),"")</f>
        <v/>
      </c>
      <c r="C922" s="50" t="str">
        <f>IFERROR(VLOOKUP($A922,EVENTO!$A$2:$C$4999,3,FALSE),"")</f>
        <v/>
      </c>
      <c r="D922" s="11"/>
      <c r="E922" s="117"/>
      <c r="F922" s="117"/>
      <c r="H922" s="80"/>
    </row>
    <row r="923">
      <c r="A923" s="11"/>
      <c r="B923" s="50" t="str">
        <f>IFERROR(VLOOKUP($A923,EVENTO!$A$2:$C$4999,2,FALSE),"")</f>
        <v/>
      </c>
      <c r="C923" s="50" t="str">
        <f>IFERROR(VLOOKUP($A923,EVENTO!$A$2:$C$4999,3,FALSE),"")</f>
        <v/>
      </c>
      <c r="D923" s="11"/>
      <c r="E923" s="117"/>
      <c r="F923" s="117"/>
      <c r="H923" s="80"/>
    </row>
    <row r="924">
      <c r="A924" s="11"/>
      <c r="B924" s="50" t="str">
        <f>IFERROR(VLOOKUP($A924,EVENTO!$A$2:$C$4999,2,FALSE),"")</f>
        <v/>
      </c>
      <c r="C924" s="50" t="str">
        <f>IFERROR(VLOOKUP($A924,EVENTO!$A$2:$C$4999,3,FALSE),"")</f>
        <v/>
      </c>
      <c r="D924" s="11"/>
      <c r="E924" s="117"/>
      <c r="F924" s="117"/>
      <c r="H924" s="80"/>
    </row>
    <row r="925">
      <c r="A925" s="11"/>
      <c r="B925" s="50" t="str">
        <f>IFERROR(VLOOKUP($A925,EVENTO!$A$2:$C$4999,2,FALSE),"")</f>
        <v/>
      </c>
      <c r="C925" s="50" t="str">
        <f>IFERROR(VLOOKUP($A925,EVENTO!$A$2:$C$4999,3,FALSE),"")</f>
        <v/>
      </c>
      <c r="D925" s="11"/>
      <c r="E925" s="117"/>
      <c r="F925" s="117"/>
      <c r="H925" s="80"/>
    </row>
    <row r="926">
      <c r="A926" s="11"/>
      <c r="B926" s="50" t="str">
        <f>IFERROR(VLOOKUP($A926,EVENTO!$A$2:$C$4999,2,FALSE),"")</f>
        <v/>
      </c>
      <c r="C926" s="50" t="str">
        <f>IFERROR(VLOOKUP($A926,EVENTO!$A$2:$C$4999,3,FALSE),"")</f>
        <v/>
      </c>
      <c r="D926" s="11"/>
      <c r="E926" s="117"/>
      <c r="F926" s="117"/>
      <c r="H926" s="80"/>
    </row>
    <row r="927">
      <c r="A927" s="11"/>
      <c r="B927" s="50" t="str">
        <f>IFERROR(VLOOKUP($A927,EVENTO!$A$2:$C$4999,2,FALSE),"")</f>
        <v/>
      </c>
      <c r="C927" s="50" t="str">
        <f>IFERROR(VLOOKUP($A927,EVENTO!$A$2:$C$4999,3,FALSE),"")</f>
        <v/>
      </c>
      <c r="D927" s="11"/>
      <c r="E927" s="117"/>
      <c r="F927" s="117"/>
      <c r="H927" s="80"/>
    </row>
    <row r="928">
      <c r="A928" s="11"/>
      <c r="B928" s="50" t="str">
        <f>IFERROR(VLOOKUP($A928,EVENTO!$A$2:$C$4999,2,FALSE),"")</f>
        <v/>
      </c>
      <c r="C928" s="50" t="str">
        <f>IFERROR(VLOOKUP($A928,EVENTO!$A$2:$C$4999,3,FALSE),"")</f>
        <v/>
      </c>
      <c r="D928" s="11"/>
      <c r="E928" s="117"/>
      <c r="F928" s="117"/>
      <c r="H928" s="80"/>
    </row>
    <row r="929">
      <c r="A929" s="11"/>
      <c r="B929" s="50" t="str">
        <f>IFERROR(VLOOKUP($A929,EVENTO!$A$2:$C$4999,2,FALSE),"")</f>
        <v/>
      </c>
      <c r="C929" s="50" t="str">
        <f>IFERROR(VLOOKUP($A929,EVENTO!$A$2:$C$4999,3,FALSE),"")</f>
        <v/>
      </c>
      <c r="D929" s="11"/>
      <c r="E929" s="117"/>
      <c r="F929" s="117"/>
      <c r="H929" s="80"/>
    </row>
    <row r="930">
      <c r="A930" s="11"/>
      <c r="B930" s="50" t="str">
        <f>IFERROR(VLOOKUP($A930,EVENTO!$A$2:$C$4999,2,FALSE),"")</f>
        <v/>
      </c>
      <c r="C930" s="50" t="str">
        <f>IFERROR(VLOOKUP($A930,EVENTO!$A$2:$C$4999,3,FALSE),"")</f>
        <v/>
      </c>
      <c r="D930" s="11"/>
      <c r="E930" s="117"/>
      <c r="F930" s="117"/>
      <c r="H930" s="80"/>
    </row>
    <row r="931">
      <c r="A931" s="11"/>
      <c r="B931" s="50" t="str">
        <f>IFERROR(VLOOKUP($A931,EVENTO!$A$2:$C$4999,2,FALSE),"")</f>
        <v/>
      </c>
      <c r="C931" s="50" t="str">
        <f>IFERROR(VLOOKUP($A931,EVENTO!$A$2:$C$4999,3,FALSE),"")</f>
        <v/>
      </c>
      <c r="D931" s="11"/>
      <c r="E931" s="117"/>
      <c r="F931" s="117"/>
      <c r="H931" s="80"/>
    </row>
    <row r="932">
      <c r="A932" s="11"/>
      <c r="B932" s="50" t="str">
        <f>IFERROR(VLOOKUP($A932,EVENTO!$A$2:$C$4999,2,FALSE),"")</f>
        <v/>
      </c>
      <c r="C932" s="50" t="str">
        <f>IFERROR(VLOOKUP($A932,EVENTO!$A$2:$C$4999,3,FALSE),"")</f>
        <v/>
      </c>
      <c r="D932" s="11"/>
      <c r="E932" s="117"/>
      <c r="F932" s="117"/>
      <c r="H932" s="80"/>
    </row>
    <row r="933">
      <c r="A933" s="11"/>
      <c r="B933" s="50" t="str">
        <f>IFERROR(VLOOKUP($A933,EVENTO!$A$2:$C$4999,2,FALSE),"")</f>
        <v/>
      </c>
      <c r="C933" s="50" t="str">
        <f>IFERROR(VLOOKUP($A933,EVENTO!$A$2:$C$4999,3,FALSE),"")</f>
        <v/>
      </c>
      <c r="D933" s="11"/>
      <c r="E933" s="117"/>
      <c r="F933" s="117"/>
      <c r="H933" s="80"/>
    </row>
    <row r="934">
      <c r="A934" s="11"/>
      <c r="B934" s="50" t="str">
        <f>IFERROR(VLOOKUP($A934,EVENTO!$A$2:$C$4999,2,FALSE),"")</f>
        <v/>
      </c>
      <c r="C934" s="50" t="str">
        <f>IFERROR(VLOOKUP($A934,EVENTO!$A$2:$C$4999,3,FALSE),"")</f>
        <v/>
      </c>
      <c r="D934" s="11"/>
      <c r="E934" s="117"/>
      <c r="F934" s="117"/>
      <c r="H934" s="80"/>
    </row>
    <row r="935">
      <c r="A935" s="11"/>
      <c r="B935" s="50" t="str">
        <f>IFERROR(VLOOKUP($A935,EVENTO!$A$2:$C$4999,2,FALSE),"")</f>
        <v/>
      </c>
      <c r="C935" s="50" t="str">
        <f>IFERROR(VLOOKUP($A935,EVENTO!$A$2:$C$4999,3,FALSE),"")</f>
        <v/>
      </c>
      <c r="D935" s="11"/>
      <c r="E935" s="117"/>
      <c r="F935" s="117"/>
      <c r="H935" s="80"/>
    </row>
    <row r="936">
      <c r="A936" s="11"/>
      <c r="B936" s="50" t="str">
        <f>IFERROR(VLOOKUP($A936,EVENTO!$A$2:$C$4999,2,FALSE),"")</f>
        <v/>
      </c>
      <c r="C936" s="50" t="str">
        <f>IFERROR(VLOOKUP($A936,EVENTO!$A$2:$C$4999,3,FALSE),"")</f>
        <v/>
      </c>
      <c r="D936" s="11"/>
      <c r="E936" s="117"/>
      <c r="F936" s="117"/>
      <c r="H936" s="80"/>
    </row>
    <row r="937">
      <c r="A937" s="11"/>
      <c r="B937" s="50" t="str">
        <f>IFERROR(VLOOKUP($A937,EVENTO!$A$2:$C$4999,2,FALSE),"")</f>
        <v/>
      </c>
      <c r="C937" s="50" t="str">
        <f>IFERROR(VLOOKUP($A937,EVENTO!$A$2:$C$4999,3,FALSE),"")</f>
        <v/>
      </c>
      <c r="D937" s="11"/>
      <c r="E937" s="117"/>
      <c r="F937" s="117"/>
      <c r="H937" s="80"/>
    </row>
    <row r="938">
      <c r="A938" s="11"/>
      <c r="B938" s="50" t="str">
        <f>IFERROR(VLOOKUP($A938,EVENTO!$A$2:$C$4999,2,FALSE),"")</f>
        <v/>
      </c>
      <c r="C938" s="50" t="str">
        <f>IFERROR(VLOOKUP($A938,EVENTO!$A$2:$C$4999,3,FALSE),"")</f>
        <v/>
      </c>
      <c r="D938" s="11"/>
      <c r="E938" s="117"/>
      <c r="F938" s="117"/>
      <c r="H938" s="80"/>
    </row>
    <row r="939">
      <c r="A939" s="11"/>
      <c r="B939" s="50" t="str">
        <f>IFERROR(VLOOKUP($A939,EVENTO!$A$2:$C$4999,2,FALSE),"")</f>
        <v/>
      </c>
      <c r="C939" s="50" t="str">
        <f>IFERROR(VLOOKUP($A939,EVENTO!$A$2:$C$4999,3,FALSE),"")</f>
        <v/>
      </c>
      <c r="D939" s="11"/>
      <c r="E939" s="117"/>
      <c r="F939" s="117"/>
      <c r="H939" s="80"/>
    </row>
    <row r="940">
      <c r="A940" s="11"/>
      <c r="B940" s="50" t="str">
        <f>IFERROR(VLOOKUP($A940,EVENTO!$A$2:$C$4999,2,FALSE),"")</f>
        <v/>
      </c>
      <c r="C940" s="50" t="str">
        <f>IFERROR(VLOOKUP($A940,EVENTO!$A$2:$C$4999,3,FALSE),"")</f>
        <v/>
      </c>
      <c r="D940" s="11"/>
      <c r="E940" s="117"/>
      <c r="F940" s="117"/>
      <c r="H940" s="80"/>
    </row>
    <row r="941">
      <c r="A941" s="11"/>
      <c r="B941" s="50" t="str">
        <f>IFERROR(VLOOKUP($A941,EVENTO!$A$2:$C$4999,2,FALSE),"")</f>
        <v/>
      </c>
      <c r="C941" s="50" t="str">
        <f>IFERROR(VLOOKUP($A941,EVENTO!$A$2:$C$4999,3,FALSE),"")</f>
        <v/>
      </c>
      <c r="D941" s="11"/>
      <c r="E941" s="117"/>
      <c r="F941" s="117"/>
      <c r="H941" s="80"/>
    </row>
    <row r="942">
      <c r="A942" s="11"/>
      <c r="B942" s="50" t="str">
        <f>IFERROR(VLOOKUP($A942,EVENTO!$A$2:$C$4999,2,FALSE),"")</f>
        <v/>
      </c>
      <c r="C942" s="50" t="str">
        <f>IFERROR(VLOOKUP($A942,EVENTO!$A$2:$C$4999,3,FALSE),"")</f>
        <v/>
      </c>
      <c r="D942" s="11"/>
      <c r="E942" s="117"/>
      <c r="F942" s="117"/>
      <c r="H942" s="80"/>
    </row>
    <row r="943">
      <c r="A943" s="11"/>
      <c r="B943" s="50" t="str">
        <f>IFERROR(VLOOKUP($A943,EVENTO!$A$2:$C$4999,2,FALSE),"")</f>
        <v/>
      </c>
      <c r="C943" s="50" t="str">
        <f>IFERROR(VLOOKUP($A943,EVENTO!$A$2:$C$4999,3,FALSE),"")</f>
        <v/>
      </c>
      <c r="D943" s="11"/>
      <c r="E943" s="117"/>
      <c r="F943" s="117"/>
      <c r="H943" s="80"/>
    </row>
    <row r="944">
      <c r="A944" s="11"/>
      <c r="B944" s="50" t="str">
        <f>IFERROR(VLOOKUP($A944,EVENTO!$A$2:$C$4999,2,FALSE),"")</f>
        <v/>
      </c>
      <c r="C944" s="50" t="str">
        <f>IFERROR(VLOOKUP($A944,EVENTO!$A$2:$C$4999,3,FALSE),"")</f>
        <v/>
      </c>
      <c r="D944" s="11"/>
      <c r="E944" s="117"/>
      <c r="F944" s="117"/>
      <c r="H944" s="80"/>
    </row>
    <row r="945">
      <c r="A945" s="11"/>
      <c r="B945" s="50" t="str">
        <f>IFERROR(VLOOKUP($A945,EVENTO!$A$2:$C$4999,2,FALSE),"")</f>
        <v/>
      </c>
      <c r="C945" s="50" t="str">
        <f>IFERROR(VLOOKUP($A945,EVENTO!$A$2:$C$4999,3,FALSE),"")</f>
        <v/>
      </c>
      <c r="D945" s="11"/>
      <c r="E945" s="117"/>
      <c r="F945" s="117"/>
      <c r="H945" s="80"/>
    </row>
    <row r="946">
      <c r="A946" s="11"/>
      <c r="B946" s="50" t="str">
        <f>IFERROR(VLOOKUP($A946,EVENTO!$A$2:$C$4999,2,FALSE),"")</f>
        <v/>
      </c>
      <c r="C946" s="50" t="str">
        <f>IFERROR(VLOOKUP($A946,EVENTO!$A$2:$C$4999,3,FALSE),"")</f>
        <v/>
      </c>
      <c r="D946" s="11"/>
      <c r="E946" s="117"/>
      <c r="F946" s="117"/>
      <c r="H946" s="80"/>
    </row>
    <row r="947">
      <c r="A947" s="11"/>
      <c r="B947" s="50" t="str">
        <f>IFERROR(VLOOKUP($A947,EVENTO!$A$2:$C$4999,2,FALSE),"")</f>
        <v/>
      </c>
      <c r="C947" s="50" t="str">
        <f>IFERROR(VLOOKUP($A947,EVENTO!$A$2:$C$4999,3,FALSE),"")</f>
        <v/>
      </c>
      <c r="D947" s="11"/>
      <c r="E947" s="117"/>
      <c r="F947" s="117"/>
      <c r="H947" s="80"/>
    </row>
    <row r="948">
      <c r="A948" s="11"/>
      <c r="B948" s="50" t="str">
        <f>IFERROR(VLOOKUP($A948,EVENTO!$A$2:$C$4999,2,FALSE),"")</f>
        <v/>
      </c>
      <c r="C948" s="50" t="str">
        <f>IFERROR(VLOOKUP($A948,EVENTO!$A$2:$C$4999,3,FALSE),"")</f>
        <v/>
      </c>
      <c r="D948" s="11"/>
      <c r="E948" s="117"/>
      <c r="F948" s="117"/>
      <c r="H948" s="80"/>
    </row>
    <row r="949">
      <c r="A949" s="11"/>
      <c r="B949" s="50" t="str">
        <f>IFERROR(VLOOKUP($A949,EVENTO!$A$2:$C$4999,2,FALSE),"")</f>
        <v/>
      </c>
      <c r="C949" s="50" t="str">
        <f>IFERROR(VLOOKUP($A949,EVENTO!$A$2:$C$4999,3,FALSE),"")</f>
        <v/>
      </c>
      <c r="D949" s="11"/>
      <c r="E949" s="117"/>
      <c r="F949" s="117"/>
      <c r="H949" s="80"/>
    </row>
    <row r="950">
      <c r="A950" s="11"/>
      <c r="B950" s="50" t="str">
        <f>IFERROR(VLOOKUP($A950,EVENTO!$A$2:$C$4999,2,FALSE),"")</f>
        <v/>
      </c>
      <c r="C950" s="50" t="str">
        <f>IFERROR(VLOOKUP($A950,EVENTO!$A$2:$C$4999,3,FALSE),"")</f>
        <v/>
      </c>
      <c r="D950" s="11"/>
      <c r="E950" s="117"/>
      <c r="F950" s="117"/>
      <c r="H950" s="80"/>
    </row>
    <row r="951">
      <c r="A951" s="11"/>
      <c r="B951" s="50" t="str">
        <f>IFERROR(VLOOKUP($A951,EVENTO!$A$2:$C$4999,2,FALSE),"")</f>
        <v/>
      </c>
      <c r="C951" s="50" t="str">
        <f>IFERROR(VLOOKUP($A951,EVENTO!$A$2:$C$4999,3,FALSE),"")</f>
        <v/>
      </c>
      <c r="D951" s="11"/>
      <c r="E951" s="117"/>
      <c r="F951" s="117"/>
      <c r="H951" s="80"/>
    </row>
    <row r="952">
      <c r="A952" s="11"/>
      <c r="B952" s="50" t="str">
        <f>IFERROR(VLOOKUP($A952,EVENTO!$A$2:$C$4999,2,FALSE),"")</f>
        <v/>
      </c>
      <c r="C952" s="50" t="str">
        <f>IFERROR(VLOOKUP($A952,EVENTO!$A$2:$C$4999,3,FALSE),"")</f>
        <v/>
      </c>
      <c r="D952" s="11"/>
      <c r="E952" s="117"/>
      <c r="F952" s="117"/>
      <c r="H952" s="80"/>
    </row>
    <row r="953">
      <c r="A953" s="11"/>
      <c r="B953" s="50" t="str">
        <f>IFERROR(VLOOKUP($A953,EVENTO!$A$2:$C$4999,2,FALSE),"")</f>
        <v/>
      </c>
      <c r="C953" s="50" t="str">
        <f>IFERROR(VLOOKUP($A953,EVENTO!$A$2:$C$4999,3,FALSE),"")</f>
        <v/>
      </c>
      <c r="D953" s="11"/>
      <c r="E953" s="117"/>
      <c r="F953" s="117"/>
      <c r="H953" s="80"/>
    </row>
    <row r="954">
      <c r="A954" s="11"/>
      <c r="B954" s="50" t="str">
        <f>IFERROR(VLOOKUP($A954,EVENTO!$A$2:$C$4999,2,FALSE),"")</f>
        <v/>
      </c>
      <c r="C954" s="50" t="str">
        <f>IFERROR(VLOOKUP($A954,EVENTO!$A$2:$C$4999,3,FALSE),"")</f>
        <v/>
      </c>
      <c r="D954" s="11"/>
      <c r="E954" s="117"/>
      <c r="F954" s="117"/>
      <c r="H954" s="80"/>
    </row>
    <row r="955">
      <c r="A955" s="11"/>
      <c r="B955" s="50" t="str">
        <f>IFERROR(VLOOKUP($A955,EVENTO!$A$2:$C$4999,2,FALSE),"")</f>
        <v/>
      </c>
      <c r="C955" s="50" t="str">
        <f>IFERROR(VLOOKUP($A955,EVENTO!$A$2:$C$4999,3,FALSE),"")</f>
        <v/>
      </c>
      <c r="D955" s="11"/>
      <c r="E955" s="117"/>
      <c r="F955" s="117"/>
      <c r="H955" s="80"/>
    </row>
    <row r="956">
      <c r="A956" s="11"/>
      <c r="B956" s="50" t="str">
        <f>IFERROR(VLOOKUP($A956,EVENTO!$A$2:$C$4999,2,FALSE),"")</f>
        <v/>
      </c>
      <c r="C956" s="50" t="str">
        <f>IFERROR(VLOOKUP($A956,EVENTO!$A$2:$C$4999,3,FALSE),"")</f>
        <v/>
      </c>
      <c r="D956" s="11"/>
      <c r="E956" s="117"/>
      <c r="F956" s="117"/>
      <c r="H956" s="80"/>
    </row>
    <row r="957">
      <c r="A957" s="11"/>
      <c r="B957" s="50" t="str">
        <f>IFERROR(VLOOKUP($A957,EVENTO!$A$2:$C$4999,2,FALSE),"")</f>
        <v/>
      </c>
      <c r="C957" s="50" t="str">
        <f>IFERROR(VLOOKUP($A957,EVENTO!$A$2:$C$4999,3,FALSE),"")</f>
        <v/>
      </c>
      <c r="D957" s="11"/>
      <c r="E957" s="117"/>
      <c r="F957" s="117"/>
      <c r="H957" s="80"/>
    </row>
    <row r="958">
      <c r="A958" s="11"/>
      <c r="B958" s="50" t="str">
        <f>IFERROR(VLOOKUP($A958,EVENTO!$A$2:$C$4999,2,FALSE),"")</f>
        <v/>
      </c>
      <c r="C958" s="50" t="str">
        <f>IFERROR(VLOOKUP($A958,EVENTO!$A$2:$C$4999,3,FALSE),"")</f>
        <v/>
      </c>
      <c r="D958" s="11"/>
      <c r="E958" s="117"/>
      <c r="F958" s="117"/>
      <c r="H958" s="80"/>
    </row>
    <row r="959">
      <c r="A959" s="11"/>
      <c r="B959" s="50" t="str">
        <f>IFERROR(VLOOKUP($A959,EVENTO!$A$2:$C$4999,2,FALSE),"")</f>
        <v/>
      </c>
      <c r="C959" s="50" t="str">
        <f>IFERROR(VLOOKUP($A959,EVENTO!$A$2:$C$4999,3,FALSE),"")</f>
        <v/>
      </c>
      <c r="D959" s="11"/>
      <c r="E959" s="117"/>
      <c r="F959" s="117"/>
      <c r="H959" s="80"/>
    </row>
    <row r="960">
      <c r="A960" s="11"/>
      <c r="B960" s="50" t="str">
        <f>IFERROR(VLOOKUP($A960,EVENTO!$A$2:$C$4999,2,FALSE),"")</f>
        <v/>
      </c>
      <c r="C960" s="50" t="str">
        <f>IFERROR(VLOOKUP($A960,EVENTO!$A$2:$C$4999,3,FALSE),"")</f>
        <v/>
      </c>
      <c r="D960" s="11"/>
      <c r="E960" s="117"/>
      <c r="F960" s="117"/>
      <c r="H960" s="80"/>
    </row>
    <row r="961">
      <c r="A961" s="11"/>
      <c r="B961" s="50" t="str">
        <f>IFERROR(VLOOKUP($A961,EVENTO!$A$2:$C$4999,2,FALSE),"")</f>
        <v/>
      </c>
      <c r="C961" s="50" t="str">
        <f>IFERROR(VLOOKUP($A961,EVENTO!$A$2:$C$4999,3,FALSE),"")</f>
        <v/>
      </c>
      <c r="D961" s="11"/>
      <c r="E961" s="117"/>
      <c r="F961" s="117"/>
      <c r="H961" s="80"/>
    </row>
    <row r="962">
      <c r="A962" s="11"/>
      <c r="B962" s="50" t="str">
        <f>IFERROR(VLOOKUP($A962,EVENTO!$A$2:$C$4999,2,FALSE),"")</f>
        <v/>
      </c>
      <c r="C962" s="50" t="str">
        <f>IFERROR(VLOOKUP($A962,EVENTO!$A$2:$C$4999,3,FALSE),"")</f>
        <v/>
      </c>
      <c r="D962" s="11"/>
      <c r="E962" s="117"/>
      <c r="F962" s="117"/>
      <c r="H962" s="80"/>
    </row>
    <row r="963">
      <c r="A963" s="11"/>
      <c r="B963" s="50" t="str">
        <f>IFERROR(VLOOKUP($A963,EVENTO!$A$2:$C$4999,2,FALSE),"")</f>
        <v/>
      </c>
      <c r="C963" s="50" t="str">
        <f>IFERROR(VLOOKUP($A963,EVENTO!$A$2:$C$4999,3,FALSE),"")</f>
        <v/>
      </c>
      <c r="D963" s="11"/>
      <c r="E963" s="117"/>
      <c r="F963" s="117"/>
      <c r="H963" s="80"/>
    </row>
    <row r="964">
      <c r="A964" s="11"/>
      <c r="B964" s="50" t="str">
        <f>IFERROR(VLOOKUP($A964,EVENTO!$A$2:$C$4999,2,FALSE),"")</f>
        <v/>
      </c>
      <c r="C964" s="50" t="str">
        <f>IFERROR(VLOOKUP($A964,EVENTO!$A$2:$C$4999,3,FALSE),"")</f>
        <v/>
      </c>
      <c r="D964" s="11"/>
      <c r="E964" s="117"/>
      <c r="F964" s="117"/>
      <c r="H964" s="80"/>
    </row>
    <row r="965">
      <c r="A965" s="11"/>
      <c r="B965" s="50" t="str">
        <f>IFERROR(VLOOKUP($A965,EVENTO!$A$2:$C$4999,2,FALSE),"")</f>
        <v/>
      </c>
      <c r="C965" s="50" t="str">
        <f>IFERROR(VLOOKUP($A965,EVENTO!$A$2:$C$4999,3,FALSE),"")</f>
        <v/>
      </c>
      <c r="D965" s="11"/>
      <c r="E965" s="117"/>
      <c r="F965" s="117"/>
      <c r="H965" s="80"/>
    </row>
    <row r="966">
      <c r="A966" s="11"/>
      <c r="B966" s="50" t="str">
        <f>IFERROR(VLOOKUP($A966,EVENTO!$A$2:$C$4999,2,FALSE),"")</f>
        <v/>
      </c>
      <c r="C966" s="50" t="str">
        <f>IFERROR(VLOOKUP($A966,EVENTO!$A$2:$C$4999,3,FALSE),"")</f>
        <v/>
      </c>
      <c r="D966" s="11"/>
      <c r="E966" s="117"/>
      <c r="F966" s="117"/>
      <c r="H966" s="80"/>
    </row>
    <row r="967">
      <c r="A967" s="11"/>
      <c r="B967" s="50" t="str">
        <f>IFERROR(VLOOKUP($A967,EVENTO!$A$2:$C$4999,2,FALSE),"")</f>
        <v/>
      </c>
      <c r="C967" s="50" t="str">
        <f>IFERROR(VLOOKUP($A967,EVENTO!$A$2:$C$4999,3,FALSE),"")</f>
        <v/>
      </c>
      <c r="D967" s="11"/>
      <c r="E967" s="117"/>
      <c r="F967" s="117"/>
      <c r="H967" s="80"/>
    </row>
    <row r="968">
      <c r="A968" s="11"/>
      <c r="B968" s="50" t="str">
        <f>IFERROR(VLOOKUP($A968,EVENTO!$A$2:$C$4999,2,FALSE),"")</f>
        <v/>
      </c>
      <c r="C968" s="50" t="str">
        <f>IFERROR(VLOOKUP($A968,EVENTO!$A$2:$C$4999,3,FALSE),"")</f>
        <v/>
      </c>
      <c r="D968" s="11"/>
      <c r="E968" s="117"/>
      <c r="F968" s="117"/>
      <c r="H968" s="80"/>
    </row>
    <row r="969">
      <c r="A969" s="11"/>
      <c r="B969" s="50" t="str">
        <f>IFERROR(VLOOKUP($A969,EVENTO!$A$2:$C$4999,2,FALSE),"")</f>
        <v/>
      </c>
      <c r="C969" s="50" t="str">
        <f>IFERROR(VLOOKUP($A969,EVENTO!$A$2:$C$4999,3,FALSE),"")</f>
        <v/>
      </c>
      <c r="D969" s="11"/>
      <c r="E969" s="117"/>
      <c r="F969" s="117"/>
      <c r="H969" s="80"/>
    </row>
    <row r="970">
      <c r="A970" s="11"/>
      <c r="B970" s="50" t="str">
        <f>IFERROR(VLOOKUP($A970,EVENTO!$A$2:$C$4999,2,FALSE),"")</f>
        <v/>
      </c>
      <c r="C970" s="50" t="str">
        <f>IFERROR(VLOOKUP($A970,EVENTO!$A$2:$C$4999,3,FALSE),"")</f>
        <v/>
      </c>
      <c r="D970" s="11"/>
      <c r="E970" s="117"/>
      <c r="F970" s="117"/>
      <c r="H970" s="80"/>
    </row>
    <row r="971">
      <c r="A971" s="11"/>
      <c r="B971" s="50" t="str">
        <f>IFERROR(VLOOKUP($A971,EVENTO!$A$2:$C$4999,2,FALSE),"")</f>
        <v/>
      </c>
      <c r="C971" s="50" t="str">
        <f>IFERROR(VLOOKUP($A971,EVENTO!$A$2:$C$4999,3,FALSE),"")</f>
        <v/>
      </c>
      <c r="D971" s="11"/>
      <c r="E971" s="117"/>
      <c r="F971" s="117"/>
      <c r="H971" s="80"/>
    </row>
    <row r="972">
      <c r="A972" s="11"/>
      <c r="B972" s="50" t="str">
        <f>IFERROR(VLOOKUP($A972,EVENTO!$A$2:$C$4999,2,FALSE),"")</f>
        <v/>
      </c>
      <c r="C972" s="50" t="str">
        <f>IFERROR(VLOOKUP($A972,EVENTO!$A$2:$C$4999,3,FALSE),"")</f>
        <v/>
      </c>
      <c r="D972" s="11"/>
      <c r="E972" s="117"/>
      <c r="F972" s="117"/>
      <c r="H972" s="80"/>
    </row>
    <row r="973">
      <c r="A973" s="11"/>
      <c r="B973" s="50" t="str">
        <f>IFERROR(VLOOKUP($A973,EVENTO!$A$2:$C$4999,2,FALSE),"")</f>
        <v/>
      </c>
      <c r="C973" s="50" t="str">
        <f>IFERROR(VLOOKUP($A973,EVENTO!$A$2:$C$4999,3,FALSE),"")</f>
        <v/>
      </c>
      <c r="D973" s="11"/>
      <c r="E973" s="117"/>
      <c r="F973" s="117"/>
      <c r="H973" s="80"/>
    </row>
    <row r="974">
      <c r="A974" s="11"/>
      <c r="B974" s="50" t="str">
        <f>IFERROR(VLOOKUP($A974,EVENTO!$A$2:$C$4999,2,FALSE),"")</f>
        <v/>
      </c>
      <c r="C974" s="50" t="str">
        <f>IFERROR(VLOOKUP($A974,EVENTO!$A$2:$C$4999,3,FALSE),"")</f>
        <v/>
      </c>
      <c r="D974" s="11"/>
      <c r="E974" s="117"/>
      <c r="F974" s="117"/>
      <c r="H974" s="80"/>
    </row>
    <row r="975">
      <c r="A975" s="11"/>
      <c r="B975" s="50" t="str">
        <f>IFERROR(VLOOKUP($A975,EVENTO!$A$2:$C$4999,2,FALSE),"")</f>
        <v/>
      </c>
      <c r="C975" s="50" t="str">
        <f>IFERROR(VLOOKUP($A975,EVENTO!$A$2:$C$4999,3,FALSE),"")</f>
        <v/>
      </c>
      <c r="D975" s="11"/>
      <c r="E975" s="117"/>
      <c r="F975" s="117"/>
      <c r="H975" s="80"/>
    </row>
    <row r="976">
      <c r="A976" s="11"/>
      <c r="B976" s="50" t="str">
        <f>IFERROR(VLOOKUP($A976,EVENTO!$A$2:$C$4999,2,FALSE),"")</f>
        <v/>
      </c>
      <c r="C976" s="50" t="str">
        <f>IFERROR(VLOOKUP($A976,EVENTO!$A$2:$C$4999,3,FALSE),"")</f>
        <v/>
      </c>
      <c r="D976" s="11"/>
      <c r="E976" s="117"/>
      <c r="F976" s="117"/>
      <c r="H976" s="80"/>
    </row>
    <row r="977">
      <c r="A977" s="11"/>
      <c r="B977" s="50" t="str">
        <f>IFERROR(VLOOKUP($A977,EVENTO!$A$2:$C$4999,2,FALSE),"")</f>
        <v/>
      </c>
      <c r="C977" s="50" t="str">
        <f>IFERROR(VLOOKUP($A977,EVENTO!$A$2:$C$4999,3,FALSE),"")</f>
        <v/>
      </c>
      <c r="D977" s="11"/>
      <c r="E977" s="117"/>
      <c r="F977" s="117"/>
      <c r="H977" s="80"/>
    </row>
    <row r="978">
      <c r="A978" s="11"/>
      <c r="B978" s="50" t="str">
        <f>IFERROR(VLOOKUP($A978,EVENTO!$A$2:$C$4999,2,FALSE),"")</f>
        <v/>
      </c>
      <c r="C978" s="50" t="str">
        <f>IFERROR(VLOOKUP($A978,EVENTO!$A$2:$C$4999,3,FALSE),"")</f>
        <v/>
      </c>
      <c r="D978" s="11"/>
      <c r="E978" s="117"/>
      <c r="F978" s="117"/>
      <c r="H978" s="80"/>
    </row>
    <row r="979">
      <c r="A979" s="11"/>
      <c r="B979" s="50" t="str">
        <f>IFERROR(VLOOKUP($A979,EVENTO!$A$2:$C$4999,2,FALSE),"")</f>
        <v/>
      </c>
      <c r="C979" s="50" t="str">
        <f>IFERROR(VLOOKUP($A979,EVENTO!$A$2:$C$4999,3,FALSE),"")</f>
        <v/>
      </c>
      <c r="D979" s="11"/>
      <c r="E979" s="117"/>
      <c r="F979" s="117"/>
      <c r="H979" s="80"/>
    </row>
    <row r="980">
      <c r="A980" s="11"/>
      <c r="B980" s="50" t="str">
        <f>IFERROR(VLOOKUP($A980,EVENTO!$A$2:$C$4999,2,FALSE),"")</f>
        <v/>
      </c>
      <c r="C980" s="50" t="str">
        <f>IFERROR(VLOOKUP($A980,EVENTO!$A$2:$C$4999,3,FALSE),"")</f>
        <v/>
      </c>
      <c r="D980" s="11"/>
      <c r="E980" s="117"/>
      <c r="F980" s="117"/>
      <c r="H980" s="80"/>
    </row>
    <row r="981">
      <c r="A981" s="11"/>
      <c r="B981" s="50" t="str">
        <f>IFERROR(VLOOKUP($A981,EVENTO!$A$2:$C$4999,2,FALSE),"")</f>
        <v/>
      </c>
      <c r="C981" s="50" t="str">
        <f>IFERROR(VLOOKUP($A981,EVENTO!$A$2:$C$4999,3,FALSE),"")</f>
        <v/>
      </c>
      <c r="D981" s="11"/>
      <c r="E981" s="117"/>
      <c r="F981" s="117"/>
      <c r="H981" s="80"/>
    </row>
    <row r="982">
      <c r="A982" s="11"/>
      <c r="B982" s="50" t="str">
        <f>IFERROR(VLOOKUP($A982,EVENTO!$A$2:$C$4999,2,FALSE),"")</f>
        <v/>
      </c>
      <c r="C982" s="50" t="str">
        <f>IFERROR(VLOOKUP($A982,EVENTO!$A$2:$C$4999,3,FALSE),"")</f>
        <v/>
      </c>
      <c r="D982" s="11"/>
      <c r="E982" s="117"/>
      <c r="F982" s="117"/>
      <c r="H982" s="80"/>
    </row>
    <row r="983">
      <c r="A983" s="11"/>
      <c r="B983" s="50" t="str">
        <f>IFERROR(VLOOKUP($A983,EVENTO!$A$2:$C$4999,2,FALSE),"")</f>
        <v/>
      </c>
      <c r="C983" s="50" t="str">
        <f>IFERROR(VLOOKUP($A983,EVENTO!$A$2:$C$4999,3,FALSE),"")</f>
        <v/>
      </c>
      <c r="D983" s="11"/>
      <c r="E983" s="117"/>
      <c r="F983" s="117"/>
      <c r="H983" s="80"/>
    </row>
    <row r="984">
      <c r="A984" s="11"/>
      <c r="B984" s="50" t="str">
        <f>IFERROR(VLOOKUP($A984,EVENTO!$A$2:$C$4999,2,FALSE),"")</f>
        <v/>
      </c>
      <c r="C984" s="50" t="str">
        <f>IFERROR(VLOOKUP($A984,EVENTO!$A$2:$C$4999,3,FALSE),"")</f>
        <v/>
      </c>
      <c r="D984" s="11"/>
      <c r="E984" s="117"/>
      <c r="F984" s="117"/>
      <c r="H984" s="80"/>
    </row>
    <row r="985">
      <c r="A985" s="11"/>
      <c r="B985" s="50" t="str">
        <f>IFERROR(VLOOKUP($A985,EVENTO!$A$2:$C$4999,2,FALSE),"")</f>
        <v/>
      </c>
      <c r="C985" s="50" t="str">
        <f>IFERROR(VLOOKUP($A985,EVENTO!$A$2:$C$4999,3,FALSE),"")</f>
        <v/>
      </c>
      <c r="D985" s="11"/>
      <c r="E985" s="117"/>
      <c r="F985" s="117"/>
      <c r="H985" s="80"/>
    </row>
    <row r="986">
      <c r="A986" s="11"/>
      <c r="B986" s="50" t="str">
        <f>IFERROR(VLOOKUP($A986,EVENTO!$A$2:$C$4999,2,FALSE),"")</f>
        <v/>
      </c>
      <c r="C986" s="50" t="str">
        <f>IFERROR(VLOOKUP($A986,EVENTO!$A$2:$C$4999,3,FALSE),"")</f>
        <v/>
      </c>
      <c r="D986" s="11"/>
      <c r="E986" s="117"/>
      <c r="F986" s="117"/>
      <c r="H986" s="80"/>
    </row>
    <row r="987">
      <c r="A987" s="11"/>
      <c r="B987" s="50" t="str">
        <f>IFERROR(VLOOKUP($A987,EVENTO!$A$2:$C$4999,2,FALSE),"")</f>
        <v/>
      </c>
      <c r="C987" s="50" t="str">
        <f>IFERROR(VLOOKUP($A987,EVENTO!$A$2:$C$4999,3,FALSE),"")</f>
        <v/>
      </c>
      <c r="D987" s="11"/>
      <c r="E987" s="117"/>
      <c r="F987" s="117"/>
      <c r="H987" s="80"/>
    </row>
    <row r="988">
      <c r="A988" s="11"/>
      <c r="B988" s="50" t="str">
        <f>IFERROR(VLOOKUP($A988,EVENTO!$A$2:$C$4999,2,FALSE),"")</f>
        <v/>
      </c>
      <c r="C988" s="50" t="str">
        <f>IFERROR(VLOOKUP($A988,EVENTO!$A$2:$C$4999,3,FALSE),"")</f>
        <v/>
      </c>
      <c r="D988" s="11"/>
      <c r="E988" s="117"/>
      <c r="F988" s="117"/>
      <c r="H988" s="80"/>
    </row>
    <row r="989">
      <c r="A989" s="11"/>
      <c r="B989" s="50" t="str">
        <f>IFERROR(VLOOKUP($A989,EVENTO!$A$2:$C$4999,2,FALSE),"")</f>
        <v/>
      </c>
      <c r="C989" s="50" t="str">
        <f>IFERROR(VLOOKUP($A989,EVENTO!$A$2:$C$4999,3,FALSE),"")</f>
        <v/>
      </c>
      <c r="D989" s="11"/>
      <c r="E989" s="117"/>
      <c r="F989" s="117"/>
      <c r="H989" s="80"/>
    </row>
    <row r="990">
      <c r="A990" s="11"/>
      <c r="B990" s="50" t="str">
        <f>IFERROR(VLOOKUP($A990,EVENTO!$A$2:$C$4999,2,FALSE),"")</f>
        <v/>
      </c>
      <c r="C990" s="50" t="str">
        <f>IFERROR(VLOOKUP($A990,EVENTO!$A$2:$C$4999,3,FALSE),"")</f>
        <v/>
      </c>
      <c r="D990" s="11"/>
      <c r="E990" s="117"/>
      <c r="F990" s="117"/>
      <c r="H990" s="80"/>
    </row>
    <row r="991">
      <c r="A991" s="11"/>
      <c r="B991" s="50" t="str">
        <f>IFERROR(VLOOKUP($A991,EVENTO!$A$2:$C$4999,2,FALSE),"")</f>
        <v/>
      </c>
      <c r="C991" s="50" t="str">
        <f>IFERROR(VLOOKUP($A991,EVENTO!$A$2:$C$4999,3,FALSE),"")</f>
        <v/>
      </c>
      <c r="D991" s="11"/>
      <c r="E991" s="117"/>
      <c r="F991" s="117"/>
      <c r="H991" s="80"/>
    </row>
    <row r="992">
      <c r="A992" s="11"/>
      <c r="B992" s="50" t="str">
        <f>IFERROR(VLOOKUP($A992,EVENTO!$A$2:$C$4999,2,FALSE),"")</f>
        <v/>
      </c>
      <c r="C992" s="50" t="str">
        <f>IFERROR(VLOOKUP($A992,EVENTO!$A$2:$C$4999,3,FALSE),"")</f>
        <v/>
      </c>
      <c r="D992" s="11"/>
      <c r="E992" s="117"/>
      <c r="F992" s="117"/>
      <c r="H992" s="80"/>
    </row>
    <row r="993">
      <c r="A993" s="11"/>
      <c r="B993" s="50" t="str">
        <f>IFERROR(VLOOKUP($A993,EVENTO!$A$2:$C$4999,2,FALSE),"")</f>
        <v/>
      </c>
      <c r="C993" s="50" t="str">
        <f>IFERROR(VLOOKUP($A993,EVENTO!$A$2:$C$4999,3,FALSE),"")</f>
        <v/>
      </c>
      <c r="D993" s="11"/>
      <c r="E993" s="117"/>
      <c r="F993" s="117"/>
      <c r="H993" s="80"/>
    </row>
    <row r="994">
      <c r="A994" s="11"/>
      <c r="B994" s="50" t="str">
        <f>IFERROR(VLOOKUP($A994,EVENTO!$A$2:$C$4999,2,FALSE),"")</f>
        <v/>
      </c>
      <c r="C994" s="50" t="str">
        <f>IFERROR(VLOOKUP($A994,EVENTO!$A$2:$C$4999,3,FALSE),"")</f>
        <v/>
      </c>
      <c r="D994" s="11"/>
      <c r="E994" s="117"/>
      <c r="F994" s="117"/>
      <c r="H994" s="80"/>
    </row>
    <row r="995">
      <c r="A995" s="11"/>
      <c r="B995" s="50" t="str">
        <f>IFERROR(VLOOKUP($A995,EVENTO!$A$2:$C$4999,2,FALSE),"")</f>
        <v/>
      </c>
      <c r="C995" s="50" t="str">
        <f>IFERROR(VLOOKUP($A995,EVENTO!$A$2:$C$4999,3,FALSE),"")</f>
        <v/>
      </c>
      <c r="D995" s="11"/>
      <c r="E995" s="117"/>
      <c r="F995" s="117"/>
      <c r="H995" s="80"/>
    </row>
    <row r="996">
      <c r="A996" s="11"/>
      <c r="B996" s="50" t="str">
        <f>IFERROR(VLOOKUP($A996,EVENTO!$A$2:$C$4999,2,FALSE),"")</f>
        <v/>
      </c>
      <c r="C996" s="50" t="str">
        <f>IFERROR(VLOOKUP($A996,EVENTO!$A$2:$C$4999,3,FALSE),"")</f>
        <v/>
      </c>
      <c r="D996" s="11"/>
      <c r="E996" s="117"/>
      <c r="F996" s="117"/>
      <c r="H996" s="80"/>
    </row>
    <row r="997">
      <c r="A997" s="11"/>
      <c r="B997" s="50" t="str">
        <f>IFERROR(VLOOKUP($A997,EVENTO!$A$2:$C$4999,2,FALSE),"")</f>
        <v/>
      </c>
      <c r="C997" s="50" t="str">
        <f>IFERROR(VLOOKUP($A997,EVENTO!$A$2:$C$4999,3,FALSE),"")</f>
        <v/>
      </c>
      <c r="D997" s="11"/>
      <c r="E997" s="117"/>
      <c r="F997" s="117"/>
      <c r="H997" s="80"/>
    </row>
    <row r="998">
      <c r="A998" s="11"/>
      <c r="B998" s="50" t="str">
        <f>IFERROR(VLOOKUP($A998,EVENTO!$A$2:$C$4999,2,FALSE),"")</f>
        <v/>
      </c>
      <c r="C998" s="50" t="str">
        <f>IFERROR(VLOOKUP($A998,EVENTO!$A$2:$C$4999,3,FALSE),"")</f>
        <v/>
      </c>
      <c r="D998" s="11"/>
      <c r="E998" s="117"/>
      <c r="F998" s="117"/>
      <c r="H998" s="80"/>
    </row>
    <row r="999">
      <c r="A999" s="11"/>
      <c r="B999" s="50" t="str">
        <f>IFERROR(VLOOKUP($A999,EVENTO!$A$2:$C$4999,2,FALSE),"")</f>
        <v/>
      </c>
      <c r="C999" s="50" t="str">
        <f>IFERROR(VLOOKUP($A999,EVENTO!$A$2:$C$4999,3,FALSE),"")</f>
        <v/>
      </c>
      <c r="D999" s="11"/>
      <c r="E999" s="117"/>
      <c r="F999" s="117"/>
      <c r="H999" s="80"/>
    </row>
    <row r="1000">
      <c r="A1000" s="11"/>
      <c r="B1000" s="50" t="str">
        <f>IFERROR(VLOOKUP($A1000,EVENTO!$A$2:$C$4999,2,FALSE),"")</f>
        <v/>
      </c>
      <c r="C1000" s="50" t="str">
        <f>IFERROR(VLOOKUP($A1000,EVENTO!$A$2:$C$4999,3,FALSE),"")</f>
        <v/>
      </c>
      <c r="D1000" s="11"/>
      <c r="E1000" s="117"/>
      <c r="F1000" s="117"/>
      <c r="H1000" s="80"/>
    </row>
  </sheetData>
  <dataValidations>
    <dataValidation type="list" allowBlank="1" showErrorMessage="1" sqref="D152:D153">
      <formula1>FILTRO_ITENS!$A155:$Z155</formula1>
    </dataValidation>
    <dataValidation type="list" allowBlank="1" showErrorMessage="1" sqref="A2:A1000">
      <formula1>EVENTO!$A$2:$A$998</formula1>
    </dataValidation>
    <dataValidation type="list" allowBlank="1" showErrorMessage="1" sqref="D2:D151 D154:D452 D453:E454 D455:D1000">
      <formula1>FILTRO_ITENS!$A1:$Z1</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tr">
        <f>IFERROR(__xludf.DUMMYFUNCTION("TRANSPOSE(FILTER(ITENS!$D:$D, ITENS!$A:$A = SERVICOS!$A2))"),"IMPRESSORA MONOCROMÁTICO –  PÁGINAS A4 ")</f>
        <v>IMPRESSORA MONOCROMÁTICO –  PÁGINAS A4 </v>
      </c>
      <c r="B1" s="11" t="str">
        <f>IFERROR(__xludf.DUMMYFUNCTION("""COMPUTED_VALUE"""),"IMPRESSORA POLICROMÁTICO  –  PÁGINAS – A4 ")</f>
        <v>IMPRESSORA POLICROMÁTICO  –  PÁGINAS – A4 </v>
      </c>
      <c r="C1" s="11" t="str">
        <f>IFERROR(__xludf.DUMMYFUNCTION("""COMPUTED_VALUE"""),"IMPRESSORA  MONOCROMÁTICO –  PÁGINAS  A3 ")</f>
        <v>IMPRESSORA  MONOCROMÁTICO –  PÁGINAS  A3 </v>
      </c>
    </row>
    <row r="2">
      <c r="A2" s="11" t="str">
        <f>IFERROR(__xludf.DUMMYFUNCTION("TRANSPOSE(FILTER(ITENS!$D:$D, ITENS!$A:$A = SERVICOS!$A3))"),"IMPRESSORA MONOCROMÁTICO –  PÁGINAS A4 ")</f>
        <v>IMPRESSORA MONOCROMÁTICO –  PÁGINAS A4 </v>
      </c>
      <c r="B2" s="11" t="str">
        <f>IFERROR(__xludf.DUMMYFUNCTION("""COMPUTED_VALUE"""),"IMPRESSORA POLICROMÁTICO  –  PÁGINAS – A4 ")</f>
        <v>IMPRESSORA POLICROMÁTICO  –  PÁGINAS – A4 </v>
      </c>
      <c r="C2" s="11" t="str">
        <f>IFERROR(__xludf.DUMMYFUNCTION("""COMPUTED_VALUE"""),"IMPRESSORA  MONOCROMÁTICO –  PÁGINAS  A3 ")</f>
        <v>IMPRESSORA  MONOCROMÁTICO –  PÁGINAS  A3 </v>
      </c>
    </row>
    <row r="3">
      <c r="A3" s="11" t="str">
        <f>IFERROR(__xludf.DUMMYFUNCTION("TRANSPOSE(FILTER(ITENS!$D:$D, ITENS!$A:$A = SERVICOS!$A4))"),"IMPRESSORA MONOCROMÁTICO –  PÁGINAS A4 ")</f>
        <v>IMPRESSORA MONOCROMÁTICO –  PÁGINAS A4 </v>
      </c>
      <c r="B3" s="11" t="str">
        <f>IFERROR(__xludf.DUMMYFUNCTION("""COMPUTED_VALUE"""),"IMPRESSORA POLICROMÁTICO  –  PÁGINAS – A4 ")</f>
        <v>IMPRESSORA POLICROMÁTICO  –  PÁGINAS – A4 </v>
      </c>
      <c r="C3" s="11" t="str">
        <f>IFERROR(__xludf.DUMMYFUNCTION("""COMPUTED_VALUE"""),"IMPRESSORA  MONOCROMÁTICO –  PÁGINAS  A3 ")</f>
        <v>IMPRESSORA  MONOCROMÁTICO –  PÁGINAS  A3 </v>
      </c>
    </row>
    <row r="4">
      <c r="A4" s="11" t="str">
        <f>IFERROR(__xludf.DUMMYFUNCTION("TRANSPOSE(FILTER(ITENS!$D:$D, ITENS!$A:$A = SERVICOS!$A5))"),"IMPRESSORA MONOCROMÁTICO –  PÁGINAS A4 ")</f>
        <v>IMPRESSORA MONOCROMÁTICO –  PÁGINAS A4 </v>
      </c>
      <c r="B4" s="11" t="str">
        <f>IFERROR(__xludf.DUMMYFUNCTION("""COMPUTED_VALUE"""),"IMPRESSORA POLICROMÁTICO  –  PÁGINAS – A4 ")</f>
        <v>IMPRESSORA POLICROMÁTICO  –  PÁGINAS – A4 </v>
      </c>
      <c r="C4" s="11" t="str">
        <f>IFERROR(__xludf.DUMMYFUNCTION("""COMPUTED_VALUE"""),"IMPRESSORA  MONOCROMÁTICO –  PÁGINAS  A3 ")</f>
        <v>IMPRESSORA  MONOCROMÁTICO –  PÁGINAS  A3 </v>
      </c>
    </row>
    <row r="5">
      <c r="A5" s="11" t="str">
        <f>IFERROR(__xludf.DUMMYFUNCTION("TRANSPOSE(FILTER(ITENS!$D:$D, ITENS!$A:$A = SERVICOS!$A6))"),"IMPRESSORA MONOCROMÁTICO –  PÁGINAS A4 ")</f>
        <v>IMPRESSORA MONOCROMÁTICO –  PÁGINAS A4 </v>
      </c>
      <c r="B5" s="11" t="str">
        <f>IFERROR(__xludf.DUMMYFUNCTION("""COMPUTED_VALUE"""),"IMPRESSORA POLICROMÁTICO  –  PÁGINAS – A4 ")</f>
        <v>IMPRESSORA POLICROMÁTICO  –  PÁGINAS – A4 </v>
      </c>
      <c r="C5" s="11" t="str">
        <f>IFERROR(__xludf.DUMMYFUNCTION("""COMPUTED_VALUE"""),"IMPRESSORA  MONOCROMÁTICO –  PÁGINAS  A3 ")</f>
        <v>IMPRESSORA  MONOCROMÁTICO –  PÁGINAS  A3 </v>
      </c>
    </row>
    <row r="6">
      <c r="A6" s="11" t="str">
        <f>IFERROR(__xludf.DUMMYFUNCTION("TRANSPOSE(FILTER(ITENS!$D:$D, ITENS!$A:$A = SERVICOS!$A7))"),"IMPRESSORA MONOCROMÁTICO –  PÁGINAS A4 ")</f>
        <v>IMPRESSORA MONOCROMÁTICO –  PÁGINAS A4 </v>
      </c>
      <c r="B6" s="11" t="str">
        <f>IFERROR(__xludf.DUMMYFUNCTION("""COMPUTED_VALUE"""),"IMPRESSORA POLICROMÁTICO  –  PÁGINAS – A4 ")</f>
        <v>IMPRESSORA POLICROMÁTICO  –  PÁGINAS – A4 </v>
      </c>
      <c r="C6" s="11" t="str">
        <f>IFERROR(__xludf.DUMMYFUNCTION("""COMPUTED_VALUE"""),"IMPRESSORA  MONOCROMÁTICO –  PÁGINAS  A3 ")</f>
        <v>IMPRESSORA  MONOCROMÁTICO –  PÁGINAS  A3 </v>
      </c>
    </row>
    <row r="7">
      <c r="A7" s="11" t="str">
        <f>IFERROR(__xludf.DUMMYFUNCTION("TRANSPOSE(FILTER(ITENS!$D:$D, ITENS!$A:$A = SERVICOS!$A8))")," IMPRESSÃO CORPORATIVA OU OUTSOURCING DE IMPRESSÃO, COM O FORNECIMENTO DE EQUIPAMENTOS ")</f>
        <v> IMPRESSÃO CORPORATIVA OU OUTSOURCING DE IMPRESSÃO, COM O FORNECIMENTO DE EQUIPAMENTOS </v>
      </c>
      <c r="B7" s="11" t="str">
        <f>IFERROR(__xludf.DUMMYFUNCTION("""COMPUTED_VALUE"""),"IMPRESSÃO CORPORATIVA OU OUTSOURCING DE IMPRESSÃO, COM O FORNECIMENTO DE EQUIPAMENTOS ")</f>
        <v>IMPRESSÃO CORPORATIVA OU OUTSOURCING DE IMPRESSÃO, COM O FORNECIMENTO DE EQUIPAMENTOS </v>
      </c>
    </row>
    <row r="8">
      <c r="A8" s="11" t="str">
        <f>IFERROR(__xludf.DUMMYFUNCTION("TRANSPOSE(FILTER(ITENS!$D:$D, ITENS!$A:$A = SERVICOS!$A9))"),"#N/A")</f>
        <v>#N/A</v>
      </c>
    </row>
    <row r="9">
      <c r="A9" s="11" t="str">
        <f>IFERROR(__xludf.DUMMYFUNCTION("TRANSPOSE(FILTER(ITENS!$D:$D, ITENS!$A:$A = SERVICOS!$A10))"),"#N/A")</f>
        <v>#N/A</v>
      </c>
    </row>
    <row r="10">
      <c r="A10" s="11" t="str">
        <f>IFERROR(__xludf.DUMMYFUNCTION("TRANSPOSE(FILTER(ITENS!$D:$D, ITENS!$A:$A = SERVICOS!$A11))"),"#N/A")</f>
        <v>#N/A</v>
      </c>
    </row>
    <row r="11">
      <c r="A11" s="11" t="str">
        <f>IFERROR(__xludf.DUMMYFUNCTION("TRANSPOSE(FILTER(ITENS!$D:$D, ITENS!$A:$A = SERVICOS!$A12))"),"#N/A")</f>
        <v>#N/A</v>
      </c>
    </row>
    <row r="12">
      <c r="A12" s="11" t="str">
        <f>IFERROR(__xludf.DUMMYFUNCTION("TRANSPOSE(FILTER(ITENS!$D:$D, ITENS!$A:$A = SERVICOS!$A13))"),"#N/A")</f>
        <v>#N/A</v>
      </c>
    </row>
    <row r="13">
      <c r="A13" s="11" t="str">
        <f>IFERROR(__xludf.DUMMYFUNCTION("TRANSPOSE(FILTER(ITENS!$D:$D, ITENS!$A:$A = SERVICOS!$A14))"),"#N/A")</f>
        <v>#N/A</v>
      </c>
    </row>
    <row r="14">
      <c r="A14" s="11" t="str">
        <f>IFERROR(__xludf.DUMMYFUNCTION("TRANSPOSE(FILTER(ITENS!$D:$D, ITENS!$A:$A = SERVICOS!$A15))"),"#N/A")</f>
        <v>#N/A</v>
      </c>
    </row>
    <row r="15">
      <c r="A15" s="11" t="str">
        <f>IFERROR(__xludf.DUMMYFUNCTION("TRANSPOSE(FILTER(ITENS!$D:$D, ITENS!$A:$A = SERVICOS!$A16))"),"#N/A")</f>
        <v>#N/A</v>
      </c>
    </row>
    <row r="16">
      <c r="A16" s="11" t="str">
        <f>IFERROR(__xludf.DUMMYFUNCTION("TRANSPOSE(FILTER(ITENS!$D:$D, ITENS!$A:$A = SERVICOS!$A17))"),"IMPRESSORA POLICROMÁTICO  –  PÁGINAS – A4 ")</f>
        <v>IMPRESSORA POLICROMÁTICO  –  PÁGINAS – A4 </v>
      </c>
    </row>
    <row r="17">
      <c r="A17" s="11" t="str">
        <f>IFERROR(__xludf.DUMMYFUNCTION("TRANSPOSE(FILTER(ITENS!$D:$D, ITENS!$A:$A = SERVICOS!$A18))"),"IMPRESSORA POLICROMÁTICO  –  PÁGINAS – A4 ")</f>
        <v>IMPRESSORA POLICROMÁTICO  –  PÁGINAS – A4 </v>
      </c>
    </row>
    <row r="18">
      <c r="A18" s="11" t="str">
        <f>IFERROR(__xludf.DUMMYFUNCTION("TRANSPOSE(FILTER(ITENS!$D:$D, ITENS!$A:$A = SERVICOS!$A19))"),"#N/A")</f>
        <v>#N/A</v>
      </c>
    </row>
    <row r="19">
      <c r="A19" s="11" t="str">
        <f>IFERROR(__xludf.DUMMYFUNCTION("TRANSPOSE(FILTER(ITENS!$D:$D, ITENS!$A:$A = SERVICOS!$A20))"),"#N/A")</f>
        <v>#N/A</v>
      </c>
    </row>
    <row r="20">
      <c r="A20" s="11" t="str">
        <f>IFERROR(__xludf.DUMMYFUNCTION("TRANSPOSE(FILTER(ITENS!$D:$D, ITENS!$A:$A = SERVICOS!$A21))"),"IMPRESSORA MONOCROMÁTICO –  PÁGINAS A4 ")</f>
        <v>IMPRESSORA MONOCROMÁTICO –  PÁGINAS A4 </v>
      </c>
      <c r="B20" s="11" t="str">
        <f>IFERROR(__xludf.DUMMYFUNCTION("""COMPUTED_VALUE"""),"IMPRESSORA POLICROMÁTICO  –  PÁGINAS – A4 ")</f>
        <v>IMPRESSORA POLICROMÁTICO  –  PÁGINAS – A4 </v>
      </c>
      <c r="C20" s="11" t="str">
        <f>IFERROR(__xludf.DUMMYFUNCTION("""COMPUTED_VALUE"""),"IMPRESSORA  MONOCROMÁTICO –  PÁGINAS  A3 ")</f>
        <v>IMPRESSORA  MONOCROMÁTICO –  PÁGINAS  A3 </v>
      </c>
    </row>
    <row r="21">
      <c r="A21" s="11" t="str">
        <f>IFERROR(__xludf.DUMMYFUNCTION("TRANSPOSE(FILTER(ITENS!$D:$D, ITENS!$A:$A = SERVICOS!$A22))"),"IMPRESSORA MONOCROMÁTICO –  PÁGINAS A4 ")</f>
        <v>IMPRESSORA MONOCROMÁTICO –  PÁGINAS A4 </v>
      </c>
      <c r="B21" s="11" t="str">
        <f>IFERROR(__xludf.DUMMYFUNCTION("""COMPUTED_VALUE"""),"IMPRESSORA POLICROMÁTICO  –  PÁGINAS – A4 ")</f>
        <v>IMPRESSORA POLICROMÁTICO  –  PÁGINAS – A4 </v>
      </c>
      <c r="C21" s="11" t="str">
        <f>IFERROR(__xludf.DUMMYFUNCTION("""COMPUTED_VALUE"""),"IMPRESSORA  MONOCROMÁTICO –  PÁGINAS  A3 ")</f>
        <v>IMPRESSORA  MONOCROMÁTICO –  PÁGINAS  A3 </v>
      </c>
    </row>
    <row r="22">
      <c r="A22" s="11" t="str">
        <f>IFERROR(__xludf.DUMMYFUNCTION("TRANSPOSE(FILTER(ITENS!$D:$D, ITENS!$A:$A = SERVICOS!$A23))"),"IMPRESSORA MONOCROMÁTICO –  PÁGINAS A4 ")</f>
        <v>IMPRESSORA MONOCROMÁTICO –  PÁGINAS A4 </v>
      </c>
      <c r="B22" s="11" t="str">
        <f>IFERROR(__xludf.DUMMYFUNCTION("""COMPUTED_VALUE"""),"IMPRESSORA POLICROMÁTICO  –  PÁGINAS – A4 ")</f>
        <v>IMPRESSORA POLICROMÁTICO  –  PÁGINAS – A4 </v>
      </c>
      <c r="C22" s="11" t="str">
        <f>IFERROR(__xludf.DUMMYFUNCTION("""COMPUTED_VALUE"""),"IMPRESSORA  MONOCROMÁTICO –  PÁGINAS  A3 ")</f>
        <v>IMPRESSORA  MONOCROMÁTICO –  PÁGINAS  A3 </v>
      </c>
    </row>
    <row r="23">
      <c r="A23" s="11" t="str">
        <f>IFERROR(__xludf.DUMMYFUNCTION("TRANSPOSE(FILTER(ITENS!$D:$D, ITENS!$A:$A = SERVICOS!$A24))"),"IMPRESSORA MONOCROMÁTICO –  PÁGINAS A4 ")</f>
        <v>IMPRESSORA MONOCROMÁTICO –  PÁGINAS A4 </v>
      </c>
      <c r="B23" s="11" t="str">
        <f>IFERROR(__xludf.DUMMYFUNCTION("""COMPUTED_VALUE"""),"IMPRESSORA POLICROMÁTICO  –  PÁGINAS – A4 ")</f>
        <v>IMPRESSORA POLICROMÁTICO  –  PÁGINAS – A4 </v>
      </c>
      <c r="C23" s="11" t="str">
        <f>IFERROR(__xludf.DUMMYFUNCTION("""COMPUTED_VALUE"""),"IMPRESSORA  MONOCROMÁTICO –  PÁGINAS  A3 ")</f>
        <v>IMPRESSORA  MONOCROMÁTICO –  PÁGINAS  A3 </v>
      </c>
    </row>
    <row r="24">
      <c r="A24" s="11" t="str">
        <f>IFERROR(__xludf.DUMMYFUNCTION("TRANSPOSE(FILTER(ITENS!$D:$D, ITENS!$A:$A = SERVICOS!$A25))"),"IMPRESSORA MONOCROMÁTICO –  PÁGINAS A4 ")</f>
        <v>IMPRESSORA MONOCROMÁTICO –  PÁGINAS A4 </v>
      </c>
      <c r="B24" s="11" t="str">
        <f>IFERROR(__xludf.DUMMYFUNCTION("""COMPUTED_VALUE"""),"IMPRESSORA POLICROMÁTICO  –  PÁGINAS – A4 ")</f>
        <v>IMPRESSORA POLICROMÁTICO  –  PÁGINAS – A4 </v>
      </c>
      <c r="C24" s="11" t="str">
        <f>IFERROR(__xludf.DUMMYFUNCTION("""COMPUTED_VALUE"""),"IMPRESSORA  MONOCROMÁTICO –  PÁGINAS  A3 ")</f>
        <v>IMPRESSORA  MONOCROMÁTICO –  PÁGINAS  A3 </v>
      </c>
    </row>
    <row r="25">
      <c r="A25" s="11" t="str">
        <f>IFERROR(__xludf.DUMMYFUNCTION("TRANSPOSE(FILTER(ITENS!$D:$D, ITENS!$A:$A = SERVICOS!$A26))"),"IMPRESSORA MONOCROMÁTICO –  PÁGINAS A4 ")</f>
        <v>IMPRESSORA MONOCROMÁTICO –  PÁGINAS A4 </v>
      </c>
      <c r="B25" s="11" t="str">
        <f>IFERROR(__xludf.DUMMYFUNCTION("""COMPUTED_VALUE"""),"IMPRESSORA POLICROMÁTICO  –  PÁGINAS – A4 ")</f>
        <v>IMPRESSORA POLICROMÁTICO  –  PÁGINAS – A4 </v>
      </c>
      <c r="C25" s="11" t="str">
        <f>IFERROR(__xludf.DUMMYFUNCTION("""COMPUTED_VALUE"""),"IMPRESSORA  MONOCROMÁTICO –  PÁGINAS  A3 ")</f>
        <v>IMPRESSORA  MONOCROMÁTICO –  PÁGINAS  A3 </v>
      </c>
    </row>
    <row r="26">
      <c r="A26" s="11" t="str">
        <f>IFERROR(__xludf.DUMMYFUNCTION("TRANSPOSE(FILTER(ITENS!$D:$D, ITENS!$A:$A = SERVICOS!$A27))"),"#N/A")</f>
        <v>#N/A</v>
      </c>
    </row>
    <row r="27">
      <c r="A27" s="11" t="str">
        <f>IFERROR(__xludf.DUMMYFUNCTION("TRANSPOSE(FILTER(ITENS!$D:$D, ITENS!$A:$A = SERVICOS!$A28))"),"#N/A")</f>
        <v>#N/A</v>
      </c>
    </row>
    <row r="28">
      <c r="A28" s="11" t="str">
        <f>IFERROR(__xludf.DUMMYFUNCTION("TRANSPOSE(FILTER(ITENS!$D:$D, ITENS!$A:$A = SERVICOS!$A29))"),"#N/A")</f>
        <v>#N/A</v>
      </c>
    </row>
    <row r="29">
      <c r="A29" s="11" t="str">
        <f>IFERROR(__xludf.DUMMYFUNCTION("TRANSPOSE(FILTER(ITENS!$D:$D, ITENS!$A:$A = SERVICOS!$A30))"),"#N/A")</f>
        <v>#N/A</v>
      </c>
    </row>
    <row r="30">
      <c r="A30" s="11" t="str">
        <f>IFERROR(__xludf.DUMMYFUNCTION("TRANSPOSE(FILTER(ITENS!$D:$D, ITENS!$A:$A = SERVICOS!$A31))"),"#N/A")</f>
        <v>#N/A</v>
      </c>
    </row>
    <row r="31">
      <c r="A31" s="11" t="str">
        <f>IFERROR(__xludf.DUMMYFUNCTION("TRANSPOSE(FILTER(ITENS!$D:$D, ITENS!$A:$A = SERVICOS!$A32))"),"#N/A")</f>
        <v>#N/A</v>
      </c>
    </row>
    <row r="32">
      <c r="A32" s="11" t="str">
        <f>IFERROR(__xludf.DUMMYFUNCTION("TRANSPOSE(FILTER(ITENS!$D:$D, ITENS!$A:$A = SERVICOS!$A33))"),"IMPRESSORA MONOCROMÁTICO –  PÁGINAS A4 ")</f>
        <v>IMPRESSORA MONOCROMÁTICO –  PÁGINAS A4 </v>
      </c>
      <c r="B32" s="11" t="str">
        <f>IFERROR(__xludf.DUMMYFUNCTION("""COMPUTED_VALUE"""),"IMPRESSORA POLICROMÁTICO  –  PÁGINAS – A4 ")</f>
        <v>IMPRESSORA POLICROMÁTICO  –  PÁGINAS – A4 </v>
      </c>
    </row>
    <row r="33">
      <c r="A33" s="11" t="str">
        <f>IFERROR(__xludf.DUMMYFUNCTION("TRANSPOSE(FILTER(ITENS!$D:$D, ITENS!$A:$A = SERVICOS!$A34))"),"IMPRESSORA MONOCROMÁTICO –  PÁGINAS A4 ")</f>
        <v>IMPRESSORA MONOCROMÁTICO –  PÁGINAS A4 </v>
      </c>
      <c r="B33" s="11" t="str">
        <f>IFERROR(__xludf.DUMMYFUNCTION("""COMPUTED_VALUE"""),"IMPRESSORA POLICROMÁTICO  –  PÁGINAS – A4 ")</f>
        <v>IMPRESSORA POLICROMÁTICO  –  PÁGINAS – A4 </v>
      </c>
    </row>
    <row r="34">
      <c r="A34" s="11" t="str">
        <f>IFERROR(__xludf.DUMMYFUNCTION("TRANSPOSE(FILTER(ITENS!$D:$D, ITENS!$A:$A = SERVICOS!$A35))"),"IMPRESSORA MONOCROMÁTICO –  PÁGINAS A4 ")</f>
        <v>IMPRESSORA MONOCROMÁTICO –  PÁGINAS A4 </v>
      </c>
      <c r="B34" s="11" t="str">
        <f>IFERROR(__xludf.DUMMYFUNCTION("""COMPUTED_VALUE"""),"IMPRESSORA POLICROMÁTICO  –  PÁGINAS – A4 ")</f>
        <v>IMPRESSORA POLICROMÁTICO  –  PÁGINAS – A4 </v>
      </c>
    </row>
    <row r="35">
      <c r="A35" s="11" t="str">
        <f>IFERROR(__xludf.DUMMYFUNCTION("TRANSPOSE(FILTER(ITENS!$D:$D, ITENS!$A:$A = SERVICOS!$A36))"),"IMPRESSORA MONOCROMÁTICO –  PÁGINAS A4 ")</f>
        <v>IMPRESSORA MONOCROMÁTICO –  PÁGINAS A4 </v>
      </c>
      <c r="B35" s="11" t="str">
        <f>IFERROR(__xludf.DUMMYFUNCTION("""COMPUTED_VALUE"""),"IMPRESSORA POLICROMÁTICO  –  PÁGINAS – A4 ")</f>
        <v>IMPRESSORA POLICROMÁTICO  –  PÁGINAS – A4 </v>
      </c>
    </row>
    <row r="36">
      <c r="A36" s="11" t="str">
        <f>IFERROR(__xludf.DUMMYFUNCTION("TRANSPOSE(FILTER(ITENS!$D:$D, ITENS!$A:$A = SERVICOS!$A37))"),"#N/A")</f>
        <v>#N/A</v>
      </c>
    </row>
    <row r="37">
      <c r="A37" s="11" t="str">
        <f>IFERROR(__xludf.DUMMYFUNCTION("TRANSPOSE(FILTER(ITENS!$D:$D, ITENS!$A:$A = SERVICOS!$A38))"),"#N/A")</f>
        <v>#N/A</v>
      </c>
    </row>
    <row r="38">
      <c r="A38" s="11" t="str">
        <f>IFERROR(__xludf.DUMMYFUNCTION("TRANSPOSE(FILTER(ITENS!$D:$D, ITENS!$A:$A = SERVICOS!$A39))"),"#N/A")</f>
        <v>#N/A</v>
      </c>
    </row>
    <row r="39">
      <c r="A39" s="11" t="str">
        <f>IFERROR(__xludf.DUMMYFUNCTION("TRANSPOSE(FILTER(ITENS!$D:$D, ITENS!$A:$A = SERVICOS!$A40))"),"#N/A")</f>
        <v>#N/A</v>
      </c>
    </row>
    <row r="40">
      <c r="A40" s="11" t="str">
        <f>IFERROR(__xludf.DUMMYFUNCTION("TRANSPOSE(FILTER(ITENS!$D:$D, ITENS!$A:$A = SERVICOS!$A41))"),"IMPRESSORA MONOCROMÁTICO –  PÁGINAS A4 ")</f>
        <v>IMPRESSORA MONOCROMÁTICO –  PÁGINAS A4 </v>
      </c>
    </row>
    <row r="41">
      <c r="A41" s="11" t="str">
        <f>IFERROR(__xludf.DUMMYFUNCTION("TRANSPOSE(FILTER(ITENS!$D:$D, ITENS!$A:$A = SERVICOS!$A42))"),"IMPRESSORA MONOCROMÁTICO –  PÁGINAS A4 ")</f>
        <v>IMPRESSORA MONOCROMÁTICO –  PÁGINAS A4 </v>
      </c>
    </row>
    <row r="42">
      <c r="A42" s="11" t="str">
        <f>IFERROR(__xludf.DUMMYFUNCTION("TRANSPOSE(FILTER(ITENS!$D:$D, ITENS!$A:$A = SERVICOS!$A43))"),"#N/A")</f>
        <v>#N/A</v>
      </c>
    </row>
    <row r="43">
      <c r="A43" s="11" t="str">
        <f>IFERROR(__xludf.DUMMYFUNCTION("TRANSPOSE(FILTER(ITENS!$D:$D, ITENS!$A:$A = SERVICOS!$A44))"),"#N/A")</f>
        <v>#N/A</v>
      </c>
    </row>
    <row r="44">
      <c r="A44" s="11" t="str">
        <f>IFERROR(__xludf.DUMMYFUNCTION("TRANSPOSE(FILTER(ITENS!$D:$D, ITENS!$A:$A = SERVICOS!$A45))"),"IMPRESSORA MONOCROMÁTICO –  PÁGINAS A4 ")</f>
        <v>IMPRESSORA MONOCROMÁTICO –  PÁGINAS A4 </v>
      </c>
      <c r="B44" s="11" t="str">
        <f>IFERROR(__xludf.DUMMYFUNCTION("""COMPUTED_VALUE"""),"IMPRESSORA POLICROMÁTICO  –  PÁGINAS – A4 ")</f>
        <v>IMPRESSORA POLICROMÁTICO  –  PÁGINAS – A4 </v>
      </c>
      <c r="C44" s="11" t="str">
        <f>IFERROR(__xludf.DUMMYFUNCTION("""COMPUTED_VALUE"""),"IMPRESSORA  MONOCROMÁTICO –  PÁGINAS  A3 ")</f>
        <v>IMPRESSORA  MONOCROMÁTICO –  PÁGINAS  A3 </v>
      </c>
    </row>
    <row r="45">
      <c r="A45" s="11" t="str">
        <f>IFERROR(__xludf.DUMMYFUNCTION("TRANSPOSE(FILTER(ITENS!$D:$D, ITENS!$A:$A = SERVICOS!$A46))"),"IMPRESSORA MONOCROMÁTICO –  PÁGINAS A4 ")</f>
        <v>IMPRESSORA MONOCROMÁTICO –  PÁGINAS A4 </v>
      </c>
      <c r="B45" s="11" t="str">
        <f>IFERROR(__xludf.DUMMYFUNCTION("""COMPUTED_VALUE"""),"IMPRESSORA POLICROMÁTICO  –  PÁGINAS – A4 ")</f>
        <v>IMPRESSORA POLICROMÁTICO  –  PÁGINAS – A4 </v>
      </c>
      <c r="C45" s="11" t="str">
        <f>IFERROR(__xludf.DUMMYFUNCTION("""COMPUTED_VALUE"""),"IMPRESSORA  MONOCROMÁTICO –  PÁGINAS  A3 ")</f>
        <v>IMPRESSORA  MONOCROMÁTICO –  PÁGINAS  A3 </v>
      </c>
    </row>
    <row r="46">
      <c r="A46" s="11" t="str">
        <f>IFERROR(__xludf.DUMMYFUNCTION("TRANSPOSE(FILTER(ITENS!$D:$D, ITENS!$A:$A = SERVICOS!$A47))"),"IMPRESSORA MONOCROMÁTICO –  PÁGINAS A4 ")</f>
        <v>IMPRESSORA MONOCROMÁTICO –  PÁGINAS A4 </v>
      </c>
      <c r="B46" s="11" t="str">
        <f>IFERROR(__xludf.DUMMYFUNCTION("""COMPUTED_VALUE"""),"IMPRESSORA POLICROMÁTICO  –  PÁGINAS – A4 ")</f>
        <v>IMPRESSORA POLICROMÁTICO  –  PÁGINAS – A4 </v>
      </c>
      <c r="C46" s="11" t="str">
        <f>IFERROR(__xludf.DUMMYFUNCTION("""COMPUTED_VALUE"""),"IMPRESSORA  MONOCROMÁTICO –  PÁGINAS  A3 ")</f>
        <v>IMPRESSORA  MONOCROMÁTICO –  PÁGINAS  A3 </v>
      </c>
    </row>
    <row r="47">
      <c r="A47" s="11" t="str">
        <f>IFERROR(__xludf.DUMMYFUNCTION("TRANSPOSE(FILTER(ITENS!$D:$D, ITENS!$A:$A = SERVICOS!$A48))"),"IMPRESSORA MONOCROMÁTICO –  PÁGINAS A4 ")</f>
        <v>IMPRESSORA MONOCROMÁTICO –  PÁGINAS A4 </v>
      </c>
      <c r="B47" s="11" t="str">
        <f>IFERROR(__xludf.DUMMYFUNCTION("""COMPUTED_VALUE"""),"IMPRESSORA POLICROMÁTICO  –  PÁGINAS – A4 ")</f>
        <v>IMPRESSORA POLICROMÁTICO  –  PÁGINAS – A4 </v>
      </c>
      <c r="C47" s="11" t="str">
        <f>IFERROR(__xludf.DUMMYFUNCTION("""COMPUTED_VALUE"""),"IMPRESSORA  MONOCROMÁTICO –  PÁGINAS  A3 ")</f>
        <v>IMPRESSORA  MONOCROMÁTICO –  PÁGINAS  A3 </v>
      </c>
    </row>
    <row r="48">
      <c r="A48" s="11" t="str">
        <f>IFERROR(__xludf.DUMMYFUNCTION("TRANSPOSE(FILTER(ITENS!$D:$D, ITENS!$A:$A = SERVICOS!$A49))"),"IMPRESSORA MONOCROMÁTICO –  PÁGINAS A4 ")</f>
        <v>IMPRESSORA MONOCROMÁTICO –  PÁGINAS A4 </v>
      </c>
      <c r="B48" s="11" t="str">
        <f>IFERROR(__xludf.DUMMYFUNCTION("""COMPUTED_VALUE"""),"IMPRESSORA POLICROMÁTICO  –  PÁGINAS – A4 ")</f>
        <v>IMPRESSORA POLICROMÁTICO  –  PÁGINAS – A4 </v>
      </c>
      <c r="C48" s="11" t="str">
        <f>IFERROR(__xludf.DUMMYFUNCTION("""COMPUTED_VALUE"""),"IMPRESSORA  MONOCROMÁTICO –  PÁGINAS  A3 ")</f>
        <v>IMPRESSORA  MONOCROMÁTICO –  PÁGINAS  A3 </v>
      </c>
    </row>
    <row r="49">
      <c r="A49" s="11" t="str">
        <f>IFERROR(__xludf.DUMMYFUNCTION("TRANSPOSE(FILTER(ITENS!$D:$D, ITENS!$A:$A = SERVICOS!$A50))"),"#N/A")</f>
        <v>#N/A</v>
      </c>
    </row>
    <row r="50">
      <c r="A50" s="11" t="str">
        <f>IFERROR(__xludf.DUMMYFUNCTION("TRANSPOSE(FILTER(ITENS!$D:$D, ITENS!$A:$A = SERVICOS!$A51))"),"#N/A")</f>
        <v>#N/A</v>
      </c>
    </row>
    <row r="51">
      <c r="A51" s="11" t="str">
        <f>IFERROR(__xludf.DUMMYFUNCTION("TRANSPOSE(FILTER(ITENS!$D:$D, ITENS!$A:$A = SERVICOS!$A52))"),"#N/A")</f>
        <v>#N/A</v>
      </c>
    </row>
    <row r="52">
      <c r="A52" s="11" t="str">
        <f>IFERROR(__xludf.DUMMYFUNCTION("TRANSPOSE(FILTER(ITENS!$D:$D, ITENS!$A:$A = SERVICOS!$A53))"),"#N/A")</f>
        <v>#N/A</v>
      </c>
    </row>
    <row r="53">
      <c r="A53" s="11" t="str">
        <f>IFERROR(__xludf.DUMMYFUNCTION("TRANSPOSE(FILTER(ITENS!$D:$D, ITENS!$A:$A = SERVICOS!$A54))"),"#N/A")</f>
        <v>#N/A</v>
      </c>
    </row>
    <row r="54">
      <c r="A54" s="11" t="str">
        <f>IFERROR(__xludf.DUMMYFUNCTION("TRANSPOSE(FILTER(ITENS!$D:$D, ITENS!$A:$A = SERVICOS!$A55))"),"IMPRESSORA MONOCROMÁTICO –  PÁGINAS A4 ")</f>
        <v>IMPRESSORA MONOCROMÁTICO –  PÁGINAS A4 </v>
      </c>
      <c r="B54" s="11" t="str">
        <f>IFERROR(__xludf.DUMMYFUNCTION("""COMPUTED_VALUE"""),"IMPRESSORA POLICROMÁTICO  –  PÁGINAS – A4 ")</f>
        <v>IMPRESSORA POLICROMÁTICO  –  PÁGINAS – A4 </v>
      </c>
    </row>
    <row r="55">
      <c r="A55" s="11" t="str">
        <f>IFERROR(__xludf.DUMMYFUNCTION("TRANSPOSE(FILTER(ITENS!$D:$D, ITENS!$A:$A = SERVICOS!$A56))"),"IMPRESSORA MONOCROMÁTICO –  PÁGINAS A4 ")</f>
        <v>IMPRESSORA MONOCROMÁTICO –  PÁGINAS A4 </v>
      </c>
      <c r="B55" s="11" t="str">
        <f>IFERROR(__xludf.DUMMYFUNCTION("""COMPUTED_VALUE"""),"IMPRESSORA POLICROMÁTICO  –  PÁGINAS – A4 ")</f>
        <v>IMPRESSORA POLICROMÁTICO  –  PÁGINAS – A4 </v>
      </c>
    </row>
    <row r="56">
      <c r="A56" s="11" t="str">
        <f>IFERROR(__xludf.DUMMYFUNCTION("TRANSPOSE(FILTER(ITENS!$D:$D, ITENS!$A:$A = SERVICOS!$A57))"),"IMPRESSORA MONOCROMÁTICO –  PÁGINAS A4 ")</f>
        <v>IMPRESSORA MONOCROMÁTICO –  PÁGINAS A4 </v>
      </c>
      <c r="B56" s="11" t="str">
        <f>IFERROR(__xludf.DUMMYFUNCTION("""COMPUTED_VALUE"""),"IMPRESSORA MONOCROMÁTICO –  PÁGINAS A4 ")</f>
        <v>IMPRESSORA MONOCROMÁTICO –  PÁGINAS A4 </v>
      </c>
      <c r="C56" s="11" t="str">
        <f>IFERROR(__xludf.DUMMYFUNCTION("""COMPUTED_VALUE"""),"IMPRESSORA  MONOCROMÁTICO –  PÁGINAS  A3 ")</f>
        <v>IMPRESSORA  MONOCROMÁTICO –  PÁGINAS  A3 </v>
      </c>
    </row>
    <row r="57">
      <c r="A57" s="11" t="str">
        <f>IFERROR(__xludf.DUMMYFUNCTION("TRANSPOSE(FILTER(ITENS!$D:$D, ITENS!$A:$A = SERVICOS!$A58))"),"IMPRESSORA MONOCROMÁTICO –  PÁGINAS A4 ")</f>
        <v>IMPRESSORA MONOCROMÁTICO –  PÁGINAS A4 </v>
      </c>
      <c r="B57" s="11" t="str">
        <f>IFERROR(__xludf.DUMMYFUNCTION("""COMPUTED_VALUE"""),"IMPRESSORA MONOCROMÁTICO –  PÁGINAS A4 ")</f>
        <v>IMPRESSORA MONOCROMÁTICO –  PÁGINAS A4 </v>
      </c>
      <c r="C57" s="11" t="str">
        <f>IFERROR(__xludf.DUMMYFUNCTION("""COMPUTED_VALUE"""),"IMPRESSORA  MONOCROMÁTICO –  PÁGINAS  A3 ")</f>
        <v>IMPRESSORA  MONOCROMÁTICO –  PÁGINAS  A3 </v>
      </c>
    </row>
    <row r="58">
      <c r="A58" s="11" t="str">
        <f>IFERROR(__xludf.DUMMYFUNCTION("TRANSPOSE(FILTER(ITENS!$D:$D, ITENS!$A:$A = SERVICOS!$A59))"),"IMPRESSORA MONOCROMÁTICO –  PÁGINAS A4 ")</f>
        <v>IMPRESSORA MONOCROMÁTICO –  PÁGINAS A4 </v>
      </c>
      <c r="B58" s="11" t="str">
        <f>IFERROR(__xludf.DUMMYFUNCTION("""COMPUTED_VALUE"""),"IMPRESSORA MONOCROMÁTICO –  PÁGINAS A4 ")</f>
        <v>IMPRESSORA MONOCROMÁTICO –  PÁGINAS A4 </v>
      </c>
      <c r="C58" s="11" t="str">
        <f>IFERROR(__xludf.DUMMYFUNCTION("""COMPUTED_VALUE"""),"IMPRESSORA  MONOCROMÁTICO –  PÁGINAS  A3 ")</f>
        <v>IMPRESSORA  MONOCROMÁTICO –  PÁGINAS  A3 </v>
      </c>
    </row>
    <row r="59">
      <c r="A59" s="11" t="str">
        <f>IFERROR(__xludf.DUMMYFUNCTION("TRANSPOSE(FILTER(ITENS!$D:$D, ITENS!$A:$A = SERVICOS!$A60))"),"IMPRESSORA MONOCROMÁTICO –  PÁGINAS A4 ")</f>
        <v>IMPRESSORA MONOCROMÁTICO –  PÁGINAS A4 </v>
      </c>
      <c r="B59" s="11" t="str">
        <f>IFERROR(__xludf.DUMMYFUNCTION("""COMPUTED_VALUE"""),"IMPRESSORA MONOCROMÁTICO –  PÁGINAS A4 ")</f>
        <v>IMPRESSORA MONOCROMÁTICO –  PÁGINAS A4 </v>
      </c>
      <c r="C59" s="11" t="str">
        <f>IFERROR(__xludf.DUMMYFUNCTION("""COMPUTED_VALUE"""),"IMPRESSORA  MONOCROMÁTICO –  PÁGINAS  A3 ")</f>
        <v>IMPRESSORA  MONOCROMÁTICO –  PÁGINAS  A3 </v>
      </c>
    </row>
    <row r="60">
      <c r="A60" s="11" t="str">
        <f>IFERROR(__xludf.DUMMYFUNCTION("TRANSPOSE(FILTER(ITENS!$D:$D, ITENS!$A:$A = SERVICOS!$A61))"),"IMPRESSORA MONOCROMÁTICO –  PÁGINAS A4 ")</f>
        <v>IMPRESSORA MONOCROMÁTICO –  PÁGINAS A4 </v>
      </c>
      <c r="B60" s="11" t="str">
        <f>IFERROR(__xludf.DUMMYFUNCTION("""COMPUTED_VALUE"""),"IMPRESSORA MONOCROMÁTICO –  PÁGINAS A4 ")</f>
        <v>IMPRESSORA MONOCROMÁTICO –  PÁGINAS A4 </v>
      </c>
      <c r="C60" s="11" t="str">
        <f>IFERROR(__xludf.DUMMYFUNCTION("""COMPUTED_VALUE"""),"IMPRESSORA  MONOCROMÁTICO –  PÁGINAS  A3 ")</f>
        <v>IMPRESSORA  MONOCROMÁTICO –  PÁGINAS  A3 </v>
      </c>
    </row>
    <row r="61">
      <c r="A61" s="11" t="str">
        <f>IFERROR(__xludf.DUMMYFUNCTION("TRANSPOSE(FILTER(ITENS!$D:$D, ITENS!$A:$A = SERVICOS!$A62))"),"IMPRESSORA MONOCROMÁTICO –  PÁGINAS A4 ")</f>
        <v>IMPRESSORA MONOCROMÁTICO –  PÁGINAS A4 </v>
      </c>
      <c r="B61" s="11" t="str">
        <f>IFERROR(__xludf.DUMMYFUNCTION("""COMPUTED_VALUE"""),"IMPRESSORA MONOCROMÁTICO –  PÁGINAS A4 ")</f>
        <v>IMPRESSORA MONOCROMÁTICO –  PÁGINAS A4 </v>
      </c>
      <c r="C61" s="11" t="str">
        <f>IFERROR(__xludf.DUMMYFUNCTION("""COMPUTED_VALUE"""),"IMPRESSORA  MONOCROMÁTICO –  PÁGINAS  A3 ")</f>
        <v>IMPRESSORA  MONOCROMÁTICO –  PÁGINAS  A3 </v>
      </c>
    </row>
    <row r="62">
      <c r="A62" s="11" t="str">
        <f>IFERROR(__xludf.DUMMYFUNCTION("TRANSPOSE(FILTER(ITENS!$D:$D, ITENS!$A:$A = SERVICOS!$A63))"),"#N/A")</f>
        <v>#N/A</v>
      </c>
    </row>
    <row r="63">
      <c r="A63" s="11" t="str">
        <f>IFERROR(__xludf.DUMMYFUNCTION("TRANSPOSE(FILTER(ITENS!$D:$D, ITENS!$A:$A = SERVICOS!$A64))"),"#N/A")</f>
        <v>#N/A</v>
      </c>
    </row>
    <row r="64">
      <c r="A64" s="11" t="str">
        <f>IFERROR(__xludf.DUMMYFUNCTION("TRANSPOSE(FILTER(ITENS!$D:$D, ITENS!$A:$A = SERVICOS!$A65))"),"#N/A")</f>
        <v>#N/A</v>
      </c>
    </row>
    <row r="65">
      <c r="A65" s="11" t="str">
        <f>IFERROR(__xludf.DUMMYFUNCTION("TRANSPOSE(FILTER(ITENS!$D:$D, ITENS!$A:$A = SERVICOS!$A66))"),"#N/A")</f>
        <v>#N/A</v>
      </c>
    </row>
    <row r="66">
      <c r="A66" s="11" t="str">
        <f>IFERROR(__xludf.DUMMYFUNCTION("TRANSPOSE(FILTER(ITENS!$D:$D, ITENS!$A:$A = SERVICOS!$A67))"),"#N/A")</f>
        <v>#N/A</v>
      </c>
    </row>
    <row r="67">
      <c r="A67" s="11" t="str">
        <f>IFERROR(__xludf.DUMMYFUNCTION("TRANSPOSE(FILTER(ITENS!$D:$D, ITENS!$A:$A = SERVICOS!$A68))"),"#N/A")</f>
        <v>#N/A</v>
      </c>
    </row>
    <row r="68">
      <c r="A68" s="11" t="str">
        <f>IFERROR(__xludf.DUMMYFUNCTION("TRANSPOSE(FILTER(ITENS!$D:$D, ITENS!$A:$A = SERVICOS!$A69))"),"IMPRESSORA MONOCROMÁTICO –  PÁGINAS A4 ")</f>
        <v>IMPRESSORA MONOCROMÁTICO –  PÁGINAS A4 </v>
      </c>
    </row>
    <row r="69">
      <c r="A69" s="11" t="str">
        <f>IFERROR(__xludf.DUMMYFUNCTION("TRANSPOSE(FILTER(ITENS!$D:$D, ITENS!$A:$A = SERVICOS!$A70))"),"IMPRESSORA MONOCROMÁTICO –  PÁGINAS A4 ")</f>
        <v>IMPRESSORA MONOCROMÁTICO –  PÁGINAS A4 </v>
      </c>
    </row>
    <row r="70">
      <c r="A70" s="11" t="str">
        <f>IFERROR(__xludf.DUMMYFUNCTION("TRANSPOSE(FILTER(ITENS!$D:$D, ITENS!$A:$A = SERVICOS!$A71))"),"IMPRESSORA MONOCROMÁTICO –  PÁGINAS A4 ")</f>
        <v>IMPRESSORA MONOCROMÁTICO –  PÁGINAS A4 </v>
      </c>
    </row>
    <row r="71">
      <c r="A71" s="11" t="str">
        <f>IFERROR(__xludf.DUMMYFUNCTION("TRANSPOSE(FILTER(ITENS!$D:$D, ITENS!$A:$A = SERVICOS!$A72))"),"IMPRESSORA MONOCROMÁTICO –  PÁGINAS A4 ")</f>
        <v>IMPRESSORA MONOCROMÁTICO –  PÁGINAS A4 </v>
      </c>
    </row>
    <row r="72">
      <c r="A72" s="11" t="str">
        <f>IFERROR(__xludf.DUMMYFUNCTION("TRANSPOSE(FILTER(ITENS!$D:$D, ITENS!$A:$A = SERVICOS!$A73))"),"IMPRESSORA MONOCROMÁTICO –  PÁGINAS A4 ")</f>
        <v>IMPRESSORA MONOCROMÁTICO –  PÁGINAS A4 </v>
      </c>
    </row>
    <row r="73">
      <c r="A73" s="11" t="str">
        <f>IFERROR(__xludf.DUMMYFUNCTION("TRANSPOSE(FILTER(ITENS!$D:$D, ITENS!$A:$A = SERVICOS!$A74))"),"IMPRESSORA MONOCROMÁTICO –  PÁGINAS A4 ")</f>
        <v>IMPRESSORA MONOCROMÁTICO –  PÁGINAS A4 </v>
      </c>
    </row>
    <row r="74">
      <c r="A74" s="11" t="str">
        <f>IFERROR(__xludf.DUMMYFUNCTION("TRANSPOSE(FILTER(ITENS!$D:$D, ITENS!$A:$A = SERVICOS!$A75))"),"#N/A")</f>
        <v>#N/A</v>
      </c>
    </row>
    <row r="75">
      <c r="A75" s="11" t="str">
        <f>IFERROR(__xludf.DUMMYFUNCTION("TRANSPOSE(FILTER(ITENS!$D:$D, ITENS!$A:$A = SERVICOS!$A76))"),"#N/A")</f>
        <v>#N/A</v>
      </c>
    </row>
    <row r="76">
      <c r="A76" s="11" t="str">
        <f>IFERROR(__xludf.DUMMYFUNCTION("TRANSPOSE(FILTER(ITENS!$D:$D, ITENS!$A:$A = SERVICOS!$A77))"),"IMPRESSORA MONOCROMÁTICO –  PÁGINAS A4 ")</f>
        <v>IMPRESSORA MONOCROMÁTICO –  PÁGINAS A4 </v>
      </c>
      <c r="B76" s="11" t="str">
        <f>IFERROR(__xludf.DUMMYFUNCTION("""COMPUTED_VALUE"""),"IMPRESSORA POLICROMÁTICO  –  PÁGINAS – A4 ")</f>
        <v>IMPRESSORA POLICROMÁTICO  –  PÁGINAS – A4 </v>
      </c>
      <c r="C76" s="11" t="str">
        <f>IFERROR(__xludf.DUMMYFUNCTION("""COMPUTED_VALUE"""),"IMPRESSORA  MONOCROMÁTICO –  PÁGINAS  A3 ")</f>
        <v>IMPRESSORA  MONOCROMÁTICO –  PÁGINAS  A3 </v>
      </c>
    </row>
    <row r="77">
      <c r="A77" s="11" t="str">
        <f>IFERROR(__xludf.DUMMYFUNCTION("TRANSPOSE(FILTER(ITENS!$D:$D, ITENS!$A:$A = SERVICOS!$A78))"),"IMPRESSORA MONOCROMÁTICO –  PÁGINAS A4 ")</f>
        <v>IMPRESSORA MONOCROMÁTICO –  PÁGINAS A4 </v>
      </c>
      <c r="B77" s="11" t="str">
        <f>IFERROR(__xludf.DUMMYFUNCTION("""COMPUTED_VALUE"""),"IMPRESSORA POLICROMÁTICO  –  PÁGINAS – A4 ")</f>
        <v>IMPRESSORA POLICROMÁTICO  –  PÁGINAS – A4 </v>
      </c>
      <c r="C77" s="11" t="str">
        <f>IFERROR(__xludf.DUMMYFUNCTION("""COMPUTED_VALUE"""),"IMPRESSORA  MONOCROMÁTICO –  PÁGINAS  A3 ")</f>
        <v>IMPRESSORA  MONOCROMÁTICO –  PÁGINAS  A3 </v>
      </c>
    </row>
    <row r="78">
      <c r="A78" s="11" t="str">
        <f>IFERROR(__xludf.DUMMYFUNCTION("TRANSPOSE(FILTER(ITENS!$D:$D, ITENS!$A:$A = SERVICOS!$A79))"),"IMPRESSORA MONOCROMÁTICO –  PÁGINAS A4 ")</f>
        <v>IMPRESSORA MONOCROMÁTICO –  PÁGINAS A4 </v>
      </c>
      <c r="B78" s="11" t="str">
        <f>IFERROR(__xludf.DUMMYFUNCTION("""COMPUTED_VALUE"""),"IMPRESSORA POLICROMÁTICO  –  PÁGINAS – A4 ")</f>
        <v>IMPRESSORA POLICROMÁTICO  –  PÁGINAS – A4 </v>
      </c>
      <c r="C78" s="11" t="str">
        <f>IFERROR(__xludf.DUMMYFUNCTION("""COMPUTED_VALUE"""),"IMPRESSORA  MONOCROMÁTICO –  PÁGINAS  A3 ")</f>
        <v>IMPRESSORA  MONOCROMÁTICO –  PÁGINAS  A3 </v>
      </c>
    </row>
    <row r="79">
      <c r="A79" s="11" t="str">
        <f>IFERROR(__xludf.DUMMYFUNCTION("TRANSPOSE(FILTER(ITENS!$D:$D, ITENS!$A:$A = SERVICOS!$A80))"),"IMPRESSORA MONOCROMÁTICO –  PÁGINAS A4 ")</f>
        <v>IMPRESSORA MONOCROMÁTICO –  PÁGINAS A4 </v>
      </c>
      <c r="B79" s="11" t="str">
        <f>IFERROR(__xludf.DUMMYFUNCTION("""COMPUTED_VALUE"""),"IMPRESSORA POLICROMÁTICO  –  PÁGINAS – A4 ")</f>
        <v>IMPRESSORA POLICROMÁTICO  –  PÁGINAS – A4 </v>
      </c>
      <c r="C79" s="11" t="str">
        <f>IFERROR(__xludf.DUMMYFUNCTION("""COMPUTED_VALUE"""),"IMPRESSORA  MONOCROMÁTICO –  PÁGINAS  A3 ")</f>
        <v>IMPRESSORA  MONOCROMÁTICO –  PÁGINAS  A3 </v>
      </c>
    </row>
    <row r="80">
      <c r="A80" s="11" t="str">
        <f>IFERROR(__xludf.DUMMYFUNCTION("TRANSPOSE(FILTER(ITENS!$D:$D, ITENS!$A:$A = SERVICOS!$A81))"),"IMPRESSORA MONOCROMÁTICO –  PÁGINAS A4 ")</f>
        <v>IMPRESSORA MONOCROMÁTICO –  PÁGINAS A4 </v>
      </c>
      <c r="B80" s="11" t="str">
        <f>IFERROR(__xludf.DUMMYFUNCTION("""COMPUTED_VALUE"""),"IMPRESSORA POLICROMÁTICO  –  PÁGINAS – A4 ")</f>
        <v>IMPRESSORA POLICROMÁTICO  –  PÁGINAS – A4 </v>
      </c>
      <c r="C80" s="11" t="str">
        <f>IFERROR(__xludf.DUMMYFUNCTION("""COMPUTED_VALUE"""),"IMPRESSORA  MONOCROMÁTICO –  PÁGINAS  A3 ")</f>
        <v>IMPRESSORA  MONOCROMÁTICO –  PÁGINAS  A3 </v>
      </c>
    </row>
    <row r="81">
      <c r="A81" s="11" t="str">
        <f>IFERROR(__xludf.DUMMYFUNCTION("TRANSPOSE(FILTER(ITENS!$D:$D, ITENS!$A:$A = SERVICOS!$A82))"),"IMPRESSORA MONOCROMÁTICO –  PÁGINAS A4 ")</f>
        <v>IMPRESSORA MONOCROMÁTICO –  PÁGINAS A4 </v>
      </c>
      <c r="B81" s="11" t="str">
        <f>IFERROR(__xludf.DUMMYFUNCTION("""COMPUTED_VALUE"""),"IMPRESSORA POLICROMÁTICO  –  PÁGINAS – A4 ")</f>
        <v>IMPRESSORA POLICROMÁTICO  –  PÁGINAS – A4 </v>
      </c>
      <c r="C81" s="11" t="str">
        <f>IFERROR(__xludf.DUMMYFUNCTION("""COMPUTED_VALUE"""),"IMPRESSORA  MONOCROMÁTICO –  PÁGINAS  A3 ")</f>
        <v>IMPRESSORA  MONOCROMÁTICO –  PÁGINAS  A3 </v>
      </c>
    </row>
    <row r="82">
      <c r="A82" s="11" t="str">
        <f>IFERROR(__xludf.DUMMYFUNCTION("TRANSPOSE(FILTER(ITENS!$D:$D, ITENS!$A:$A = SERVICOS!$A83))"),"#N/A")</f>
        <v>#N/A</v>
      </c>
    </row>
    <row r="83">
      <c r="A83" s="11" t="str">
        <f>IFERROR(__xludf.DUMMYFUNCTION("TRANSPOSE(FILTER(ITENS!$D:$D, ITENS!$A:$A = SERVICOS!$A84))"),"#N/A")</f>
        <v>#N/A</v>
      </c>
    </row>
    <row r="84">
      <c r="A84" s="11" t="str">
        <f>IFERROR(__xludf.DUMMYFUNCTION("TRANSPOSE(FILTER(ITENS!$D:$D, ITENS!$A:$A = SERVICOS!$A85))"),"#N/A")</f>
        <v>#N/A</v>
      </c>
    </row>
    <row r="85">
      <c r="A85" s="11" t="str">
        <f>IFERROR(__xludf.DUMMYFUNCTION("TRANSPOSE(FILTER(ITENS!$D:$D, ITENS!$A:$A = SERVICOS!$A86))"),"#N/A")</f>
        <v>#N/A</v>
      </c>
    </row>
    <row r="86">
      <c r="A86" s="11" t="str">
        <f>IFERROR(__xludf.DUMMYFUNCTION("TRANSPOSE(FILTER(ITENS!$D:$D, ITENS!$A:$A = SERVICOS!$A87))"),"#N/A")</f>
        <v>#N/A</v>
      </c>
    </row>
    <row r="87">
      <c r="A87" s="11" t="str">
        <f>IFERROR(__xludf.DUMMYFUNCTION("TRANSPOSE(FILTER(ITENS!$D:$D, ITENS!$A:$A = SERVICOS!$A88))"),"#N/A")</f>
        <v>#N/A</v>
      </c>
    </row>
    <row r="88">
      <c r="A88" s="11" t="str">
        <f>IFERROR(__xludf.DUMMYFUNCTION("TRANSPOSE(FILTER(ITENS!$D:$D, ITENS!$A:$A = SERVICOS!$A89))"),"IMPRESSORA MONOCROMÁTICO –  PÁGINAS A4 ")</f>
        <v>IMPRESSORA MONOCROMÁTICO –  PÁGINAS A4 </v>
      </c>
      <c r="B88" s="11" t="str">
        <f>IFERROR(__xludf.DUMMYFUNCTION("""COMPUTED_VALUE"""),"IMPRESSORA POLICROMÁTICO  –  PÁGINAS – A4 ")</f>
        <v>IMPRESSORA POLICROMÁTICO  –  PÁGINAS – A4 </v>
      </c>
      <c r="C88" s="11" t="str">
        <f>IFERROR(__xludf.DUMMYFUNCTION("""COMPUTED_VALUE"""),"IMPRESSORA  MONOCROMÁTICO –  PÁGINAS  A3 ")</f>
        <v>IMPRESSORA  MONOCROMÁTICO –  PÁGINAS  A3 </v>
      </c>
    </row>
    <row r="89">
      <c r="A89" s="11" t="str">
        <f>IFERROR(__xludf.DUMMYFUNCTION("TRANSPOSE(FILTER(ITENS!$D:$D, ITENS!$A:$A = SERVICOS!$A90))"),"IMPRESSORA MONOCROMÁTICO –  PÁGINAS A4 ")</f>
        <v>IMPRESSORA MONOCROMÁTICO –  PÁGINAS A4 </v>
      </c>
      <c r="B89" s="11" t="str">
        <f>IFERROR(__xludf.DUMMYFUNCTION("""COMPUTED_VALUE"""),"IMPRESSORA POLICROMÁTICO  –  PÁGINAS – A4 ")</f>
        <v>IMPRESSORA POLICROMÁTICO  –  PÁGINAS – A4 </v>
      </c>
      <c r="C89" s="11" t="str">
        <f>IFERROR(__xludf.DUMMYFUNCTION("""COMPUTED_VALUE"""),"IMPRESSORA  MONOCROMÁTICO –  PÁGINAS  A3 ")</f>
        <v>IMPRESSORA  MONOCROMÁTICO –  PÁGINAS  A3 </v>
      </c>
    </row>
    <row r="90">
      <c r="A90" s="11" t="str">
        <f>IFERROR(__xludf.DUMMYFUNCTION("TRANSPOSE(FILTER(ITENS!$D:$D, ITENS!$A:$A = SERVICOS!$A91))"),"IMPRESSORA MONOCROMÁTICO –  PÁGINAS A4 ")</f>
        <v>IMPRESSORA MONOCROMÁTICO –  PÁGINAS A4 </v>
      </c>
      <c r="B90" s="11" t="str">
        <f>IFERROR(__xludf.DUMMYFUNCTION("""COMPUTED_VALUE"""),"IMPRESSORA POLICROMÁTICO  –  PÁGINAS – A4 ")</f>
        <v>IMPRESSORA POLICROMÁTICO  –  PÁGINAS – A4 </v>
      </c>
      <c r="C90" s="11" t="str">
        <f>IFERROR(__xludf.DUMMYFUNCTION("""COMPUTED_VALUE"""),"IMPRESSORA  MONOCROMÁTICO –  PÁGINAS  A3 ")</f>
        <v>IMPRESSORA  MONOCROMÁTICO –  PÁGINAS  A3 </v>
      </c>
    </row>
    <row r="91">
      <c r="A91" s="11" t="str">
        <f>IFERROR(__xludf.DUMMYFUNCTION("TRANSPOSE(FILTER(ITENS!$D:$D, ITENS!$A:$A = SERVICOS!$A92))"),"IMPRESSORA MONOCROMÁTICO –  PÁGINAS A4 ")</f>
        <v>IMPRESSORA MONOCROMÁTICO –  PÁGINAS A4 </v>
      </c>
      <c r="B91" s="11" t="str">
        <f>IFERROR(__xludf.DUMMYFUNCTION("""COMPUTED_VALUE"""),"IMPRESSORA POLICROMÁTICO  –  PÁGINAS – A4 ")</f>
        <v>IMPRESSORA POLICROMÁTICO  –  PÁGINAS – A4 </v>
      </c>
      <c r="C91" s="11" t="str">
        <f>IFERROR(__xludf.DUMMYFUNCTION("""COMPUTED_VALUE"""),"IMPRESSORA  MONOCROMÁTICO –  PÁGINAS  A3 ")</f>
        <v>IMPRESSORA  MONOCROMÁTICO –  PÁGINAS  A3 </v>
      </c>
    </row>
    <row r="92">
      <c r="A92" s="11" t="str">
        <f>IFERROR(__xludf.DUMMYFUNCTION("TRANSPOSE(FILTER(ITENS!$D:$D, ITENS!$A:$A = SERVICOS!$A93))"),"IMPRESSORA MONOCROMÁTICO –  PÁGINAS A4 ")</f>
        <v>IMPRESSORA MONOCROMÁTICO –  PÁGINAS A4 </v>
      </c>
      <c r="B92" s="11" t="str">
        <f>IFERROR(__xludf.DUMMYFUNCTION("""COMPUTED_VALUE"""),"IMPRESSORA POLICROMÁTICO  –  PÁGINAS – A4 ")</f>
        <v>IMPRESSORA POLICROMÁTICO  –  PÁGINAS – A4 </v>
      </c>
      <c r="C92" s="11" t="str">
        <f>IFERROR(__xludf.DUMMYFUNCTION("""COMPUTED_VALUE"""),"IMPRESSORA  MONOCROMÁTICO –  PÁGINAS  A3 ")</f>
        <v>IMPRESSORA  MONOCROMÁTICO –  PÁGINAS  A3 </v>
      </c>
    </row>
    <row r="93">
      <c r="A93" s="11" t="str">
        <f>IFERROR(__xludf.DUMMYFUNCTION("TRANSPOSE(FILTER(ITENS!$D:$D, ITENS!$A:$A = SERVICOS!$A94))"),"#N/A")</f>
        <v>#N/A</v>
      </c>
    </row>
    <row r="94">
      <c r="A94" s="11" t="str">
        <f>IFERROR(__xludf.DUMMYFUNCTION("TRANSPOSE(FILTER(ITENS!$D:$D, ITENS!$A:$A = SERVICOS!$A95))"),"#N/A")</f>
        <v>#N/A</v>
      </c>
    </row>
    <row r="95">
      <c r="A95" s="11" t="str">
        <f>IFERROR(__xludf.DUMMYFUNCTION("TRANSPOSE(FILTER(ITENS!$D:$D, ITENS!$A:$A = SERVICOS!$A96))"),"#N/A")</f>
        <v>#N/A</v>
      </c>
    </row>
    <row r="96">
      <c r="A96" s="11" t="str">
        <f>IFERROR(__xludf.DUMMYFUNCTION("TRANSPOSE(FILTER(ITENS!$D:$D, ITENS!$A:$A = SERVICOS!$A97))"),"#N/A")</f>
        <v>#N/A</v>
      </c>
    </row>
    <row r="97">
      <c r="A97" s="11" t="str">
        <f>IFERROR(__xludf.DUMMYFUNCTION("TRANSPOSE(FILTER(ITENS!$D:$D, ITENS!$A:$A = SERVICOS!$A98))"),"#N/A")</f>
        <v>#N/A</v>
      </c>
    </row>
    <row r="98">
      <c r="A98" s="11" t="str">
        <f>IFERROR(__xludf.DUMMYFUNCTION("TRANSPOSE(FILTER(ITENS!$D:$D, ITENS!$A:$A = SERVICOS!$A99))"),"#N/A")</f>
        <v>#N/A</v>
      </c>
    </row>
    <row r="99">
      <c r="A99" s="11" t="str">
        <f>IFERROR(__xludf.DUMMYFUNCTION("TRANSPOSE(FILTER(ITENS!$D:$D, ITENS!$A:$A = SERVICOS!$A100))"),"#N/A")</f>
        <v>#N/A</v>
      </c>
    </row>
    <row r="100">
      <c r="A100" s="11" t="str">
        <f>IFERROR(__xludf.DUMMYFUNCTION("TRANSPOSE(FILTER(ITENS!$D:$D, ITENS!$A:$A = SERVICOS!$A101))"),"MULTIFUNCIONAL POLICROMÁTICA")</f>
        <v>MULTIFUNCIONAL POLICROMÁTICA</v>
      </c>
      <c r="B100" s="11" t="str">
        <f>IFERROR(__xludf.DUMMYFUNCTION("""COMPUTED_VALUE"""),"IMPRESSORA MONOCROMÁTICA")</f>
        <v>IMPRESSORA MONOCROMÁTICA</v>
      </c>
      <c r="C100" s="11" t="str">
        <f>IFERROR(__xludf.DUMMYFUNCTION("""COMPUTED_VALUE"""),"IMPRESSORA POLICROMÁTICA ")</f>
        <v>IMPRESSORA POLICROMÁTICA </v>
      </c>
      <c r="D100" s="11" t="str">
        <f>IFERROR(__xludf.DUMMYFUNCTION("""COMPUTED_VALUE""")," IMPRESSORA MONOCROMÁTICA (período eleitoral)")</f>
        <v> IMPRESSORA MONOCROMÁTICA (período eleitoral)</v>
      </c>
      <c r="E100" s="11" t="str">
        <f>IFERROR(__xludf.DUMMYFUNCTION("""COMPUTED_VALUE""")," IMPRESSORA TÉRMICA DE CARTÕES")</f>
        <v> IMPRESSORA TÉRMICA DE CARTÕES</v>
      </c>
    </row>
    <row r="101">
      <c r="A101" s="11" t="str">
        <f>IFERROR(__xludf.DUMMYFUNCTION("TRANSPOSE(FILTER(ITENS!$D:$D, ITENS!$A:$A = SERVICOS!$A102))"),"MULTIFUNCIONAL POLICROMÁTICA")</f>
        <v>MULTIFUNCIONAL POLICROMÁTICA</v>
      </c>
      <c r="B101" s="11" t="str">
        <f>IFERROR(__xludf.DUMMYFUNCTION("""COMPUTED_VALUE"""),"IMPRESSORA MONOCROMÁTICA")</f>
        <v>IMPRESSORA MONOCROMÁTICA</v>
      </c>
      <c r="C101" s="11" t="str">
        <f>IFERROR(__xludf.DUMMYFUNCTION("""COMPUTED_VALUE"""),"IMPRESSORA POLICROMÁTICA ")</f>
        <v>IMPRESSORA POLICROMÁTICA </v>
      </c>
      <c r="D101" s="11" t="str">
        <f>IFERROR(__xludf.DUMMYFUNCTION("""COMPUTED_VALUE""")," IMPRESSORA MONOCROMÁTICA (período eleitoral)")</f>
        <v> IMPRESSORA MONOCROMÁTICA (período eleitoral)</v>
      </c>
      <c r="E101" s="11" t="str">
        <f>IFERROR(__xludf.DUMMYFUNCTION("""COMPUTED_VALUE""")," IMPRESSORA TÉRMICA DE CARTÕES")</f>
        <v> IMPRESSORA TÉRMICA DE CARTÕES</v>
      </c>
    </row>
    <row r="102">
      <c r="A102" s="11" t="str">
        <f>IFERROR(__xludf.DUMMYFUNCTION("TRANSPOSE(FILTER(ITENS!$D:$D, ITENS!$A:$A = SERVICOS!$A103))"),"MULTIFUNCIONAL POLICROMÁTICA")</f>
        <v>MULTIFUNCIONAL POLICROMÁTICA</v>
      </c>
      <c r="B102" s="11" t="str">
        <f>IFERROR(__xludf.DUMMYFUNCTION("""COMPUTED_VALUE"""),"IMPRESSORA MONOCROMÁTICA")</f>
        <v>IMPRESSORA MONOCROMÁTICA</v>
      </c>
      <c r="C102" s="11" t="str">
        <f>IFERROR(__xludf.DUMMYFUNCTION("""COMPUTED_VALUE"""),"IMPRESSORA POLICROMÁTICA ")</f>
        <v>IMPRESSORA POLICROMÁTICA </v>
      </c>
      <c r="D102" s="11" t="str">
        <f>IFERROR(__xludf.DUMMYFUNCTION("""COMPUTED_VALUE""")," IMPRESSORA MONOCROMÁTICA (período eleitoral)")</f>
        <v> IMPRESSORA MONOCROMÁTICA (período eleitoral)</v>
      </c>
      <c r="E102" s="11" t="str">
        <f>IFERROR(__xludf.DUMMYFUNCTION("""COMPUTED_VALUE""")," IMPRESSORA TÉRMICA DE CARTÕES")</f>
        <v> IMPRESSORA TÉRMICA DE CARTÕES</v>
      </c>
    </row>
    <row r="103">
      <c r="A103" s="11" t="str">
        <f>IFERROR(__xludf.DUMMYFUNCTION("TRANSPOSE(FILTER(ITENS!$D:$D, ITENS!$A:$A = SERVICOS!$A104))"),"MULTIFUNCIONAL POLICROMÁTICA")</f>
        <v>MULTIFUNCIONAL POLICROMÁTICA</v>
      </c>
      <c r="B103" s="11" t="str">
        <f>IFERROR(__xludf.DUMMYFUNCTION("""COMPUTED_VALUE"""),"IMPRESSORA MONOCROMÁTICA")</f>
        <v>IMPRESSORA MONOCROMÁTICA</v>
      </c>
      <c r="C103" s="11" t="str">
        <f>IFERROR(__xludf.DUMMYFUNCTION("""COMPUTED_VALUE"""),"IMPRESSORA POLICROMÁTICA ")</f>
        <v>IMPRESSORA POLICROMÁTICA </v>
      </c>
      <c r="D103" s="11" t="str">
        <f>IFERROR(__xludf.DUMMYFUNCTION("""COMPUTED_VALUE""")," IMPRESSORA MONOCROMÁTICA (período eleitoral)")</f>
        <v> IMPRESSORA MONOCROMÁTICA (período eleitoral)</v>
      </c>
      <c r="E103" s="11" t="str">
        <f>IFERROR(__xludf.DUMMYFUNCTION("""COMPUTED_VALUE""")," IMPRESSORA TÉRMICA DE CARTÕES")</f>
        <v> IMPRESSORA TÉRMICA DE CARTÕES</v>
      </c>
    </row>
    <row r="104">
      <c r="A104" s="11" t="str">
        <f>IFERROR(__xludf.DUMMYFUNCTION("TRANSPOSE(FILTER(ITENS!$D:$D, ITENS!$A:$A = SERVICOS!$A105))"),"MULTIFUNCIONAL POLICROMÁTICA")</f>
        <v>MULTIFUNCIONAL POLICROMÁTICA</v>
      </c>
      <c r="B104" s="11" t="str">
        <f>IFERROR(__xludf.DUMMYFUNCTION("""COMPUTED_VALUE"""),"IMPRESSORA MONOCROMÁTICA")</f>
        <v>IMPRESSORA MONOCROMÁTICA</v>
      </c>
      <c r="C104" s="11" t="str">
        <f>IFERROR(__xludf.DUMMYFUNCTION("""COMPUTED_VALUE"""),"IMPRESSORA POLICROMÁTICA ")</f>
        <v>IMPRESSORA POLICROMÁTICA </v>
      </c>
      <c r="D104" s="11" t="str">
        <f>IFERROR(__xludf.DUMMYFUNCTION("""COMPUTED_VALUE""")," IMPRESSORA MONOCROMÁTICA (período eleitoral)")</f>
        <v> IMPRESSORA MONOCROMÁTICA (período eleitoral)</v>
      </c>
      <c r="E104" s="11" t="str">
        <f>IFERROR(__xludf.DUMMYFUNCTION("""COMPUTED_VALUE""")," IMPRESSORA TÉRMICA DE CARTÕES")</f>
        <v> IMPRESSORA TÉRMICA DE CARTÕES</v>
      </c>
    </row>
    <row r="105">
      <c r="A105" s="11" t="str">
        <f>IFERROR(__xludf.DUMMYFUNCTION("TRANSPOSE(FILTER(ITENS!$D:$D, ITENS!$A:$A = SERVICOS!$A106))"),"MULTIFUNCIONAL POLICROMÁTICA")</f>
        <v>MULTIFUNCIONAL POLICROMÁTICA</v>
      </c>
      <c r="B105" s="11" t="str">
        <f>IFERROR(__xludf.DUMMYFUNCTION("""COMPUTED_VALUE"""),"IMPRESSORA MONOCROMÁTICA")</f>
        <v>IMPRESSORA MONOCROMÁTICA</v>
      </c>
      <c r="C105" s="11" t="str">
        <f>IFERROR(__xludf.DUMMYFUNCTION("""COMPUTED_VALUE"""),"IMPRESSORA POLICROMÁTICA ")</f>
        <v>IMPRESSORA POLICROMÁTICA </v>
      </c>
      <c r="D105" s="11" t="str">
        <f>IFERROR(__xludf.DUMMYFUNCTION("""COMPUTED_VALUE""")," IMPRESSORA MONOCROMÁTICA (período eleitoral)")</f>
        <v> IMPRESSORA MONOCROMÁTICA (período eleitoral)</v>
      </c>
      <c r="E105" s="11" t="str">
        <f>IFERROR(__xludf.DUMMYFUNCTION("""COMPUTED_VALUE""")," IMPRESSORA TÉRMICA DE CARTÕES")</f>
        <v> IMPRESSORA TÉRMICA DE CARTÕES</v>
      </c>
    </row>
    <row r="106">
      <c r="A106" s="11" t="str">
        <f>IFERROR(__xludf.DUMMYFUNCTION("TRANSPOSE(FILTER(ITENS!$D:$D, ITENS!$A:$A = SERVICOS!$A107))"),"MULTIFUNCIONAL POLICROMÁTICA")</f>
        <v>MULTIFUNCIONAL POLICROMÁTICA</v>
      </c>
      <c r="B106" s="11" t="str">
        <f>IFERROR(__xludf.DUMMYFUNCTION("""COMPUTED_VALUE"""),"IMPRESSORA MONOCROMÁTICA")</f>
        <v>IMPRESSORA MONOCROMÁTICA</v>
      </c>
      <c r="C106" s="11" t="str">
        <f>IFERROR(__xludf.DUMMYFUNCTION("""COMPUTED_VALUE"""),"IMPRESSORA POLICROMÁTICA ")</f>
        <v>IMPRESSORA POLICROMÁTICA </v>
      </c>
      <c r="D106" s="11" t="str">
        <f>IFERROR(__xludf.DUMMYFUNCTION("""COMPUTED_VALUE""")," IMPRESSORA MONOCROMÁTICA (período eleitoral)")</f>
        <v> IMPRESSORA MONOCROMÁTICA (período eleitoral)</v>
      </c>
      <c r="E106" s="11" t="str">
        <f>IFERROR(__xludf.DUMMYFUNCTION("""COMPUTED_VALUE""")," IMPRESSORA TÉRMICA DE CARTÕES")</f>
        <v> IMPRESSORA TÉRMICA DE CARTÕES</v>
      </c>
    </row>
    <row r="107">
      <c r="A107" s="11" t="str">
        <f>IFERROR(__xludf.DUMMYFUNCTION("TRANSPOSE(FILTER(ITENS!$D:$D, ITENS!$A:$A = SERVICOS!$A108))"),"IMPRESSORA MONOCROMÁTICO –  PÁGINAS A4 ")</f>
        <v>IMPRESSORA MONOCROMÁTICO –  PÁGINAS A4 </v>
      </c>
      <c r="B107" s="11" t="str">
        <f>IFERROR(__xludf.DUMMYFUNCTION("""COMPUTED_VALUE"""),"IMPRESSORA POLICROMÁTICO  –  PÁGINAS – A4 ")</f>
        <v>IMPRESSORA POLICROMÁTICO  –  PÁGINAS – A4 </v>
      </c>
    </row>
    <row r="108">
      <c r="A108" s="11" t="str">
        <f>IFERROR(__xludf.DUMMYFUNCTION("TRANSPOSE(FILTER(ITENS!$D:$D, ITENS!$A:$A = SERVICOS!$A109))"),"IMPRESSORA MONOCROMÁTICO –  PÁGINAS A4 ")</f>
        <v>IMPRESSORA MONOCROMÁTICO –  PÁGINAS A4 </v>
      </c>
      <c r="B108" s="11" t="str">
        <f>IFERROR(__xludf.DUMMYFUNCTION("""COMPUTED_VALUE"""),"IMPRESSORA POLICROMÁTICO  –  PÁGINAS – A4 ")</f>
        <v>IMPRESSORA POLICROMÁTICO  –  PÁGINAS – A4 </v>
      </c>
    </row>
    <row r="109">
      <c r="A109" s="11" t="str">
        <f>IFERROR(__xludf.DUMMYFUNCTION("TRANSPOSE(FILTER(ITENS!$D:$D, ITENS!$A:$A = SERVICOS!$A110))"),"IMPRESSORA MONOCROMÁTICO –  PÁGINAS A4 ")</f>
        <v>IMPRESSORA MONOCROMÁTICO –  PÁGINAS A4 </v>
      </c>
      <c r="B109" s="11" t="str">
        <f>IFERROR(__xludf.DUMMYFUNCTION("""COMPUTED_VALUE"""),"IMPRESSORA POLICROMÁTICO  –  PÁGINAS – A4 ")</f>
        <v>IMPRESSORA POLICROMÁTICO  –  PÁGINAS – A4 </v>
      </c>
    </row>
    <row r="110">
      <c r="A110" s="11" t="str">
        <f>IFERROR(__xludf.DUMMYFUNCTION("TRANSPOSE(FILTER(ITENS!$D:$D, ITENS!$A:$A = SERVICOS!$A111))"),"IMPRESSORA MONOCROMÁTICO –  PÁGINAS A4 ")</f>
        <v>IMPRESSORA MONOCROMÁTICO –  PÁGINAS A4 </v>
      </c>
      <c r="B110" s="11" t="str">
        <f>IFERROR(__xludf.DUMMYFUNCTION("""COMPUTED_VALUE"""),"IMPRESSORA POLICROMÁTICO  –  PÁGINAS – A4 ")</f>
        <v>IMPRESSORA POLICROMÁTICO  –  PÁGINAS – A4 </v>
      </c>
    </row>
    <row r="111">
      <c r="A111" s="11" t="str">
        <f>IFERROR(__xludf.DUMMYFUNCTION("TRANSPOSE(FILTER(ITENS!$D:$D, ITENS!$A:$A = SERVICOS!$A112))"),"IMPRESSORA MONOCROMÁTICO –  PÁGINAS A4 ")</f>
        <v>IMPRESSORA MONOCROMÁTICO –  PÁGINAS A4 </v>
      </c>
      <c r="B111" s="11" t="str">
        <f>IFERROR(__xludf.DUMMYFUNCTION("""COMPUTED_VALUE"""),"IMPRESSORA POLICROMÁTICO  –  PÁGINAS – A4 ")</f>
        <v>IMPRESSORA POLICROMÁTICO  –  PÁGINAS – A4 </v>
      </c>
    </row>
    <row r="112">
      <c r="A112" s="11" t="str">
        <f>IFERROR(__xludf.DUMMYFUNCTION("TRANSPOSE(FILTER(ITENS!$D:$D, ITENS!$A:$A = SERVICOS!$A113))"),"IMPRESSORA MONOCROMÁTICO –  PÁGINAS A4 ")</f>
        <v>IMPRESSORA MONOCROMÁTICO –  PÁGINAS A4 </v>
      </c>
      <c r="B112" s="11" t="str">
        <f>IFERROR(__xludf.DUMMYFUNCTION("""COMPUTED_VALUE"""),"IMPRESSORA POLICROMÁTICO  –  PÁGINAS – A4 ")</f>
        <v>IMPRESSORA POLICROMÁTICO  –  PÁGINAS – A4 </v>
      </c>
    </row>
    <row r="113">
      <c r="A113" s="11" t="str">
        <f>IFERROR(__xludf.DUMMYFUNCTION("TRANSPOSE(FILTER(ITENS!$D:$D, ITENS!$A:$A = SERVICOS!$A114))"),"IMPRESSORA MONOCROMÁTICO –  PÁGINAS A4 ")</f>
        <v>IMPRESSORA MONOCROMÁTICO –  PÁGINAS A4 </v>
      </c>
      <c r="B113" s="11" t="str">
        <f>IFERROR(__xludf.DUMMYFUNCTION("""COMPUTED_VALUE"""),"IMPRESSORA POLICROMÁTICO  –  PÁGINAS – A4 ")</f>
        <v>IMPRESSORA POLICROMÁTICO  –  PÁGINAS – A4 </v>
      </c>
    </row>
    <row r="114">
      <c r="A114" s="11" t="str">
        <f>IFERROR(__xludf.DUMMYFUNCTION("TRANSPOSE(FILTER(ITENS!$D:$D, ITENS!$A:$A = SERVICOS!$A115))"),"IMPRESSORA MONOCROMÁTICO –  PÁGINAS A4 ")</f>
        <v>IMPRESSORA MONOCROMÁTICO –  PÁGINAS A4 </v>
      </c>
      <c r="B114" s="11" t="str">
        <f>IFERROR(__xludf.DUMMYFUNCTION("""COMPUTED_VALUE"""),"IMPRESSORA POLICROMÁTICO  –  PÁGINAS – A4 ")</f>
        <v>IMPRESSORA POLICROMÁTICO  –  PÁGINAS – A4 </v>
      </c>
    </row>
    <row r="115">
      <c r="A115" s="11" t="str">
        <f>IFERROR(__xludf.DUMMYFUNCTION("TRANSPOSE(FILTER(ITENS!$D:$D, ITENS!$A:$A = SERVICOS!$A116))"),"IMPRESSORA MONOCROMÁTICO –  PÁGINAS A4 ")</f>
        <v>IMPRESSORA MONOCROMÁTICO –  PÁGINAS A4 </v>
      </c>
      <c r="B115" s="11" t="str">
        <f>IFERROR(__xludf.DUMMYFUNCTION("""COMPUTED_VALUE"""),"IMPRESSORA POLICROMÁTICO  –  PÁGINAS – A4 ")</f>
        <v>IMPRESSORA POLICROMÁTICO  –  PÁGINAS – A4 </v>
      </c>
    </row>
    <row r="116">
      <c r="A116" s="11" t="str">
        <f>IFERROR(__xludf.DUMMYFUNCTION("TRANSPOSE(FILTER(ITENS!$D:$D, ITENS!$A:$A = SERVICOS!$A117))"),"IMPRESSORA MONOCROMÁTICO –  PÁGINAS A4 ")</f>
        <v>IMPRESSORA MONOCROMÁTICO –  PÁGINAS A4 </v>
      </c>
      <c r="B116" s="11" t="str">
        <f>IFERROR(__xludf.DUMMYFUNCTION("""COMPUTED_VALUE"""),"IMPRESSORA POLICROMÁTICO  –  PÁGINAS – A4 ")</f>
        <v>IMPRESSORA POLICROMÁTICO  –  PÁGINAS – A4 </v>
      </c>
    </row>
    <row r="117">
      <c r="A117" s="11" t="str">
        <f>IFERROR(__xludf.DUMMYFUNCTION("TRANSPOSE(FILTER(ITENS!$D:$D, ITENS!$A:$A = SERVICOS!$A118))"),"IMPRESSORA MONOCROMÁTICO –  PÁGINAS A4 ")</f>
        <v>IMPRESSORA MONOCROMÁTICO –  PÁGINAS A4 </v>
      </c>
      <c r="B117" s="11" t="str">
        <f>IFERROR(__xludf.DUMMYFUNCTION("""COMPUTED_VALUE"""),"IMPRESSORA POLICROMÁTICO  –  PÁGINAS – A4 ")</f>
        <v>IMPRESSORA POLICROMÁTICO  –  PÁGINAS – A4 </v>
      </c>
    </row>
    <row r="118">
      <c r="A118" s="11" t="str">
        <f>IFERROR(__xludf.DUMMYFUNCTION("TRANSPOSE(FILTER(ITENS!$D:$D, ITENS!$A:$A = SERVICOS!$A119))"),"IMPRESSORA MONOCROMÁTICO –  PÁGINAS A4 ")</f>
        <v>IMPRESSORA MONOCROMÁTICO –  PÁGINAS A4 </v>
      </c>
      <c r="B118" s="11" t="str">
        <f>IFERROR(__xludf.DUMMYFUNCTION("""COMPUTED_VALUE"""),"IMPRESSORA POLICROMÁTICO  –  PÁGINAS – A4 ")</f>
        <v>IMPRESSORA POLICROMÁTICO  –  PÁGINAS – A4 </v>
      </c>
    </row>
    <row r="119">
      <c r="A119" s="11" t="str">
        <f>IFERROR(__xludf.DUMMYFUNCTION("TRANSPOSE(FILTER(ITENS!$D:$D, ITENS!$A:$A = SERVICOS!$A120))"),"IMPRESSORA MONOCROMÁTICO –  PÁGINAS A4 ")</f>
        <v>IMPRESSORA MONOCROMÁTICO –  PÁGINAS A4 </v>
      </c>
      <c r="B119" s="11" t="str">
        <f>IFERROR(__xludf.DUMMYFUNCTION("""COMPUTED_VALUE"""),"IMPRESSORA MONOCROMÁTICO –  PÁGINAS A3")</f>
        <v>IMPRESSORA MONOCROMÁTICO –  PÁGINAS A3</v>
      </c>
      <c r="C119" s="11" t="str">
        <f>IFERROR(__xludf.DUMMYFUNCTION("""COMPUTED_VALUE"""),"IMPRESSORA POLICROMÁTICO  –  PÁGINAS – A4 ")</f>
        <v>IMPRESSORA POLICROMÁTICO  –  PÁGINAS – A4 </v>
      </c>
      <c r="D119" s="11" t="str">
        <f>IFERROR(__xludf.DUMMYFUNCTION("""COMPUTED_VALUE"""),"IMPRESSORA POLICROMÁTICO  –  PÁGINAS – A3")</f>
        <v>IMPRESSORA POLICROMÁTICO  –  PÁGINAS – A3</v>
      </c>
      <c r="E119" s="11" t="str">
        <f>IFERROR(__xludf.DUMMYFUNCTION("""COMPUTED_VALUE"""),"IMPRESSORA POLICROMÁTICO  –  PÁGINAS – A3 COM DF-7100")</f>
        <v>IMPRESSORA POLICROMÁTICO  –  PÁGINAS – A3 COM DF-7100</v>
      </c>
    </row>
    <row r="120">
      <c r="A120" s="11" t="str">
        <f>IFERROR(__xludf.DUMMYFUNCTION("TRANSPOSE(FILTER(ITENS!$D:$D, ITENS!$A:$A = SERVICOS!$A121))"),"IMPRESSORA MONOCROMÁTICO –  PÁGINAS A4 ")</f>
        <v>IMPRESSORA MONOCROMÁTICO –  PÁGINAS A4 </v>
      </c>
      <c r="B120" s="11" t="str">
        <f>IFERROR(__xludf.DUMMYFUNCTION("""COMPUTED_VALUE"""),"IMPRESSORA MONOCROMÁTICO –  PÁGINAS A3")</f>
        <v>IMPRESSORA MONOCROMÁTICO –  PÁGINAS A3</v>
      </c>
      <c r="C120" s="11" t="str">
        <f>IFERROR(__xludf.DUMMYFUNCTION("""COMPUTED_VALUE"""),"IMPRESSORA POLICROMÁTICO  –  PÁGINAS – A4 ")</f>
        <v>IMPRESSORA POLICROMÁTICO  –  PÁGINAS – A4 </v>
      </c>
      <c r="D120" s="11" t="str">
        <f>IFERROR(__xludf.DUMMYFUNCTION("""COMPUTED_VALUE"""),"IMPRESSORA POLICROMÁTICO  –  PÁGINAS – A3")</f>
        <v>IMPRESSORA POLICROMÁTICO  –  PÁGINAS – A3</v>
      </c>
      <c r="E120" s="11" t="str">
        <f>IFERROR(__xludf.DUMMYFUNCTION("""COMPUTED_VALUE"""),"IMPRESSORA POLICROMÁTICO  –  PÁGINAS – A3 COM DF-7100")</f>
        <v>IMPRESSORA POLICROMÁTICO  –  PÁGINAS – A3 COM DF-7100</v>
      </c>
    </row>
    <row r="121">
      <c r="A121" s="11" t="str">
        <f>IFERROR(__xludf.DUMMYFUNCTION("TRANSPOSE(FILTER(ITENS!$D:$D, ITENS!$A:$A = SERVICOS!$A122))"),"IMPRESSORA MONOCROMÁTICO –  PÁGINAS A4 ")</f>
        <v>IMPRESSORA MONOCROMÁTICO –  PÁGINAS A4 </v>
      </c>
      <c r="B121" s="11" t="str">
        <f>IFERROR(__xludf.DUMMYFUNCTION("""COMPUTED_VALUE"""),"IMPRESSORA MONOCROMÁTICO –  PÁGINAS A3")</f>
        <v>IMPRESSORA MONOCROMÁTICO –  PÁGINAS A3</v>
      </c>
      <c r="C121" s="11" t="str">
        <f>IFERROR(__xludf.DUMMYFUNCTION("""COMPUTED_VALUE"""),"IMPRESSORA POLICROMÁTICO  –  PÁGINAS – A4 ")</f>
        <v>IMPRESSORA POLICROMÁTICO  –  PÁGINAS – A4 </v>
      </c>
      <c r="D121" s="11" t="str">
        <f>IFERROR(__xludf.DUMMYFUNCTION("""COMPUTED_VALUE"""),"IMPRESSORA POLICROMÁTICO  –  PÁGINAS – A3")</f>
        <v>IMPRESSORA POLICROMÁTICO  –  PÁGINAS – A3</v>
      </c>
      <c r="E121" s="11" t="str">
        <f>IFERROR(__xludf.DUMMYFUNCTION("""COMPUTED_VALUE"""),"IMPRESSORA POLICROMÁTICO  –  PÁGINAS – A3 COM DF-7100")</f>
        <v>IMPRESSORA POLICROMÁTICO  –  PÁGINAS – A3 COM DF-7100</v>
      </c>
    </row>
    <row r="122">
      <c r="A122" s="11" t="str">
        <f>IFERROR(__xludf.DUMMYFUNCTION("TRANSPOSE(FILTER(ITENS!$D:$D, ITENS!$A:$A = SERVICOS!$A123))"),"IMPRESSORA MONOCROMÁTICO –  PÁGINAS A4 ")</f>
        <v>IMPRESSORA MONOCROMÁTICO –  PÁGINAS A4 </v>
      </c>
      <c r="B122" s="11" t="str">
        <f>IFERROR(__xludf.DUMMYFUNCTION("""COMPUTED_VALUE"""),"IMPRESSORA MONOCROMÁTICO –  PÁGINAS A3")</f>
        <v>IMPRESSORA MONOCROMÁTICO –  PÁGINAS A3</v>
      </c>
      <c r="C122" s="11" t="str">
        <f>IFERROR(__xludf.DUMMYFUNCTION("""COMPUTED_VALUE"""),"IMPRESSORA POLICROMÁTICO  –  PÁGINAS – A4 ")</f>
        <v>IMPRESSORA POLICROMÁTICO  –  PÁGINAS – A4 </v>
      </c>
      <c r="D122" s="11" t="str">
        <f>IFERROR(__xludf.DUMMYFUNCTION("""COMPUTED_VALUE"""),"IMPRESSORA POLICROMÁTICO  –  PÁGINAS – A3")</f>
        <v>IMPRESSORA POLICROMÁTICO  –  PÁGINAS – A3</v>
      </c>
      <c r="E122" s="11" t="str">
        <f>IFERROR(__xludf.DUMMYFUNCTION("""COMPUTED_VALUE"""),"IMPRESSORA POLICROMÁTICO  –  PÁGINAS – A3 COM DF-7100")</f>
        <v>IMPRESSORA POLICROMÁTICO  –  PÁGINAS – A3 COM DF-7100</v>
      </c>
    </row>
    <row r="123">
      <c r="A123" s="11" t="str">
        <f>IFERROR(__xludf.DUMMYFUNCTION("TRANSPOSE(FILTER(ITENS!$D:$D, ITENS!$A:$A = SERVICOS!$A124))"),"IMPRESSORA MONOCROMÁTICO –  PÁGINAS A4 ")</f>
        <v>IMPRESSORA MONOCROMÁTICO –  PÁGINAS A4 </v>
      </c>
      <c r="B123" s="11" t="str">
        <f>IFERROR(__xludf.DUMMYFUNCTION("""COMPUTED_VALUE"""),"IMPRESSORA MONOCROMÁTICO –  PÁGINAS A3")</f>
        <v>IMPRESSORA MONOCROMÁTICO –  PÁGINAS A3</v>
      </c>
      <c r="C123" s="11" t="str">
        <f>IFERROR(__xludf.DUMMYFUNCTION("""COMPUTED_VALUE"""),"IMPRESSORA POLICROMÁTICO  –  PÁGINAS – A4 ")</f>
        <v>IMPRESSORA POLICROMÁTICO  –  PÁGINAS – A4 </v>
      </c>
      <c r="D123" s="11" t="str">
        <f>IFERROR(__xludf.DUMMYFUNCTION("""COMPUTED_VALUE"""),"IMPRESSORA POLICROMÁTICO  –  PÁGINAS – A3")</f>
        <v>IMPRESSORA POLICROMÁTICO  –  PÁGINAS – A3</v>
      </c>
      <c r="E123" s="11" t="str">
        <f>IFERROR(__xludf.DUMMYFUNCTION("""COMPUTED_VALUE"""),"IMPRESSORA POLICROMÁTICO  –  PÁGINAS – A3 COM DF-7100")</f>
        <v>IMPRESSORA POLICROMÁTICO  –  PÁGINAS – A3 COM DF-7100</v>
      </c>
    </row>
    <row r="124">
      <c r="A124" s="11" t="str">
        <f>IFERROR(__xludf.DUMMYFUNCTION("TRANSPOSE(FILTER(ITENS!$D:$D, ITENS!$A:$A = SERVICOS!$A125))"),"IMPRESSORA MONOCROMÁTICO –  PÁGINAS A4 ")</f>
        <v>IMPRESSORA MONOCROMÁTICO –  PÁGINAS A4 </v>
      </c>
      <c r="B124" s="11" t="str">
        <f>IFERROR(__xludf.DUMMYFUNCTION("""COMPUTED_VALUE"""),"IMPRESSORA MONOCROMÁTICO –  PÁGINAS A3")</f>
        <v>IMPRESSORA MONOCROMÁTICO –  PÁGINAS A3</v>
      </c>
      <c r="C124" s="11" t="str">
        <f>IFERROR(__xludf.DUMMYFUNCTION("""COMPUTED_VALUE"""),"IMPRESSORA POLICROMÁTICO  –  PÁGINAS – A4 ")</f>
        <v>IMPRESSORA POLICROMÁTICO  –  PÁGINAS – A4 </v>
      </c>
      <c r="D124" s="11" t="str">
        <f>IFERROR(__xludf.DUMMYFUNCTION("""COMPUTED_VALUE"""),"IMPRESSORA POLICROMÁTICO  –  PÁGINAS – A3")</f>
        <v>IMPRESSORA POLICROMÁTICO  –  PÁGINAS – A3</v>
      </c>
      <c r="E124" s="11" t="str">
        <f>IFERROR(__xludf.DUMMYFUNCTION("""COMPUTED_VALUE"""),"IMPRESSORA POLICROMÁTICO  –  PÁGINAS – A3 COM DF-7100")</f>
        <v>IMPRESSORA POLICROMÁTICO  –  PÁGINAS – A3 COM DF-7100</v>
      </c>
    </row>
    <row r="125">
      <c r="A125" s="11" t="str">
        <f>IFERROR(__xludf.DUMMYFUNCTION("TRANSPOSE(FILTER(ITENS!$D:$D, ITENS!$A:$A = SERVICOS!$A126))"),"IMPRESSORA MONOCROMÁTICO –  PÁGINAS A4 ")</f>
        <v>IMPRESSORA MONOCROMÁTICO –  PÁGINAS A4 </v>
      </c>
      <c r="B125" s="11" t="str">
        <f>IFERROR(__xludf.DUMMYFUNCTION("""COMPUTED_VALUE"""),"IMPRESSORA MONOCROMÁTICO –  PÁGINAS A3")</f>
        <v>IMPRESSORA MONOCROMÁTICO –  PÁGINAS A3</v>
      </c>
      <c r="C125" s="11" t="str">
        <f>IFERROR(__xludf.DUMMYFUNCTION("""COMPUTED_VALUE"""),"IMPRESSORA POLICROMÁTICO  –  PÁGINAS – A4 ")</f>
        <v>IMPRESSORA POLICROMÁTICO  –  PÁGINAS – A4 </v>
      </c>
      <c r="D125" s="11" t="str">
        <f>IFERROR(__xludf.DUMMYFUNCTION("""COMPUTED_VALUE"""),"IMPRESSORA POLICROMÁTICO  –  PÁGINAS – A3")</f>
        <v>IMPRESSORA POLICROMÁTICO  –  PÁGINAS – A3</v>
      </c>
      <c r="E125" s="11" t="str">
        <f>IFERROR(__xludf.DUMMYFUNCTION("""COMPUTED_VALUE"""),"IMPRESSORA POLICROMÁTICO  –  PÁGINAS – A3 COM DF-7100")</f>
        <v>IMPRESSORA POLICROMÁTICO  –  PÁGINAS – A3 COM DF-7100</v>
      </c>
    </row>
    <row r="126">
      <c r="A126" s="11" t="str">
        <f>IFERROR(__xludf.DUMMYFUNCTION("TRANSPOSE(FILTER(ITENS!$D:$D, ITENS!$A:$A = SERVICOS!$A127))"),"IMPRESSORA MONOCROMÁTICO –  PÁGINAS A4 ")</f>
        <v>IMPRESSORA MONOCROMÁTICO –  PÁGINAS A4 </v>
      </c>
      <c r="B126" s="11" t="str">
        <f>IFERROR(__xludf.DUMMYFUNCTION("""COMPUTED_VALUE"""),"IMPRESSORA MONOCROMÁTICO –  PÁGINAS A3")</f>
        <v>IMPRESSORA MONOCROMÁTICO –  PÁGINAS A3</v>
      </c>
      <c r="C126" s="11" t="str">
        <f>IFERROR(__xludf.DUMMYFUNCTION("""COMPUTED_VALUE"""),"IMPRESSORA POLICROMÁTICO  –  PÁGINAS – A4 ")</f>
        <v>IMPRESSORA POLICROMÁTICO  –  PÁGINAS – A4 </v>
      </c>
      <c r="D126" s="11" t="str">
        <f>IFERROR(__xludf.DUMMYFUNCTION("""COMPUTED_VALUE"""),"IMPRESSORA POLICROMÁTICO  –  PÁGINAS – A3")</f>
        <v>IMPRESSORA POLICROMÁTICO  –  PÁGINAS – A3</v>
      </c>
      <c r="E126" s="11" t="str">
        <f>IFERROR(__xludf.DUMMYFUNCTION("""COMPUTED_VALUE"""),"IMPRESSORA POLICROMÁTICO  –  PÁGINAS – A3 COM DF-7100")</f>
        <v>IMPRESSORA POLICROMÁTICO  –  PÁGINAS – A3 COM DF-7100</v>
      </c>
    </row>
    <row r="127">
      <c r="A127" s="11" t="str">
        <f>IFERROR(__xludf.DUMMYFUNCTION("TRANSPOSE(FILTER(ITENS!$D:$D, ITENS!$A:$A = SERVICOS!$A128))"),"IMPRESSORA MONOCROMÁTICO –  PÁGINAS A4 ")</f>
        <v>IMPRESSORA MONOCROMÁTICO –  PÁGINAS A4 </v>
      </c>
      <c r="B127" s="11" t="str">
        <f>IFERROR(__xludf.DUMMYFUNCTION("""COMPUTED_VALUE"""),"IMPRESSORA MONOCROMÁTICO –  PÁGINAS A3")</f>
        <v>IMPRESSORA MONOCROMÁTICO –  PÁGINAS A3</v>
      </c>
      <c r="C127" s="11" t="str">
        <f>IFERROR(__xludf.DUMMYFUNCTION("""COMPUTED_VALUE"""),"IMPRESSORA POLICROMÁTICO  –  PÁGINAS – A4 ")</f>
        <v>IMPRESSORA POLICROMÁTICO  –  PÁGINAS – A4 </v>
      </c>
      <c r="D127" s="11" t="str">
        <f>IFERROR(__xludf.DUMMYFUNCTION("""COMPUTED_VALUE"""),"IMPRESSORA POLICROMÁTICO  –  PÁGINAS – A3")</f>
        <v>IMPRESSORA POLICROMÁTICO  –  PÁGINAS – A3</v>
      </c>
      <c r="E127" s="11" t="str">
        <f>IFERROR(__xludf.DUMMYFUNCTION("""COMPUTED_VALUE"""),"IMPRESSORA POLICROMÁTICO  –  PÁGINAS – A3 COM DF-7100")</f>
        <v>IMPRESSORA POLICROMÁTICO  –  PÁGINAS – A3 COM DF-7100</v>
      </c>
    </row>
    <row r="128">
      <c r="A128" s="11" t="str">
        <f>IFERROR(__xludf.DUMMYFUNCTION("TRANSPOSE(FILTER(ITENS!$D:$D, ITENS!$A:$A = SERVICOS!$A129))"),"IMPRESSORA MONOCROMÁTICO –  PÁGINAS A4 ")</f>
        <v>IMPRESSORA MONOCROMÁTICO –  PÁGINAS A4 </v>
      </c>
      <c r="B128" s="11" t="str">
        <f>IFERROR(__xludf.DUMMYFUNCTION("""COMPUTED_VALUE"""),"IMPRESSORA MONOCROMÁTICO –  PÁGINAS A3")</f>
        <v>IMPRESSORA MONOCROMÁTICO –  PÁGINAS A3</v>
      </c>
      <c r="C128" s="11" t="str">
        <f>IFERROR(__xludf.DUMMYFUNCTION("""COMPUTED_VALUE"""),"IMPRESSORA POLICROMÁTICO  –  PÁGINAS – A4 ")</f>
        <v>IMPRESSORA POLICROMÁTICO  –  PÁGINAS – A4 </v>
      </c>
      <c r="D128" s="11" t="str">
        <f>IFERROR(__xludf.DUMMYFUNCTION("""COMPUTED_VALUE"""),"IMPRESSORA POLICROMÁTICO  –  PÁGINAS – A3")</f>
        <v>IMPRESSORA POLICROMÁTICO  –  PÁGINAS – A3</v>
      </c>
      <c r="E128" s="11" t="str">
        <f>IFERROR(__xludf.DUMMYFUNCTION("""COMPUTED_VALUE"""),"IMPRESSORA POLICROMÁTICO  –  PÁGINAS – A3 COM DF-7100")</f>
        <v>IMPRESSORA POLICROMÁTICO  –  PÁGINAS – A3 COM DF-7100</v>
      </c>
    </row>
    <row r="129">
      <c r="A129" s="11" t="str">
        <f>IFERROR(__xludf.DUMMYFUNCTION("TRANSPOSE(FILTER(ITENS!$D:$D, ITENS!$A:$A = SERVICOS!$A130))"),"IMPRESSORA MONOCROMÁTICO –  PÁGINAS A4 ")</f>
        <v>IMPRESSORA MONOCROMÁTICO –  PÁGINAS A4 </v>
      </c>
      <c r="B129" s="11" t="str">
        <f>IFERROR(__xludf.DUMMYFUNCTION("""COMPUTED_VALUE"""),"IMPRESSORA MONOCROMÁTICO –  PÁGINAS A3")</f>
        <v>IMPRESSORA MONOCROMÁTICO –  PÁGINAS A3</v>
      </c>
      <c r="C129" s="11" t="str">
        <f>IFERROR(__xludf.DUMMYFUNCTION("""COMPUTED_VALUE"""),"IMPRESSORA POLICROMÁTICO  –  PÁGINAS – A4 ")</f>
        <v>IMPRESSORA POLICROMÁTICO  –  PÁGINAS – A4 </v>
      </c>
      <c r="D129" s="11" t="str">
        <f>IFERROR(__xludf.DUMMYFUNCTION("""COMPUTED_VALUE"""),"IMPRESSORA POLICROMÁTICO  –  PÁGINAS – A3")</f>
        <v>IMPRESSORA POLICROMÁTICO  –  PÁGINAS – A3</v>
      </c>
      <c r="E129" s="11" t="str">
        <f>IFERROR(__xludf.DUMMYFUNCTION("""COMPUTED_VALUE"""),"IMPRESSORA POLICROMÁTICO  –  PÁGINAS – A3 COM DF-7100")</f>
        <v>IMPRESSORA POLICROMÁTICO  –  PÁGINAS – A3 COM DF-7100</v>
      </c>
    </row>
    <row r="130">
      <c r="A130" s="11" t="str">
        <f>IFERROR(__xludf.DUMMYFUNCTION("TRANSPOSE(FILTER(ITENS!$D:$D, ITENS!$A:$A = SERVICOS!$A131))"),"IMPRESSORA MONOCROMÁTICO –  PÁGINAS A4 ")</f>
        <v>IMPRESSORA MONOCROMÁTICO –  PÁGINAS A4 </v>
      </c>
      <c r="B130" s="11" t="str">
        <f>IFERROR(__xludf.DUMMYFUNCTION("""COMPUTED_VALUE"""),"IMPRESSORA MONOCROMÁTICO –  PÁGINAS A3")</f>
        <v>IMPRESSORA MONOCROMÁTICO –  PÁGINAS A3</v>
      </c>
      <c r="C130" s="11" t="str">
        <f>IFERROR(__xludf.DUMMYFUNCTION("""COMPUTED_VALUE"""),"IMPRESSORA POLICROMÁTICO  –  PÁGINAS – A4 ")</f>
        <v>IMPRESSORA POLICROMÁTICO  –  PÁGINAS – A4 </v>
      </c>
      <c r="D130" s="11" t="str">
        <f>IFERROR(__xludf.DUMMYFUNCTION("""COMPUTED_VALUE"""),"IMPRESSORA POLICROMÁTICO  –  PÁGINAS – A3")</f>
        <v>IMPRESSORA POLICROMÁTICO  –  PÁGINAS – A3</v>
      </c>
      <c r="E130" s="11" t="str">
        <f>IFERROR(__xludf.DUMMYFUNCTION("""COMPUTED_VALUE"""),"IMPRESSORA POLICROMÁTICO  –  PÁGINAS – A3 COM DF-7100")</f>
        <v>IMPRESSORA POLICROMÁTICO  –  PÁGINAS – A3 COM DF-7100</v>
      </c>
    </row>
    <row r="131">
      <c r="A131" s="11" t="str">
        <f>IFERROR(__xludf.DUMMYFUNCTION("TRANSPOSE(FILTER(ITENS!$D:$D, ITENS!$A:$A = SERVICOS!$A132))"),"IMPRESSORA MONOCROMÁTICO –  PÁGINAS A4 ")</f>
        <v>IMPRESSORA MONOCROMÁTICO –  PÁGINAS A4 </v>
      </c>
      <c r="B131" s="11" t="str">
        <f>IFERROR(__xludf.DUMMYFUNCTION("""COMPUTED_VALUE"""),"IMPRESSORA MONOCROMÁTICO –  PÁGINAS A3")</f>
        <v>IMPRESSORA MONOCROMÁTICO –  PÁGINAS A3</v>
      </c>
      <c r="C131" s="11" t="str">
        <f>IFERROR(__xludf.DUMMYFUNCTION("""COMPUTED_VALUE"""),"IMPRESSORA POLICROMÁTICO  –  PÁGINAS – A4 ")</f>
        <v>IMPRESSORA POLICROMÁTICO  –  PÁGINAS – A4 </v>
      </c>
      <c r="D131" s="11" t="str">
        <f>IFERROR(__xludf.DUMMYFUNCTION("""COMPUTED_VALUE"""),"IMPRESSORA POLICROMÁTICO  –  PÁGINAS – A3")</f>
        <v>IMPRESSORA POLICROMÁTICO  –  PÁGINAS – A3</v>
      </c>
      <c r="E131" s="11" t="str">
        <f>IFERROR(__xludf.DUMMYFUNCTION("""COMPUTED_VALUE"""),"IMPRESSORA POLICROMÁTICO  –  PÁGINAS – A3 COM DF-7100")</f>
        <v>IMPRESSORA POLICROMÁTICO  –  PÁGINAS – A3 COM DF-7100</v>
      </c>
    </row>
    <row r="132">
      <c r="A132" s="11" t="str">
        <f>IFERROR(__xludf.DUMMYFUNCTION("TRANSPOSE(FILTER(ITENS!$D:$D, ITENS!$A:$A = SERVICOS!$A133))"),"IMPRESSORA MONOCROMÁTICO –  PÁGINAS A4 ")</f>
        <v>IMPRESSORA MONOCROMÁTICO –  PÁGINAS A4 </v>
      </c>
      <c r="B132" s="11" t="str">
        <f>IFERROR(__xludf.DUMMYFUNCTION("""COMPUTED_VALUE"""),"IMPRESSORA MONOCROMÁTICO –  PÁGINAS A3")</f>
        <v>IMPRESSORA MONOCROMÁTICO –  PÁGINAS A3</v>
      </c>
      <c r="C132" s="11" t="str">
        <f>IFERROR(__xludf.DUMMYFUNCTION("""COMPUTED_VALUE"""),"IMPRESSORA POLICROMÁTICO  –  PÁGINAS – A4 ")</f>
        <v>IMPRESSORA POLICROMÁTICO  –  PÁGINAS – A4 </v>
      </c>
      <c r="D132" s="11" t="str">
        <f>IFERROR(__xludf.DUMMYFUNCTION("""COMPUTED_VALUE"""),"IMPRESSORA POLICROMÁTICO  –  PÁGINAS – A3")</f>
        <v>IMPRESSORA POLICROMÁTICO  –  PÁGINAS – A3</v>
      </c>
      <c r="E132" s="11" t="str">
        <f>IFERROR(__xludf.DUMMYFUNCTION("""COMPUTED_VALUE"""),"IMPRESSORA POLICROMÁTICO  –  PÁGINAS – A3 COM DF-7100")</f>
        <v>IMPRESSORA POLICROMÁTICO  –  PÁGINAS – A3 COM DF-7100</v>
      </c>
    </row>
    <row r="133">
      <c r="A133" s="11" t="str">
        <f>IFERROR(__xludf.DUMMYFUNCTION("TRANSPOSE(FILTER(ITENS!$D:$D, ITENS!$A:$A = SERVICOS!$A134))"),"IMPRESSORA MONOCROMÁTICO –  PÁGINAS A4 ")</f>
        <v>IMPRESSORA MONOCROMÁTICO –  PÁGINAS A4 </v>
      </c>
      <c r="B133" s="11" t="str">
        <f>IFERROR(__xludf.DUMMYFUNCTION("""COMPUTED_VALUE"""),"IMPRESSORA MONOCROMÁTICO –  PÁGINAS A3")</f>
        <v>IMPRESSORA MONOCROMÁTICO –  PÁGINAS A3</v>
      </c>
      <c r="C133" s="11" t="str">
        <f>IFERROR(__xludf.DUMMYFUNCTION("""COMPUTED_VALUE"""),"IMPRESSORA POLICROMÁTICO  –  PÁGINAS – A4 ")</f>
        <v>IMPRESSORA POLICROMÁTICO  –  PÁGINAS – A4 </v>
      </c>
      <c r="D133" s="11" t="str">
        <f>IFERROR(__xludf.DUMMYFUNCTION("""COMPUTED_VALUE"""),"IMPRESSORA POLICROMÁTICO  –  PÁGINAS – A3")</f>
        <v>IMPRESSORA POLICROMÁTICO  –  PÁGINAS – A3</v>
      </c>
      <c r="E133" s="11" t="str">
        <f>IFERROR(__xludf.DUMMYFUNCTION("""COMPUTED_VALUE"""),"IMPRESSORA POLICROMÁTICO  –  PÁGINAS – A3 COM DF-7100")</f>
        <v>IMPRESSORA POLICROMÁTICO  –  PÁGINAS – A3 COM DF-7100</v>
      </c>
    </row>
    <row r="134">
      <c r="A134" s="11" t="str">
        <f>IFERROR(__xludf.DUMMYFUNCTION("TRANSPOSE(FILTER(ITENS!$D:$D, ITENS!$A:$A = SERVICOS!$A135))"),"IMPRESSORA MONOCROMÁTICO –  PÁGINAS A4 ")</f>
        <v>IMPRESSORA MONOCROMÁTICO –  PÁGINAS A4 </v>
      </c>
      <c r="B134" s="11" t="str">
        <f>IFERROR(__xludf.DUMMYFUNCTION("""COMPUTED_VALUE"""),"IMPRESSORA MONOCROMÁTICO –  PÁGINAS A3")</f>
        <v>IMPRESSORA MONOCROMÁTICO –  PÁGINAS A3</v>
      </c>
      <c r="C134" s="11" t="str">
        <f>IFERROR(__xludf.DUMMYFUNCTION("""COMPUTED_VALUE"""),"IMPRESSORA POLICROMÁTICO  –  PÁGINAS – A4 ")</f>
        <v>IMPRESSORA POLICROMÁTICO  –  PÁGINAS – A4 </v>
      </c>
      <c r="D134" s="11" t="str">
        <f>IFERROR(__xludf.DUMMYFUNCTION("""COMPUTED_VALUE"""),"IMPRESSORA POLICROMÁTICO  –  PÁGINAS – A3")</f>
        <v>IMPRESSORA POLICROMÁTICO  –  PÁGINAS – A3</v>
      </c>
      <c r="E134" s="11" t="str">
        <f>IFERROR(__xludf.DUMMYFUNCTION("""COMPUTED_VALUE"""),"IMPRESSORA POLICROMÁTICO  –  PÁGINAS – A3 COM DF-7100")</f>
        <v>IMPRESSORA POLICROMÁTICO  –  PÁGINAS – A3 COM DF-7100</v>
      </c>
    </row>
    <row r="135">
      <c r="A135" s="11" t="str">
        <f>IFERROR(__xludf.DUMMYFUNCTION("TRANSPOSE(FILTER(ITENS!$D:$D, ITENS!$A:$A = SERVICOS!$A136))"),"IMPRESSORA MONOCROMÁTICO –  PÁGINAS A4 ")</f>
        <v>IMPRESSORA MONOCROMÁTICO –  PÁGINAS A4 </v>
      </c>
      <c r="B135" s="11" t="str">
        <f>IFERROR(__xludf.DUMMYFUNCTION("""COMPUTED_VALUE"""),"IMPRESSORA MONOCROMÁTICO –  PÁGINAS A3")</f>
        <v>IMPRESSORA MONOCROMÁTICO –  PÁGINAS A3</v>
      </c>
      <c r="C135" s="11" t="str">
        <f>IFERROR(__xludf.DUMMYFUNCTION("""COMPUTED_VALUE"""),"IMPRESSORA POLICROMÁTICO  –  PÁGINAS – A4 ")</f>
        <v>IMPRESSORA POLICROMÁTICO  –  PÁGINAS – A4 </v>
      </c>
      <c r="D135" s="11" t="str">
        <f>IFERROR(__xludf.DUMMYFUNCTION("""COMPUTED_VALUE"""),"IMPRESSORA POLICROMÁTICO  –  PÁGINAS – A3")</f>
        <v>IMPRESSORA POLICROMÁTICO  –  PÁGINAS – A3</v>
      </c>
      <c r="E135" s="11" t="str">
        <f>IFERROR(__xludf.DUMMYFUNCTION("""COMPUTED_VALUE"""),"IMPRESSORA POLICROMÁTICO  –  PÁGINAS – A3 COM DF-7100")</f>
        <v>IMPRESSORA POLICROMÁTICO  –  PÁGINAS – A3 COM DF-7100</v>
      </c>
    </row>
    <row r="136">
      <c r="A136" s="11" t="str">
        <f>IFERROR(__xludf.DUMMYFUNCTION("TRANSPOSE(FILTER(ITENS!$D:$D, ITENS!$A:$A = SERVICOS!$A137))"),"IMPRESSORA MONOCROMÁTICO –  PÁGINAS A4 ")</f>
        <v>IMPRESSORA MONOCROMÁTICO –  PÁGINAS A4 </v>
      </c>
      <c r="B136" s="11" t="str">
        <f>IFERROR(__xludf.DUMMYFUNCTION("""COMPUTED_VALUE"""),"IMPRESSORA MONOCROMÁTICO –  PÁGINAS A3")</f>
        <v>IMPRESSORA MONOCROMÁTICO –  PÁGINAS A3</v>
      </c>
      <c r="C136" s="11" t="str">
        <f>IFERROR(__xludf.DUMMYFUNCTION("""COMPUTED_VALUE"""),"IMPRESSORA POLICROMÁTICO  –  PÁGINAS – A4 ")</f>
        <v>IMPRESSORA POLICROMÁTICO  –  PÁGINAS – A4 </v>
      </c>
      <c r="D136" s="11" t="str">
        <f>IFERROR(__xludf.DUMMYFUNCTION("""COMPUTED_VALUE"""),"IMPRESSORA POLICROMÁTICO  –  PÁGINAS – A3")</f>
        <v>IMPRESSORA POLICROMÁTICO  –  PÁGINAS – A3</v>
      </c>
      <c r="E136" s="11" t="str">
        <f>IFERROR(__xludf.DUMMYFUNCTION("""COMPUTED_VALUE"""),"IMPRESSORA POLICROMÁTICO  –  PÁGINAS – A3 COM DF-7100")</f>
        <v>IMPRESSORA POLICROMÁTICO  –  PÁGINAS – A3 COM DF-7100</v>
      </c>
    </row>
    <row r="137">
      <c r="A137" s="11" t="str">
        <f>IFERROR(__xludf.DUMMYFUNCTION("TRANSPOSE(FILTER(ITENS!$D:$D, ITENS!$A:$A = SERVICOS!$A138))"),"IMPRESSORA MONOCROMÁTICO –  PÁGINAS A4 ")</f>
        <v>IMPRESSORA MONOCROMÁTICO –  PÁGINAS A4 </v>
      </c>
      <c r="B137" s="11" t="str">
        <f>IFERROR(__xludf.DUMMYFUNCTION("""COMPUTED_VALUE"""),"IMPRESSORA MONOCROMÁTICO –  PÁGINAS A3")</f>
        <v>IMPRESSORA MONOCROMÁTICO –  PÁGINAS A3</v>
      </c>
      <c r="C137" s="11" t="str">
        <f>IFERROR(__xludf.DUMMYFUNCTION("""COMPUTED_VALUE"""),"IMPRESSORA POLICROMÁTICO  –  PÁGINAS – A4 ")</f>
        <v>IMPRESSORA POLICROMÁTICO  –  PÁGINAS – A4 </v>
      </c>
      <c r="D137" s="11" t="str">
        <f>IFERROR(__xludf.DUMMYFUNCTION("""COMPUTED_VALUE"""),"IMPRESSORA POLICROMÁTICO  –  PÁGINAS – A3")</f>
        <v>IMPRESSORA POLICROMÁTICO  –  PÁGINAS – A3</v>
      </c>
      <c r="E137" s="11" t="str">
        <f>IFERROR(__xludf.DUMMYFUNCTION("""COMPUTED_VALUE"""),"IMPRESSORA POLICROMÁTICO  –  PÁGINAS – A3 COM DF-7100")</f>
        <v>IMPRESSORA POLICROMÁTICO  –  PÁGINAS – A3 COM DF-7100</v>
      </c>
    </row>
    <row r="138">
      <c r="A138" s="11" t="str">
        <f>IFERROR(__xludf.DUMMYFUNCTION("TRANSPOSE(FILTER(ITENS!$D:$D, ITENS!$A:$A = SERVICOS!$A139))"),"IMPRESSORA MONOCROMÁTICO –  PÁGINAS A4 ")</f>
        <v>IMPRESSORA MONOCROMÁTICO –  PÁGINAS A4 </v>
      </c>
      <c r="B138" s="11" t="str">
        <f>IFERROR(__xludf.DUMMYFUNCTION("""COMPUTED_VALUE"""),"IMPRESSORA MONOCROMÁTICO –  PÁGINAS A3")</f>
        <v>IMPRESSORA MONOCROMÁTICO –  PÁGINAS A3</v>
      </c>
      <c r="C138" s="11" t="str">
        <f>IFERROR(__xludf.DUMMYFUNCTION("""COMPUTED_VALUE"""),"IMPRESSORA POLICROMÁTICO  –  PÁGINAS – A4 ")</f>
        <v>IMPRESSORA POLICROMÁTICO  –  PÁGINAS – A4 </v>
      </c>
      <c r="D138" s="11" t="str">
        <f>IFERROR(__xludf.DUMMYFUNCTION("""COMPUTED_VALUE"""),"IMPRESSORA POLICROMÁTICO  –  PÁGINAS – A3")</f>
        <v>IMPRESSORA POLICROMÁTICO  –  PÁGINAS – A3</v>
      </c>
      <c r="E138" s="11" t="str">
        <f>IFERROR(__xludf.DUMMYFUNCTION("""COMPUTED_VALUE"""),"IMPRESSORA POLICROMÁTICO  –  PÁGINAS – A3 COM DF-7100")</f>
        <v>IMPRESSORA POLICROMÁTICO  –  PÁGINAS – A3 COM DF-7100</v>
      </c>
    </row>
    <row r="139">
      <c r="A139" s="11" t="str">
        <f>IFERROR(__xludf.DUMMYFUNCTION("TRANSPOSE(FILTER(ITENS!$D:$D, ITENS!$A:$A = SERVICOS!$A140))"),"IMPRESSORA MONOCROMÁTICO –  PÁGINAS A4 ")</f>
        <v>IMPRESSORA MONOCROMÁTICO –  PÁGINAS A4 </v>
      </c>
      <c r="B139" s="11" t="str">
        <f>IFERROR(__xludf.DUMMYFUNCTION("""COMPUTED_VALUE"""),"IMPRESSORA POLICROMÁTICO  –  PÁGINAS – A3")</f>
        <v>IMPRESSORA POLICROMÁTICO  –  PÁGINAS – A3</v>
      </c>
      <c r="C139" s="11" t="str">
        <f>IFERROR(__xludf.DUMMYFUNCTION("""COMPUTED_VALUE"""),"IMPRESSORA POLICROMÁTICO  –  PÁGINAS – A4 ")</f>
        <v>IMPRESSORA POLICROMÁTICO  –  PÁGINAS – A4 </v>
      </c>
    </row>
    <row r="140">
      <c r="A140" s="11" t="str">
        <f>IFERROR(__xludf.DUMMYFUNCTION("TRANSPOSE(FILTER(ITENS!$D:$D, ITENS!$A:$A = SERVICOS!$A141))"),"IMPRESSORA MONOCROMÁTICO –  PÁGINAS A4 ")</f>
        <v>IMPRESSORA MONOCROMÁTICO –  PÁGINAS A4 </v>
      </c>
      <c r="B140" s="11" t="str">
        <f>IFERROR(__xludf.DUMMYFUNCTION("""COMPUTED_VALUE"""),"IMPRESSORA POLICROMÁTICO  –  PÁGINAS – A3")</f>
        <v>IMPRESSORA POLICROMÁTICO  –  PÁGINAS – A3</v>
      </c>
      <c r="C140" s="11" t="str">
        <f>IFERROR(__xludf.DUMMYFUNCTION("""COMPUTED_VALUE"""),"IMPRESSORA POLICROMÁTICO  –  PÁGINAS – A4 ")</f>
        <v>IMPRESSORA POLICROMÁTICO  –  PÁGINAS – A4 </v>
      </c>
    </row>
    <row r="141">
      <c r="A141" s="11" t="str">
        <f>IFERROR(__xludf.DUMMYFUNCTION("TRANSPOSE(FILTER(ITENS!$D:$D, ITENS!$A:$A = SERVICOS!$A142))"),"IMPRESSORA MONOCROMÁTICO –  PÁGINAS A4 ")</f>
        <v>IMPRESSORA MONOCROMÁTICO –  PÁGINAS A4 </v>
      </c>
      <c r="B141" s="11" t="str">
        <f>IFERROR(__xludf.DUMMYFUNCTION("""COMPUTED_VALUE"""),"IMPRESSORA POLICROMÁTICO  –  PÁGINAS – A3")</f>
        <v>IMPRESSORA POLICROMÁTICO  –  PÁGINAS – A3</v>
      </c>
      <c r="C141" s="11" t="str">
        <f>IFERROR(__xludf.DUMMYFUNCTION("""COMPUTED_VALUE"""),"IMPRESSORA POLICROMÁTICO  –  PÁGINAS – A4 ")</f>
        <v>IMPRESSORA POLICROMÁTICO  –  PÁGINAS – A4 </v>
      </c>
    </row>
    <row r="142">
      <c r="A142" s="11" t="str">
        <f>IFERROR(__xludf.DUMMYFUNCTION("TRANSPOSE(FILTER(ITENS!$D:$D, ITENS!$A:$A = SERVICOS!$A143))"),"IMPRESSORA MONOCROMÁTICO –  PÁGINAS A4 ")</f>
        <v>IMPRESSORA MONOCROMÁTICO –  PÁGINAS A4 </v>
      </c>
      <c r="B142" s="11" t="str">
        <f>IFERROR(__xludf.DUMMYFUNCTION("""COMPUTED_VALUE"""),"IMPRESSORA POLICROMÁTICO  –  PÁGINAS – A3")</f>
        <v>IMPRESSORA POLICROMÁTICO  –  PÁGINAS – A3</v>
      </c>
      <c r="C142" s="11" t="str">
        <f>IFERROR(__xludf.DUMMYFUNCTION("""COMPUTED_VALUE"""),"IMPRESSORA POLICROMÁTICO  –  PÁGINAS – A4 ")</f>
        <v>IMPRESSORA POLICROMÁTICO  –  PÁGINAS – A4 </v>
      </c>
    </row>
    <row r="143">
      <c r="A143" s="11" t="str">
        <f>IFERROR(__xludf.DUMMYFUNCTION("TRANSPOSE(FILTER(ITENS!$D:$D, ITENS!$A:$A = SERVICOS!$A144))"),"IMPRESSORA MONOCROMÁTICO –  PÁGINAS A4 ")</f>
        <v>IMPRESSORA MONOCROMÁTICO –  PÁGINAS A4 </v>
      </c>
      <c r="B143" s="11" t="str">
        <f>IFERROR(__xludf.DUMMYFUNCTION("""COMPUTED_VALUE"""),"IMPRESSORA POLICROMÁTICO  –  PÁGINAS – A3")</f>
        <v>IMPRESSORA POLICROMÁTICO  –  PÁGINAS – A3</v>
      </c>
      <c r="C143" s="11" t="str">
        <f>IFERROR(__xludf.DUMMYFUNCTION("""COMPUTED_VALUE"""),"IMPRESSORA POLICROMÁTICO  –  PÁGINAS – A4 ")</f>
        <v>IMPRESSORA POLICROMÁTICO  –  PÁGINAS – A4 </v>
      </c>
    </row>
    <row r="144">
      <c r="A144" s="11" t="str">
        <f>IFERROR(__xludf.DUMMYFUNCTION("TRANSPOSE(FILTER(ITENS!$D:$D, ITENS!$A:$A = SERVICOS!$A145))"),"IMPRESSORA MONOCROMÁTICO –  PÁGINAS A4 ")</f>
        <v>IMPRESSORA MONOCROMÁTICO –  PÁGINAS A4 </v>
      </c>
      <c r="B144" s="11" t="str">
        <f>IFERROR(__xludf.DUMMYFUNCTION("""COMPUTED_VALUE"""),"IMPRESSORA POLICROMÁTICO  –  PÁGINAS – A3")</f>
        <v>IMPRESSORA POLICROMÁTICO  –  PÁGINAS – A3</v>
      </c>
      <c r="C144" s="11" t="str">
        <f>IFERROR(__xludf.DUMMYFUNCTION("""COMPUTED_VALUE"""),"IMPRESSORA POLICROMÁTICO  –  PÁGINAS – A4 ")</f>
        <v>IMPRESSORA POLICROMÁTICO  –  PÁGINAS – A4 </v>
      </c>
    </row>
    <row r="145">
      <c r="A145" s="11" t="str">
        <f>IFERROR(__xludf.DUMMYFUNCTION("TRANSPOSE(FILTER(ITENS!$D:$D, ITENS!$A:$A = SERVICOS!$A146))"),"IMPRESSORA MONOCROMÁTICO –  PÁGINAS A4 ")</f>
        <v>IMPRESSORA MONOCROMÁTICO –  PÁGINAS A4 </v>
      </c>
      <c r="B145" s="11" t="str">
        <f>IFERROR(__xludf.DUMMYFUNCTION("""COMPUTED_VALUE"""),"IMPRESSORA POLICROMÁTICO  –  PÁGINAS – A4 ")</f>
        <v>IMPRESSORA POLICROMÁTICO  –  PÁGINAS – A4 </v>
      </c>
      <c r="C145" s="11" t="str">
        <f>IFERROR(__xludf.DUMMYFUNCTION("""COMPUTED_VALUE"""),"IMPRESSORA POLICROMÁTICO  –  PÁGINAS – A3")</f>
        <v>IMPRESSORA POLICROMÁTICO  –  PÁGINAS – A3</v>
      </c>
    </row>
    <row r="146">
      <c r="A146" s="11" t="str">
        <f>IFERROR(__xludf.DUMMYFUNCTION("TRANSPOSE(FILTER(ITENS!$D:$D, ITENS!$A:$A = SERVICOS!$A147))"),"IMPRESSORA MONOCROMÁTICO –  PÁGINAS A4 ")</f>
        <v>IMPRESSORA MONOCROMÁTICO –  PÁGINAS A4 </v>
      </c>
      <c r="B146" s="11" t="str">
        <f>IFERROR(__xludf.DUMMYFUNCTION("""COMPUTED_VALUE"""),"IMPRESSORA POLICROMÁTICO  –  PÁGINAS – A4 ")</f>
        <v>IMPRESSORA POLICROMÁTICO  –  PÁGINAS – A4 </v>
      </c>
      <c r="C146" s="11" t="str">
        <f>IFERROR(__xludf.DUMMYFUNCTION("""COMPUTED_VALUE"""),"IMPRESSORA POLICROMÁTICO  –  PÁGINAS – A3")</f>
        <v>IMPRESSORA POLICROMÁTICO  –  PÁGINAS – A3</v>
      </c>
    </row>
    <row r="147">
      <c r="A147" s="11" t="str">
        <f>IFERROR(__xludf.DUMMYFUNCTION("TRANSPOSE(FILTER(ITENS!$D:$D, ITENS!$A:$A = SERVICOS!$A148))"),"IMPRESSORA MONOCROMÁTICO –  PÁGINAS A4 ")</f>
        <v>IMPRESSORA MONOCROMÁTICO –  PÁGINAS A4 </v>
      </c>
      <c r="B147" s="11" t="str">
        <f>IFERROR(__xludf.DUMMYFUNCTION("""COMPUTED_VALUE"""),"IMPRESSORA POLICROMÁTICO  –  PÁGINAS – A4 ")</f>
        <v>IMPRESSORA POLICROMÁTICO  –  PÁGINAS – A4 </v>
      </c>
      <c r="C147" s="11" t="str">
        <f>IFERROR(__xludf.DUMMYFUNCTION("""COMPUTED_VALUE"""),"IMPRESSORA POLICROMÁTICO  –  PÁGINAS – A3")</f>
        <v>IMPRESSORA POLICROMÁTICO  –  PÁGINAS – A3</v>
      </c>
    </row>
    <row r="148">
      <c r="A148" s="11" t="str">
        <f>IFERROR(__xludf.DUMMYFUNCTION("TRANSPOSE(FILTER(ITENS!$D:$D, ITENS!$A:$A = SERVICOS!$A149))"),"IMPRESSORA MONOCROMÁTICO –  PÁGINAS A4 ")</f>
        <v>IMPRESSORA MONOCROMÁTICO –  PÁGINAS A4 </v>
      </c>
      <c r="B148" s="11" t="str">
        <f>IFERROR(__xludf.DUMMYFUNCTION("""COMPUTED_VALUE"""),"IMPRESSORA POLICROMÁTICO  –  PÁGINAS – A4 ")</f>
        <v>IMPRESSORA POLICROMÁTICO  –  PÁGINAS – A4 </v>
      </c>
      <c r="C148" s="11" t="str">
        <f>IFERROR(__xludf.DUMMYFUNCTION("""COMPUTED_VALUE"""),"IMPRESSORA POLICROMÁTICO  –  PÁGINAS – A3")</f>
        <v>IMPRESSORA POLICROMÁTICO  –  PÁGINAS – A3</v>
      </c>
    </row>
    <row r="149">
      <c r="A149" s="11" t="str">
        <f>IFERROR(__xludf.DUMMYFUNCTION("TRANSPOSE(FILTER(ITENS!$D:$D, ITENS!$A:$A = SERVICOS!$A150))"),"IMPRESSORA MONOCROMÁTICO –  PÁGINAS A4 ")</f>
        <v>IMPRESSORA MONOCROMÁTICO –  PÁGINAS A4 </v>
      </c>
      <c r="B149" s="11" t="str">
        <f>IFERROR(__xludf.DUMMYFUNCTION("""COMPUTED_VALUE"""),"IMPRESSORA POLICROMÁTICO  –  PÁGINAS – A4 ")</f>
        <v>IMPRESSORA POLICROMÁTICO  –  PÁGINAS – A4 </v>
      </c>
      <c r="C149" s="11" t="str">
        <f>IFERROR(__xludf.DUMMYFUNCTION("""COMPUTED_VALUE"""),"IMPRESSORA POLICROMÁTICO  –  PÁGINAS – A3")</f>
        <v>IMPRESSORA POLICROMÁTICO  –  PÁGINAS – A3</v>
      </c>
    </row>
    <row r="150">
      <c r="A150" s="11" t="str">
        <f>IFERROR(__xludf.DUMMYFUNCTION("TRANSPOSE(FILTER(ITENS!$D:$D, ITENS!$A:$A = SERVICOS!$A151))"),"IMPRESSORA MONOCROMÁTICO –  PÁGINAS A4 ")</f>
        <v>IMPRESSORA MONOCROMÁTICO –  PÁGINAS A4 </v>
      </c>
      <c r="B150" s="11" t="str">
        <f>IFERROR(__xludf.DUMMYFUNCTION("""COMPUTED_VALUE"""),"IMPRESSORA POLICROMÁTICO  –  PÁGINAS – A4 ")</f>
        <v>IMPRESSORA POLICROMÁTICO  –  PÁGINAS – A4 </v>
      </c>
      <c r="C150" s="11" t="str">
        <f>IFERROR(__xludf.DUMMYFUNCTION("""COMPUTED_VALUE"""),"IMPRESSORA POLICROMÁTICO  –  PÁGINAS – A3")</f>
        <v>IMPRESSORA POLICROMÁTICO  –  PÁGINAS – A3</v>
      </c>
    </row>
    <row r="151">
      <c r="A151" s="11" t="str">
        <f>IFERROR(__xludf.DUMMYFUNCTION("TRANSPOSE(FILTER(ITENS!$D:$D, ITENS!$A:$A = SERVICOS!$A152))"),"IMPRESSORA POLICROMATICA–  PÁGINAS A4 - NÃO MULTIFUNCIONAL ")</f>
        <v>IMPRESSORA POLICROMATICA–  PÁGINAS A4 - NÃO MULTIFUNCIONAL </v>
      </c>
      <c r="B151" s="11" t="str">
        <f>IFERROR(__xludf.DUMMYFUNCTION("""COMPUTED_VALUE"""),"IMPRESSORA MONOCROMÁTICO –  PÁGINAS A4 ")</f>
        <v>IMPRESSORA MONOCROMÁTICO –  PÁGINAS A4 </v>
      </c>
      <c r="C151" s="11" t="str">
        <f>IFERROR(__xludf.DUMMYFUNCTION("""COMPUTED_VALUE"""),"IMPRESSORA POLICROMÁTICO  –  PÁGINAS – A4 ")</f>
        <v>IMPRESSORA POLICROMÁTICO  –  PÁGINAS – A4 </v>
      </c>
      <c r="D151" s="11" t="str">
        <f>IFERROR(__xludf.DUMMYFUNCTION("""COMPUTED_VALUE"""),"IMPRESSORA POLICROMÁTICO  –  PÁGINAS – A3")</f>
        <v>IMPRESSORA POLICROMÁTICO  –  PÁGINAS – A3</v>
      </c>
    </row>
    <row r="152">
      <c r="A152" s="11" t="str">
        <f>IFERROR(__xludf.DUMMYFUNCTION("TRANSPOSE(FILTER(ITENS!$D:$D, ITENS!$A:$A = SERVICOS!$A153))"),"IMPRESSORA POLICROMATICA–  PÁGINAS A4 - NÃO MULTIFUNCIONAL ")</f>
        <v>IMPRESSORA POLICROMATICA–  PÁGINAS A4 - NÃO MULTIFUNCIONAL </v>
      </c>
      <c r="B152" s="11" t="str">
        <f>IFERROR(__xludf.DUMMYFUNCTION("""COMPUTED_VALUE"""),"IMPRESSORA MONOCROMÁTICO –  PÁGINAS A4 ")</f>
        <v>IMPRESSORA MONOCROMÁTICO –  PÁGINAS A4 </v>
      </c>
      <c r="C152" s="11" t="str">
        <f>IFERROR(__xludf.DUMMYFUNCTION("""COMPUTED_VALUE"""),"IMPRESSORA POLICROMÁTICO  –  PÁGINAS – A4 ")</f>
        <v>IMPRESSORA POLICROMÁTICO  –  PÁGINAS – A4 </v>
      </c>
      <c r="D152" s="11" t="str">
        <f>IFERROR(__xludf.DUMMYFUNCTION("""COMPUTED_VALUE"""),"IMPRESSORA POLICROMÁTICO  –  PÁGINAS – A3")</f>
        <v>IMPRESSORA POLICROMÁTICO  –  PÁGINAS – A3</v>
      </c>
    </row>
    <row r="153">
      <c r="A153" s="11" t="str">
        <f>IFERROR(__xludf.DUMMYFUNCTION("TRANSPOSE(FILTER(ITENS!$D:$D, ITENS!$A:$A = SERVICOS!$A154))"),"IMPRESSORA MONOCROMÁTICO –  PÁGINAS A4 ")</f>
        <v>IMPRESSORA MONOCROMÁTICO –  PÁGINAS A4 </v>
      </c>
      <c r="B153" s="11" t="str">
        <f>IFERROR(__xludf.DUMMYFUNCTION("""COMPUTED_VALUE"""),"IMPRESSORA POLICROMÁTICO  –  PÁGINAS – A4 ")</f>
        <v>IMPRESSORA POLICROMÁTICO  –  PÁGINAS – A4 </v>
      </c>
    </row>
    <row r="154">
      <c r="A154" s="11" t="str">
        <f>IFERROR(__xludf.DUMMYFUNCTION("TRANSPOSE(FILTER(ITENS!$D:$D, ITENS!$A:$A = SERVICOS!$A155))"),"IMPRESSORA MONOCROMÁTICO –  PÁGINAS A4 ")</f>
        <v>IMPRESSORA MONOCROMÁTICO –  PÁGINAS A4 </v>
      </c>
      <c r="B154" s="11" t="str">
        <f>IFERROR(__xludf.DUMMYFUNCTION("""COMPUTED_VALUE"""),"IMPRESSORA POLICROMÁTICO  –  PÁGINAS – A4 ")</f>
        <v>IMPRESSORA POLICROMÁTICO  –  PÁGINAS – A4 </v>
      </c>
    </row>
    <row r="155">
      <c r="A155" s="11" t="str">
        <f>IFERROR(__xludf.DUMMYFUNCTION("TRANSPOSE(FILTER(ITENS!$D:$D, ITENS!$A:$A = SERVICOS!$A156))"),"IMPRESSORA MONOCROMÁTICO –  PÁGINAS A4 ")</f>
        <v>IMPRESSORA MONOCROMÁTICO –  PÁGINAS A4 </v>
      </c>
      <c r="B155" s="11" t="str">
        <f>IFERROR(__xludf.DUMMYFUNCTION("""COMPUTED_VALUE"""),"IMPRESSORA POLICROMÁTICO  –  PÁGINAS – A4 ")</f>
        <v>IMPRESSORA POLICROMÁTICO  –  PÁGINAS – A4 </v>
      </c>
    </row>
    <row r="156">
      <c r="A156" s="11" t="str">
        <f>IFERROR(__xludf.DUMMYFUNCTION("TRANSPOSE(FILTER(ITENS!$D:$D, ITENS!$A:$A = SERVICOS!$A157))"),"IMPRESSORA MONOCROMÁTICO –  PÁGINAS A4 ")</f>
        <v>IMPRESSORA MONOCROMÁTICO –  PÁGINAS A4 </v>
      </c>
      <c r="B156" s="11" t="str">
        <f>IFERROR(__xludf.DUMMYFUNCTION("""COMPUTED_VALUE"""),"IMPRESSORA POLICROMÁTICO  –  PÁGINAS – A4 ")</f>
        <v>IMPRESSORA POLICROMÁTICO  –  PÁGINAS – A4 </v>
      </c>
    </row>
    <row r="157">
      <c r="A157" s="11" t="str">
        <f>IFERROR(__xludf.DUMMYFUNCTION("TRANSPOSE(FILTER(ITENS!$D:$D, ITENS!$A:$A = SERVICOS!$A158))"),"IMPRESSORA MONOCROMÁTICO –  PÁGINAS A4 ")</f>
        <v>IMPRESSORA MONOCROMÁTICO –  PÁGINAS A4 </v>
      </c>
      <c r="B157" s="11" t="str">
        <f>IFERROR(__xludf.DUMMYFUNCTION("""COMPUTED_VALUE"""),"IMPRESSORA POLICROMÁTICO  –  PÁGINAS – A4 ")</f>
        <v>IMPRESSORA POLICROMÁTICO  –  PÁGINAS – A4 </v>
      </c>
      <c r="C157" s="11" t="str">
        <f>IFERROR(__xludf.DUMMYFUNCTION("""COMPUTED_VALUE"""),"IMPRESSORA POLICROMÁTICO/ MONOCROMATICA  –  PÁGINAS – A3")</f>
        <v>IMPRESSORA POLICROMÁTICO/ MONOCROMATICA  –  PÁGINAS – A3</v>
      </c>
    </row>
    <row r="158">
      <c r="A158" s="11" t="str">
        <f>IFERROR(__xludf.DUMMYFUNCTION("TRANSPOSE(FILTER(ITENS!$D:$D, ITENS!$A:$A = SERVICOS!$A159))"),"IMPRESSORA MONOCROMÁTICO –  PÁGINAS A4 ")</f>
        <v>IMPRESSORA MONOCROMÁTICO –  PÁGINAS A4 </v>
      </c>
      <c r="B158" s="11" t="str">
        <f>IFERROR(__xludf.DUMMYFUNCTION("""COMPUTED_VALUE"""),"IMPRESSORA POLICROMÁTICO  –  PÁGINAS – A4 ")</f>
        <v>IMPRESSORA POLICROMÁTICO  –  PÁGINAS – A4 </v>
      </c>
      <c r="C158" s="11" t="str">
        <f>IFERROR(__xludf.DUMMYFUNCTION("""COMPUTED_VALUE"""),"IMPRESSORA POLICROMÁTICO/ MONOCROMATICA  –  PÁGINAS – A3")</f>
        <v>IMPRESSORA POLICROMÁTICO/ MONOCROMATICA  –  PÁGINAS – A3</v>
      </c>
    </row>
    <row r="159">
      <c r="A159" s="11" t="str">
        <f>IFERROR(__xludf.DUMMYFUNCTION("TRANSPOSE(FILTER(ITENS!$D:$D, ITENS!$A:$A = SERVICOS!$A160))"),"IMPRESSORA MONOCROMÁTICO –  PÁGINAS A4 ")</f>
        <v>IMPRESSORA MONOCROMÁTICO –  PÁGINAS A4 </v>
      </c>
      <c r="B159" s="11" t="str">
        <f>IFERROR(__xludf.DUMMYFUNCTION("""COMPUTED_VALUE"""),"IMPRESSORA POLICROMÁTICO  –  PÁGINAS – A4 ")</f>
        <v>IMPRESSORA POLICROMÁTICO  –  PÁGINAS – A4 </v>
      </c>
      <c r="C159" s="11" t="str">
        <f>IFERROR(__xludf.DUMMYFUNCTION("""COMPUTED_VALUE"""),"IMPRESSORA POLICROMÁTICO/ MONOCROMATICA  –  PÁGINAS – A3")</f>
        <v>IMPRESSORA POLICROMÁTICO/ MONOCROMATICA  –  PÁGINAS – A3</v>
      </c>
    </row>
    <row r="160">
      <c r="A160" s="11" t="str">
        <f>IFERROR(__xludf.DUMMYFUNCTION("TRANSPOSE(FILTER(ITENS!$D:$D, ITENS!$A:$A = SERVICOS!$A161))"),"IMPRESSORA MONOCROMÁTICO –  PÁGINAS A4 ")</f>
        <v>IMPRESSORA MONOCROMÁTICO –  PÁGINAS A4 </v>
      </c>
      <c r="B160" s="11" t="str">
        <f>IFERROR(__xludf.DUMMYFUNCTION("""COMPUTED_VALUE"""),"IMPRESSORA POLICROMÁTICO  –  PÁGINAS – A4 ")</f>
        <v>IMPRESSORA POLICROMÁTICO  –  PÁGINAS – A4 </v>
      </c>
      <c r="C160" s="11" t="str">
        <f>IFERROR(__xludf.DUMMYFUNCTION("""COMPUTED_VALUE"""),"IMPRESSORA POLICROMÁTICO/ MONOCROMATICA  –  PÁGINAS – A3")</f>
        <v>IMPRESSORA POLICROMÁTICO/ MONOCROMATICA  –  PÁGINAS – A3</v>
      </c>
    </row>
    <row r="161">
      <c r="A161" s="11" t="str">
        <f>IFERROR(__xludf.DUMMYFUNCTION("TRANSPOSE(FILTER(ITENS!$D:$D, ITENS!$A:$A = SERVICOS!$A162))"),"IMPRESSORA MONOCROMÁTICO –  PÁGINAS A4 ")</f>
        <v>IMPRESSORA MONOCROMÁTICO –  PÁGINAS A4 </v>
      </c>
      <c r="B161" s="11" t="str">
        <f>IFERROR(__xludf.DUMMYFUNCTION("""COMPUTED_VALUE"""),"IMPRESSORA POLICROMÁTICO  –  PÁGINAS – A4 ")</f>
        <v>IMPRESSORA POLICROMÁTICO  –  PÁGINAS – A4 </v>
      </c>
      <c r="C161" s="11" t="str">
        <f>IFERROR(__xludf.DUMMYFUNCTION("""COMPUTED_VALUE"""),"IMPRESSORA POLICROMÁTICO/ MONOCROMATICA  –  PÁGINAS – A3")</f>
        <v>IMPRESSORA POLICROMÁTICO/ MONOCROMATICA  –  PÁGINAS – A3</v>
      </c>
    </row>
    <row r="162">
      <c r="A162" s="11" t="str">
        <f>IFERROR(__xludf.DUMMYFUNCTION("TRANSPOSE(FILTER(ITENS!$D:$D, ITENS!$A:$A = SERVICOS!$A163))"),"IMPRESSORA MONOCROMÁTICO –  PÁGINAS A4 ")</f>
        <v>IMPRESSORA MONOCROMÁTICO –  PÁGINAS A4 </v>
      </c>
      <c r="B162" s="11" t="str">
        <f>IFERROR(__xludf.DUMMYFUNCTION("""COMPUTED_VALUE"""),"IMPRESSORA POLICROMÁTICO  –  PÁGINAS – A4 ")</f>
        <v>IMPRESSORA POLICROMÁTICO  –  PÁGINAS – A4 </v>
      </c>
      <c r="C162" s="11" t="str">
        <f>IFERROR(__xludf.DUMMYFUNCTION("""COMPUTED_VALUE"""),"IMPRESSORA POLICROMÁTICO/ MONOCROMATICA  –  PÁGINAS – A3")</f>
        <v>IMPRESSORA POLICROMÁTICO/ MONOCROMATICA  –  PÁGINAS – A3</v>
      </c>
    </row>
    <row r="163">
      <c r="A163" s="11" t="str">
        <f>IFERROR(__xludf.DUMMYFUNCTION("TRANSPOSE(FILTER(ITENS!$D:$D, ITENS!$A:$A = SERVICOS!$A164))"),"IMPRESSORA MONOCROMÁTICO –  PÁGINAS A4 ")</f>
        <v>IMPRESSORA MONOCROMÁTICO –  PÁGINAS A4 </v>
      </c>
      <c r="B163" s="11" t="str">
        <f>IFERROR(__xludf.DUMMYFUNCTION("""COMPUTED_VALUE"""),"IMPRESSORA POLICROMÁTICO  –  PÁGINAS – A4 ")</f>
        <v>IMPRESSORA POLICROMÁTICO  –  PÁGINAS – A4 </v>
      </c>
      <c r="C163" s="11" t="str">
        <f>IFERROR(__xludf.DUMMYFUNCTION("""COMPUTED_VALUE"""),"IMPRESSORA POLICROMÁTICO/ MONOCROMATICA  –  PÁGINAS – A3")</f>
        <v>IMPRESSORA POLICROMÁTICO/ MONOCROMATICA  –  PÁGINAS – A3</v>
      </c>
    </row>
    <row r="164">
      <c r="A164" s="11" t="str">
        <f>IFERROR(__xludf.DUMMYFUNCTION("TRANSPOSE(FILTER(ITENS!$D:$D, ITENS!$A:$A = SERVICOS!$A165))"),"IMPRESSORA MONOCROMÁTICO –  PÁGINAS A4 ")</f>
        <v>IMPRESSORA MONOCROMÁTICO –  PÁGINAS A4 </v>
      </c>
      <c r="B164" s="11" t="str">
        <f>IFERROR(__xludf.DUMMYFUNCTION("""COMPUTED_VALUE"""),"IMPRESSORA POLICROMÁTICO  –  PÁGINAS – A4 ")</f>
        <v>IMPRESSORA POLICROMÁTICO  –  PÁGINAS – A4 </v>
      </c>
      <c r="C164" s="11" t="str">
        <f>IFERROR(__xludf.DUMMYFUNCTION("""COMPUTED_VALUE"""),"IMPRESSORA POLICROMÁTICO/ MONOCROMATICA  –  PÁGINAS – A3")</f>
        <v>IMPRESSORA POLICROMÁTICO/ MONOCROMATICA  –  PÁGINAS – A3</v>
      </c>
    </row>
    <row r="165">
      <c r="A165" s="11" t="str">
        <f>IFERROR(__xludf.DUMMYFUNCTION("TRANSPOSE(FILTER(ITENS!$D:$D, ITENS!$A:$A = SERVICOS!$A166))"),"IMPRESSORA MONOCROMÁTICO –  PÁGINAS A4 ")</f>
        <v>IMPRESSORA MONOCROMÁTICO –  PÁGINAS A4 </v>
      </c>
      <c r="B165" s="11" t="str">
        <f>IFERROR(__xludf.DUMMYFUNCTION("""COMPUTED_VALUE"""),"IMPRESSORA POLICROMÁTICO  –  PÁGINAS – A4 ")</f>
        <v>IMPRESSORA POLICROMÁTICO  –  PÁGINAS – A4 </v>
      </c>
      <c r="C165" s="11" t="str">
        <f>IFERROR(__xludf.DUMMYFUNCTION("""COMPUTED_VALUE"""),"IMPRESSORA POLICROMÁTICO/ MONOCROMATICA  –  PÁGINAS – A3")</f>
        <v>IMPRESSORA POLICROMÁTICO/ MONOCROMATICA  –  PÁGINAS – A3</v>
      </c>
    </row>
    <row r="166">
      <c r="A166" s="11" t="str">
        <f>IFERROR(__xludf.DUMMYFUNCTION("TRANSPOSE(FILTER(ITENS!$D:$D, ITENS!$A:$A = SERVICOS!$A167))"),"IMPRESSORA MONOCROMÁTICO –  PÁGINAS A4 ")</f>
        <v>IMPRESSORA MONOCROMÁTICO –  PÁGINAS A4 </v>
      </c>
      <c r="B166" s="11" t="str">
        <f>IFERROR(__xludf.DUMMYFUNCTION("""COMPUTED_VALUE"""),"IMPRESSORA POLICROMÁTICO  –  PÁGINAS – A4 ")</f>
        <v>IMPRESSORA POLICROMÁTICO  –  PÁGINAS – A4 </v>
      </c>
      <c r="C166" s="11" t="str">
        <f>IFERROR(__xludf.DUMMYFUNCTION("""COMPUTED_VALUE"""),"IMPRESSORA POLICROMÁTICO/ MONOCROMATICA  –  PÁGINAS – A3")</f>
        <v>IMPRESSORA POLICROMÁTICO/ MONOCROMATICA  –  PÁGINAS – A3</v>
      </c>
    </row>
    <row r="167">
      <c r="A167" s="11" t="str">
        <f>IFERROR(__xludf.DUMMYFUNCTION("TRANSPOSE(FILTER(ITENS!$D:$D, ITENS!$A:$A = SERVICOS!$A168))"),"IMPRESSORA MONOCROMÁTICO –  PÁGINAS A4 ")</f>
        <v>IMPRESSORA MONOCROMÁTICO –  PÁGINAS A4 </v>
      </c>
      <c r="B167" s="11" t="str">
        <f>IFERROR(__xludf.DUMMYFUNCTION("""COMPUTED_VALUE"""),"IMPRESSORA POLICROMÁTICO  –  PÁGINAS – A4 ")</f>
        <v>IMPRESSORA POLICROMÁTICO  –  PÁGINAS – A4 </v>
      </c>
      <c r="C167" s="11" t="str">
        <f>IFERROR(__xludf.DUMMYFUNCTION("""COMPUTED_VALUE"""),"IMPRESSORA POLICROMÁTICO/ MONOCROMATICA  –  PÁGINAS – A3")</f>
        <v>IMPRESSORA POLICROMÁTICO/ MONOCROMATICA  –  PÁGINAS – A3</v>
      </c>
    </row>
    <row r="168">
      <c r="A168" s="11" t="str">
        <f>IFERROR(__xludf.DUMMYFUNCTION("TRANSPOSE(FILTER(ITENS!$D:$D, ITENS!$A:$A = SERVICOS!$A169))"),"IMPRESSORA MONOCROMÁTICO –  PÁGINAS A4 ")</f>
        <v>IMPRESSORA MONOCROMÁTICO –  PÁGINAS A4 </v>
      </c>
      <c r="B168" s="11" t="str">
        <f>IFERROR(__xludf.DUMMYFUNCTION("""COMPUTED_VALUE"""),"IMPRESSORA POLICROMÁTICO  –  PÁGINAS – A4 ")</f>
        <v>IMPRESSORA POLICROMÁTICO  –  PÁGINAS – A4 </v>
      </c>
      <c r="C168" s="11" t="str">
        <f>IFERROR(__xludf.DUMMYFUNCTION("""COMPUTED_VALUE"""),"IMPRESSORA POLICROMÁTICO/ MONOCROMATICA  –  PÁGINAS – A3")</f>
        <v>IMPRESSORA POLICROMÁTICO/ MONOCROMATICA  –  PÁGINAS – A3</v>
      </c>
    </row>
    <row r="169">
      <c r="A169" s="11" t="str">
        <f>IFERROR(__xludf.DUMMYFUNCTION("TRANSPOSE(FILTER(ITENS!$D:$D, ITENS!$A:$A = SERVICOS!$A170))"),"IMPRESSORA MONOCROMÁTICO –  PÁGINAS A4 ")</f>
        <v>IMPRESSORA MONOCROMÁTICO –  PÁGINAS A4 </v>
      </c>
      <c r="B169" s="11" t="str">
        <f>IFERROR(__xludf.DUMMYFUNCTION("""COMPUTED_VALUE"""),"IMPRESSORA POLICROMÁTICO  –  PÁGINAS – A4 ")</f>
        <v>IMPRESSORA POLICROMÁTICO  –  PÁGINAS – A4 </v>
      </c>
      <c r="C169" s="11" t="str">
        <f>IFERROR(__xludf.DUMMYFUNCTION("""COMPUTED_VALUE"""),"IMPRESSORA POLICROMÁTICO/ MONOCROMATICA  –  PÁGINAS – A3")</f>
        <v>IMPRESSORA POLICROMÁTICO/ MONOCROMATICA  –  PÁGINAS – A3</v>
      </c>
    </row>
    <row r="170">
      <c r="A170" s="11" t="str">
        <f>IFERROR(__xludf.DUMMYFUNCTION("TRANSPOSE(FILTER(ITENS!$D:$D, ITENS!$A:$A = SERVICOS!$A171))"),"IMPRESSORA MONOCROMÁTICO –  PÁGINAS A4 ")</f>
        <v>IMPRESSORA MONOCROMÁTICO –  PÁGINAS A4 </v>
      </c>
      <c r="B170" s="11" t="str">
        <f>IFERROR(__xludf.DUMMYFUNCTION("""COMPUTED_VALUE"""),"IMPRESSORA POLICROMÁTICO  –  PÁGINAS – A4 ")</f>
        <v>IMPRESSORA POLICROMÁTICO  –  PÁGINAS – A4 </v>
      </c>
      <c r="C170" s="11" t="str">
        <f>IFERROR(__xludf.DUMMYFUNCTION("""COMPUTED_VALUE"""),"IMPRESSORA POLICROMÁTICO/ MONOCROMATICA  –  PÁGINAS – A3")</f>
        <v>IMPRESSORA POLICROMÁTICO/ MONOCROMATICA  –  PÁGINAS – A3</v>
      </c>
    </row>
    <row r="171">
      <c r="A171" s="11" t="str">
        <f>IFERROR(__xludf.DUMMYFUNCTION("TRANSPOSE(FILTER(ITENS!$D:$D, ITENS!$A:$A = SERVICOS!$A172))"),"IMPRESSORA MONOCROMÁTICO –  PÁGINAS A4 ")</f>
        <v>IMPRESSORA MONOCROMÁTICO –  PÁGINAS A4 </v>
      </c>
      <c r="B171" s="11" t="str">
        <f>IFERROR(__xludf.DUMMYFUNCTION("""COMPUTED_VALUE"""),"IMPRESSORA POLICROMÁTICO  –  PÁGINAS – A4 ")</f>
        <v>IMPRESSORA POLICROMÁTICO  –  PÁGINAS – A4 </v>
      </c>
      <c r="C171" s="11" t="str">
        <f>IFERROR(__xludf.DUMMYFUNCTION("""COMPUTED_VALUE"""),"IMPRESSORA POLICROMÁTICO/ MONOCROMATICA  –  PÁGINAS – A3")</f>
        <v>IMPRESSORA POLICROMÁTICO/ MONOCROMATICA  –  PÁGINAS – A3</v>
      </c>
    </row>
    <row r="172">
      <c r="A172" s="11" t="str">
        <f>IFERROR(__xludf.DUMMYFUNCTION("TRANSPOSE(FILTER(ITENS!$D:$D, ITENS!$A:$A = SERVICOS!$A173))"),"IMPRESSORA MONOCROMÁTICO –  PÁGINAS A4 ")</f>
        <v>IMPRESSORA MONOCROMÁTICO –  PÁGINAS A4 </v>
      </c>
      <c r="B172" s="11" t="str">
        <f>IFERROR(__xludf.DUMMYFUNCTION("""COMPUTED_VALUE"""),"IMPRESSORA POLICROMÁTICO  –  PÁGINAS – A4 ")</f>
        <v>IMPRESSORA POLICROMÁTICO  –  PÁGINAS – A4 </v>
      </c>
      <c r="C172" s="11" t="str">
        <f>IFERROR(__xludf.DUMMYFUNCTION("""COMPUTED_VALUE"""),"IMPRESSORA POLICROMÁTICO/ MONOCROMATICA  –  PÁGINAS – A3")</f>
        <v>IMPRESSORA POLICROMÁTICO/ MONOCROMATICA  –  PÁGINAS – A3</v>
      </c>
    </row>
    <row r="173">
      <c r="A173" s="11" t="str">
        <f>IFERROR(__xludf.DUMMYFUNCTION("TRANSPOSE(FILTER(ITENS!$D:$D, ITENS!$A:$A = SERVICOS!$A174))"),"IMPRESSORA MONOCROMÁTICO –  PÁGINAS A4 ")</f>
        <v>IMPRESSORA MONOCROMÁTICO –  PÁGINAS A4 </v>
      </c>
      <c r="B173" s="11" t="str">
        <f>IFERROR(__xludf.DUMMYFUNCTION("""COMPUTED_VALUE"""),"IMPRESSORA POLICROMÁTICO  –  PÁGINAS – A4 ")</f>
        <v>IMPRESSORA POLICROMÁTICO  –  PÁGINAS – A4 </v>
      </c>
      <c r="C173" s="11" t="str">
        <f>IFERROR(__xludf.DUMMYFUNCTION("""COMPUTED_VALUE"""),"IMPRESSORA POLICROMÁTICO/ MONOCROMATICA  –  PÁGINAS – A3")</f>
        <v>IMPRESSORA POLICROMÁTICO/ MONOCROMATICA  –  PÁGINAS – A3</v>
      </c>
    </row>
    <row r="174">
      <c r="A174" s="11" t="str">
        <f>IFERROR(__xludf.DUMMYFUNCTION("TRANSPOSE(FILTER(ITENS!$D:$D, ITENS!$A:$A = SERVICOS!$A175))"),"IMPRESSORA MONOCROMÁTICO –  PÁGINAS A4 ")</f>
        <v>IMPRESSORA MONOCROMÁTICO –  PÁGINAS A4 </v>
      </c>
      <c r="B174" s="11" t="str">
        <f>IFERROR(__xludf.DUMMYFUNCTION("""COMPUTED_VALUE"""),"IMPRESSORA POLICROMÁTICO  –  PÁGINAS – A4 ")</f>
        <v>IMPRESSORA POLICROMÁTICO  –  PÁGINAS – A4 </v>
      </c>
      <c r="C174" s="11" t="str">
        <f>IFERROR(__xludf.DUMMYFUNCTION("""COMPUTED_VALUE"""),"IMPRESSORA POLICROMÁTICO/ MONOCROMATICA  –  PÁGINAS – A3")</f>
        <v>IMPRESSORA POLICROMÁTICO/ MONOCROMATICA  –  PÁGINAS – A3</v>
      </c>
    </row>
    <row r="175">
      <c r="A175" s="11" t="str">
        <f>IFERROR(__xludf.DUMMYFUNCTION("TRANSPOSE(FILTER(ITENS!$D:$D, ITENS!$A:$A = SERVICOS!$A176))"),"IMPRESSORA MONOCROMÁTICO –  PÁGINAS A4 ")</f>
        <v>IMPRESSORA MONOCROMÁTICO –  PÁGINAS A4 </v>
      </c>
      <c r="B175" s="11" t="str">
        <f>IFERROR(__xludf.DUMMYFUNCTION("""COMPUTED_VALUE"""),"IMPRESSORA POLICROMÁTICO  –  PÁGINAS – A4 ")</f>
        <v>IMPRESSORA POLICROMÁTICO  –  PÁGINAS – A4 </v>
      </c>
      <c r="C175" s="11" t="str">
        <f>IFERROR(__xludf.DUMMYFUNCTION("""COMPUTED_VALUE"""),"IMPRESSORA POLICROMÁTICO/ MONOCROMATICA  –  PÁGINAS – A3")</f>
        <v>IMPRESSORA POLICROMÁTICO/ MONOCROMATICA  –  PÁGINAS – A3</v>
      </c>
    </row>
    <row r="176">
      <c r="A176" s="11" t="str">
        <f>IFERROR(__xludf.DUMMYFUNCTION("TRANSPOSE(FILTER(ITENS!$D:$D, ITENS!$A:$A = SERVICOS!$A177))"),"IMPRESSORA MONOCROMÁTICO –  PÁGINAS A4 ")</f>
        <v>IMPRESSORA MONOCROMÁTICO –  PÁGINAS A4 </v>
      </c>
      <c r="B176" s="11" t="str">
        <f>IFERROR(__xludf.DUMMYFUNCTION("""COMPUTED_VALUE"""),"IMPRESSORA POLICROMÁTICO  –  PÁGINAS – A4 ")</f>
        <v>IMPRESSORA POLICROMÁTICO  –  PÁGINAS – A4 </v>
      </c>
      <c r="C176" s="11" t="str">
        <f>IFERROR(__xludf.DUMMYFUNCTION("""COMPUTED_VALUE"""),"IMPRESSORA POLICROMÁTICO/ MONOCROMATICA  –  PÁGINAS – A3")</f>
        <v>IMPRESSORA POLICROMÁTICO/ MONOCROMATICA  –  PÁGINAS – A3</v>
      </c>
    </row>
    <row r="177">
      <c r="A177" s="11" t="str">
        <f>IFERROR(__xludf.DUMMYFUNCTION("TRANSPOSE(FILTER(ITENS!$D:$D, ITENS!$A:$A = SERVICOS!$A178))"),"IMPRESSORA MONOCROMÁTICO –  PÁGINAS A4 ")</f>
        <v>IMPRESSORA MONOCROMÁTICO –  PÁGINAS A4 </v>
      </c>
      <c r="B177" s="11" t="str">
        <f>IFERROR(__xludf.DUMMYFUNCTION("""COMPUTED_VALUE"""),"IMPRESSORA POLICROMÁTICO  –  PÁGINAS – A4 ")</f>
        <v>IMPRESSORA POLICROMÁTICO  –  PÁGINAS – A4 </v>
      </c>
      <c r="C177" s="11" t="str">
        <f>IFERROR(__xludf.DUMMYFUNCTION("""COMPUTED_VALUE"""),"IMPRESSORA POLICROMÁTICO/ MONOCROMATICA  –  PÁGINAS – A3")</f>
        <v>IMPRESSORA POLICROMÁTICO/ MONOCROMATICA  –  PÁGINAS – A3</v>
      </c>
    </row>
    <row r="178">
      <c r="A178" s="11" t="str">
        <f>IFERROR(__xludf.DUMMYFUNCTION("TRANSPOSE(FILTER(ITENS!$D:$D, ITENS!$A:$A = SERVICOS!$A179))"),"IMPRESSORA MONOCROMÁTICO –  PÁGINAS A4 ")</f>
        <v>IMPRESSORA MONOCROMÁTICO –  PÁGINAS A4 </v>
      </c>
      <c r="B178" s="11" t="str">
        <f>IFERROR(__xludf.DUMMYFUNCTION("""COMPUTED_VALUE"""),"IMPRESSORA POLICROMÁTICO  –  PÁGINAS – A4 ")</f>
        <v>IMPRESSORA POLICROMÁTICO  –  PÁGINAS – A4 </v>
      </c>
      <c r="C178" s="11" t="str">
        <f>IFERROR(__xludf.DUMMYFUNCTION("""COMPUTED_VALUE"""),"IMPRESSORA POLICROMÁTICO/ MONOCROMATICA  –  PÁGINAS – A3")</f>
        <v>IMPRESSORA POLICROMÁTICO/ MONOCROMATICA  –  PÁGINAS – A3</v>
      </c>
    </row>
    <row r="179">
      <c r="A179" s="11" t="str">
        <f>IFERROR(__xludf.DUMMYFUNCTION("TRANSPOSE(FILTER(ITENS!$D:$D, ITENS!$A:$A = SERVICOS!$A180))"),"IMPRESSORA MONOCROMÁTICO –  PÁGINAS A4 ")</f>
        <v>IMPRESSORA MONOCROMÁTICO –  PÁGINAS A4 </v>
      </c>
      <c r="B179" s="11" t="str">
        <f>IFERROR(__xludf.DUMMYFUNCTION("""COMPUTED_VALUE"""),"IMPRESSORA POLICROMÁTICO  –  PÁGINAS – A4 ")</f>
        <v>IMPRESSORA POLICROMÁTICO  –  PÁGINAS – A4 </v>
      </c>
      <c r="C179" s="11" t="str">
        <f>IFERROR(__xludf.DUMMYFUNCTION("""COMPUTED_VALUE"""),"IMPRESSORA POLICROMÁTICO/ MONOCROMATICA  –  PÁGINAS – A3")</f>
        <v>IMPRESSORA POLICROMÁTICO/ MONOCROMATICA  –  PÁGINAS – A3</v>
      </c>
    </row>
    <row r="180">
      <c r="A180" s="11" t="str">
        <f>IFERROR(__xludf.DUMMYFUNCTION("TRANSPOSE(FILTER(ITENS!$D:$D, ITENS!$A:$A = SERVICOS!$A181))"),"IMPRESSORA MONOCROMÁTICO –  PÁGINAS A4 ")</f>
        <v>IMPRESSORA MONOCROMÁTICO –  PÁGINAS A4 </v>
      </c>
      <c r="B180" s="11" t="str">
        <f>IFERROR(__xludf.DUMMYFUNCTION("""COMPUTED_VALUE"""),"IMPRESSORA POLICROMÁTICO  –  PÁGINAS – A4 ")</f>
        <v>IMPRESSORA POLICROMÁTICO  –  PÁGINAS – A4 </v>
      </c>
      <c r="C180" s="11" t="str">
        <f>IFERROR(__xludf.DUMMYFUNCTION("""COMPUTED_VALUE"""),"IMPRESSORA POLICROMÁTICO/ MONOCROMATICA  –  PÁGINAS – A3")</f>
        <v>IMPRESSORA POLICROMÁTICO/ MONOCROMATICA  –  PÁGINAS – A3</v>
      </c>
    </row>
    <row r="181">
      <c r="A181" s="11" t="str">
        <f>IFERROR(__xludf.DUMMYFUNCTION("TRANSPOSE(FILTER(ITENS!$D:$D, ITENS!$A:$A = SERVICOS!$A182))"),"#N/A")</f>
        <v>#N/A</v>
      </c>
    </row>
    <row r="182">
      <c r="A182" s="11" t="str">
        <f>IFERROR(__xludf.DUMMYFUNCTION("TRANSPOSE(FILTER(ITENS!$D:$D, ITENS!$A:$A = SERVICOS!$A183))"),"#N/A")</f>
        <v>#N/A</v>
      </c>
    </row>
    <row r="183">
      <c r="A183" s="11" t="str">
        <f>IFERROR(__xludf.DUMMYFUNCTION("TRANSPOSE(FILTER(ITENS!$D:$D, ITENS!$A:$A = SERVICOS!$A184))"),"#N/A")</f>
        <v>#N/A</v>
      </c>
    </row>
    <row r="184">
      <c r="A184" s="11" t="str">
        <f>IFERROR(__xludf.DUMMYFUNCTION("TRANSPOSE(FILTER(ITENS!$D:$D, ITENS!$A:$A = SERVICOS!$A185))"),"#N/A")</f>
        <v>#N/A</v>
      </c>
    </row>
    <row r="185">
      <c r="A185" s="11" t="str">
        <f>IFERROR(__xludf.DUMMYFUNCTION("TRANSPOSE(FILTER(ITENS!$D:$D, ITENS!$A:$A = SERVICOS!$A186))"),"#N/A")</f>
        <v>#N/A</v>
      </c>
    </row>
    <row r="186">
      <c r="A186" s="11" t="str">
        <f>IFERROR(__xludf.DUMMYFUNCTION("TRANSPOSE(FILTER(ITENS!$D:$D, ITENS!$A:$A = SERVICOS!$A187))"),"#N/A")</f>
        <v>#N/A</v>
      </c>
    </row>
    <row r="187">
      <c r="A187" s="11" t="str">
        <f>IFERROR(__xludf.DUMMYFUNCTION("TRANSPOSE(FILTER(ITENS!$D:$D, ITENS!$A:$A = SERVICOS!$A188))"),"#N/A")</f>
        <v>#N/A</v>
      </c>
    </row>
    <row r="188">
      <c r="A188" s="11" t="str">
        <f>IFERROR(__xludf.DUMMYFUNCTION("TRANSPOSE(FILTER(ITENS!$D:$D, ITENS!$A:$A = SERVICOS!$A189))"),"#N/A")</f>
        <v>#N/A</v>
      </c>
    </row>
    <row r="189">
      <c r="A189" s="11" t="str">
        <f>IFERROR(__xludf.DUMMYFUNCTION("TRANSPOSE(FILTER(ITENS!$D:$D, ITENS!$A:$A = SERVICOS!$A190))"),"IMPRESSORA MONOCROMÁTICO –  PÁGINAS A4 ")</f>
        <v>IMPRESSORA MONOCROMÁTICO –  PÁGINAS A4 </v>
      </c>
      <c r="B189" s="11" t="str">
        <f>IFERROR(__xludf.DUMMYFUNCTION("""COMPUTED_VALUE"""),"IMPRESSORA POLICROMÁTICO  –  PÁGINAS – A4 ")</f>
        <v>IMPRESSORA POLICROMÁTICO  –  PÁGINAS – A4 </v>
      </c>
    </row>
    <row r="190">
      <c r="A190" s="11" t="str">
        <f>IFERROR(__xludf.DUMMYFUNCTION("TRANSPOSE(FILTER(ITENS!$D:$D, ITENS!$A:$A = SERVICOS!$A191))"),"IMPRESSORA MONOCROMÁTICO –  PÁGINAS A4 ")</f>
        <v>IMPRESSORA MONOCROMÁTICO –  PÁGINAS A4 </v>
      </c>
      <c r="B190" s="11" t="str">
        <f>IFERROR(__xludf.DUMMYFUNCTION("""COMPUTED_VALUE"""),"IMPRESSORA POLICROMÁTICO  –  PÁGINAS – A4 ")</f>
        <v>IMPRESSORA POLICROMÁTICO  –  PÁGINAS – A4 </v>
      </c>
    </row>
    <row r="191">
      <c r="A191" s="11" t="str">
        <f>IFERROR(__xludf.DUMMYFUNCTION("TRANSPOSE(FILTER(ITENS!$D:$D, ITENS!$A:$A = SERVICOS!$A192))"),"IMPRESSORA MONOCROMÁTICO –  PÁGINAS A4 ")</f>
        <v>IMPRESSORA MONOCROMÁTICO –  PÁGINAS A4 </v>
      </c>
      <c r="B191" s="11" t="str">
        <f>IFERROR(__xludf.DUMMYFUNCTION("""COMPUTED_VALUE"""),"IMPRESSORA POLICROMÁTICO  –  PÁGINAS – A4 ")</f>
        <v>IMPRESSORA POLICROMÁTICO  –  PÁGINAS – A4 </v>
      </c>
    </row>
    <row r="192">
      <c r="A192" s="11" t="str">
        <f>IFERROR(__xludf.DUMMYFUNCTION("TRANSPOSE(FILTER(ITENS!$D:$D, ITENS!$A:$A = SERVICOS!$A193))"),"IMPRESSORA MONOCROMÁTICO –  PÁGINAS A4 ")</f>
        <v>IMPRESSORA MONOCROMÁTICO –  PÁGINAS A4 </v>
      </c>
      <c r="B192" s="11" t="str">
        <f>IFERROR(__xludf.DUMMYFUNCTION("""COMPUTED_VALUE"""),"IMPRESSORA POLICROMÁTICO  –  PÁGINAS – A4 ")</f>
        <v>IMPRESSORA POLICROMÁTICO  –  PÁGINAS – A4 </v>
      </c>
    </row>
    <row r="193">
      <c r="A193" s="11" t="str">
        <f>IFERROR(__xludf.DUMMYFUNCTION("TRANSPOSE(FILTER(ITENS!$D:$D, ITENS!$A:$A = SERVICOS!$A194))"),"IMPRESSORA MONOCROMÁTICO –  PÁGINAS A4 ")</f>
        <v>IMPRESSORA MONOCROMÁTICO –  PÁGINAS A4 </v>
      </c>
      <c r="B193" s="11" t="str">
        <f>IFERROR(__xludf.DUMMYFUNCTION("""COMPUTED_VALUE"""),"IMPRESSORA POLICROMÁTICO  –  PÁGINAS – A4 ")</f>
        <v>IMPRESSORA POLICROMÁTICO  –  PÁGINAS – A4 </v>
      </c>
    </row>
    <row r="194">
      <c r="A194" s="11" t="str">
        <f>IFERROR(__xludf.DUMMYFUNCTION("TRANSPOSE(FILTER(ITENS!$D:$D, ITENS!$A:$A = SERVICOS!$A195))"),"IMPRESSORA MONOCROMÁTICO –  PÁGINAS A4 ")</f>
        <v>IMPRESSORA MONOCROMÁTICO –  PÁGINAS A4 </v>
      </c>
      <c r="B194" s="11" t="str">
        <f>IFERROR(__xludf.DUMMYFUNCTION("""COMPUTED_VALUE"""),"IMPRESSORA POLICROMÁTICO  –  PÁGINAS – A4 ")</f>
        <v>IMPRESSORA POLICROMÁTICO  –  PÁGINAS – A4 </v>
      </c>
    </row>
    <row r="195">
      <c r="A195" s="11" t="str">
        <f>IFERROR(__xludf.DUMMYFUNCTION("TRANSPOSE(FILTER(ITENS!$D:$D, ITENS!$A:$A = SERVICOS!$A196))"),"#N/A")</f>
        <v>#N/A</v>
      </c>
    </row>
    <row r="196">
      <c r="A196" s="11" t="str">
        <f>IFERROR(__xludf.DUMMYFUNCTION("TRANSPOSE(FILTER(ITENS!$D:$D, ITENS!$A:$A = SERVICOS!$A197))"),"#N/A")</f>
        <v>#N/A</v>
      </c>
    </row>
    <row r="197">
      <c r="A197" s="11" t="str">
        <f>IFERROR(__xludf.DUMMYFUNCTION("TRANSPOSE(FILTER(ITENS!$D:$D, ITENS!$A:$A = SERVICOS!$A198))"),"#N/A")</f>
        <v>#N/A</v>
      </c>
    </row>
    <row r="198">
      <c r="A198" s="11" t="str">
        <f>IFERROR(__xludf.DUMMYFUNCTION("TRANSPOSE(FILTER(ITENS!$D:$D, ITENS!$A:$A = SERVICOS!$A199))"),"#N/A")</f>
        <v>#N/A</v>
      </c>
    </row>
    <row r="199">
      <c r="A199" s="11" t="str">
        <f>IFERROR(__xludf.DUMMYFUNCTION("TRANSPOSE(FILTER(ITENS!$D:$D, ITENS!$A:$A = SERVICOS!$A200))"),"IMPRESSORA MONOCROMÁTICO –  PÁGINAS A4 ")</f>
        <v>IMPRESSORA MONOCROMÁTICO –  PÁGINAS A4 </v>
      </c>
      <c r="B199" s="11" t="str">
        <f>IFERROR(__xludf.DUMMYFUNCTION("""COMPUTED_VALUE"""),"IMPRESSORA POLICROMÁTICO  –  PÁGINAS – A4 ")</f>
        <v>IMPRESSORA POLICROMÁTICO  –  PÁGINAS – A4 </v>
      </c>
      <c r="C199" s="11" t="str">
        <f>IFERROR(__xludf.DUMMYFUNCTION("""COMPUTED_VALUE"""),"IMPRESSORA POLICROMÁTICO  –  PÁGINAS – A4 ")</f>
        <v>IMPRESSORA POLICROMÁTICO  –  PÁGINAS – A4 </v>
      </c>
    </row>
    <row r="200">
      <c r="A200" s="11" t="str">
        <f>IFERROR(__xludf.DUMMYFUNCTION("TRANSPOSE(FILTER(ITENS!$D:$D, ITENS!$A:$A = SERVICOS!$A201))"),"IMPRESSORA MONOCROMÁTICO –  PÁGINAS A4 ")</f>
        <v>IMPRESSORA MONOCROMÁTICO –  PÁGINAS A4 </v>
      </c>
      <c r="B200" s="11" t="str">
        <f>IFERROR(__xludf.DUMMYFUNCTION("""COMPUTED_VALUE"""),"IMPRESSORA POLICROMÁTICO  –  PÁGINAS – A4 ")</f>
        <v>IMPRESSORA POLICROMÁTICO  –  PÁGINAS – A4 </v>
      </c>
      <c r="C200" s="11" t="str">
        <f>IFERROR(__xludf.DUMMYFUNCTION("""COMPUTED_VALUE"""),"IMPRESSORA POLICROMÁTICO  –  PÁGINAS – A4 ")</f>
        <v>IMPRESSORA POLICROMÁTICO  –  PÁGINAS – A4 </v>
      </c>
    </row>
    <row r="201">
      <c r="A201" s="11" t="str">
        <f>IFERROR(__xludf.DUMMYFUNCTION("TRANSPOSE(FILTER(ITENS!$D:$D, ITENS!$A:$A = SERVICOS!$A202))"),"IMPRESSORA MONOCROMÁTICO –  PÁGINAS A4 ")</f>
        <v>IMPRESSORA MONOCROMÁTICO –  PÁGINAS A4 </v>
      </c>
      <c r="B201" s="11" t="str">
        <f>IFERROR(__xludf.DUMMYFUNCTION("""COMPUTED_VALUE"""),"IMPRESSORA POLICROMÁTICO  –  PÁGINAS – A4 ")</f>
        <v>IMPRESSORA POLICROMÁTICO  –  PÁGINAS – A4 </v>
      </c>
      <c r="C201" s="11" t="str">
        <f>IFERROR(__xludf.DUMMYFUNCTION("""COMPUTED_VALUE"""),"IMPRESSORA POLICROMÁTICO  –  PÁGINAS – A4 ")</f>
        <v>IMPRESSORA POLICROMÁTICO  –  PÁGINAS – A4 </v>
      </c>
    </row>
    <row r="202">
      <c r="A202" s="11" t="str">
        <f>IFERROR(__xludf.DUMMYFUNCTION("TRANSPOSE(FILTER(ITENS!$D:$D, ITENS!$A:$A = SERVICOS!$A203))"),"IMPRESSORA MONOCROMÁTICO –  PÁGINAS A4 ")</f>
        <v>IMPRESSORA MONOCROMÁTICO –  PÁGINAS A4 </v>
      </c>
      <c r="B202" s="11" t="str">
        <f>IFERROR(__xludf.DUMMYFUNCTION("""COMPUTED_VALUE"""),"IMPRESSORA POLICROMÁTICO  –  PÁGINAS – A4 ")</f>
        <v>IMPRESSORA POLICROMÁTICO  –  PÁGINAS – A4 </v>
      </c>
      <c r="C202" s="11" t="str">
        <f>IFERROR(__xludf.DUMMYFUNCTION("""COMPUTED_VALUE"""),"IMPRESSORA POLICROMÁTICO  –  PÁGINAS – A4 ")</f>
        <v>IMPRESSORA POLICROMÁTICO  –  PÁGINAS – A4 </v>
      </c>
    </row>
    <row r="203">
      <c r="A203" s="11" t="str">
        <f>IFERROR(__xludf.DUMMYFUNCTION("TRANSPOSE(FILTER(ITENS!$D:$D, ITENS!$A:$A = SERVICOS!$A204))"),"IMPRESSORA MONOCROMÁTICO –  PÁGINAS A4 ")</f>
        <v>IMPRESSORA MONOCROMÁTICO –  PÁGINAS A4 </v>
      </c>
      <c r="B203" s="11" t="str">
        <f>IFERROR(__xludf.DUMMYFUNCTION("""COMPUTED_VALUE"""),"IMPRESSORA POLICROMÁTICO  –  PÁGINAS – A4 ")</f>
        <v>IMPRESSORA POLICROMÁTICO  –  PÁGINAS – A4 </v>
      </c>
      <c r="C203" s="11" t="str">
        <f>IFERROR(__xludf.DUMMYFUNCTION("""COMPUTED_VALUE"""),"IMPRESSORA POLICROMÁTICO  –  PÁGINAS – A4 ")</f>
        <v>IMPRESSORA POLICROMÁTICO  –  PÁGINAS – A4 </v>
      </c>
    </row>
    <row r="204">
      <c r="A204" s="11" t="str">
        <f>IFERROR(__xludf.DUMMYFUNCTION("TRANSPOSE(FILTER(ITENS!$D:$D, ITENS!$A:$A = SERVICOS!$A205))"),"IMPRESSORA MONOCROMÁTICO –  PÁGINAS A4 ")</f>
        <v>IMPRESSORA MONOCROMÁTICO –  PÁGINAS A4 </v>
      </c>
      <c r="B204" s="11" t="str">
        <f>IFERROR(__xludf.DUMMYFUNCTION("""COMPUTED_VALUE"""),"IMPRESSORA POLICROMÁTICO  –  PÁGINAS – A4 ")</f>
        <v>IMPRESSORA POLICROMÁTICO  –  PÁGINAS – A4 </v>
      </c>
      <c r="C204" s="11" t="str">
        <f>IFERROR(__xludf.DUMMYFUNCTION("""COMPUTED_VALUE"""),"IMPRESSORA POLICROMÁTICO  –  PÁGINAS – A4 ")</f>
        <v>IMPRESSORA POLICROMÁTICO  –  PÁGINAS – A4 </v>
      </c>
    </row>
    <row r="205">
      <c r="A205" s="11" t="str">
        <f>IFERROR(__xludf.DUMMYFUNCTION("TRANSPOSE(FILTER(ITENS!$D:$D, ITENS!$A:$A = SERVICOS!$A206))"),"IMPRESSORA MONOCROMÁTICO –  PÁGINAS A4 ")</f>
        <v>IMPRESSORA MONOCROMÁTICO –  PÁGINAS A4 </v>
      </c>
      <c r="B205" s="11" t="str">
        <f>IFERROR(__xludf.DUMMYFUNCTION("""COMPUTED_VALUE"""),"IMPRESSORA POLICROMÁTICO  –  PÁGINAS – A4 ")</f>
        <v>IMPRESSORA POLICROMÁTICO  –  PÁGINAS – A4 </v>
      </c>
      <c r="C205" s="11" t="str">
        <f>IFERROR(__xludf.DUMMYFUNCTION("""COMPUTED_VALUE"""),"IMPRESSORA POLICROMÁTICO  –  PÁGINAS – A4 ")</f>
        <v>IMPRESSORA POLICROMÁTICO  –  PÁGINAS – A4 </v>
      </c>
    </row>
    <row r="206">
      <c r="A206" s="11" t="str">
        <f>IFERROR(__xludf.DUMMYFUNCTION("TRANSPOSE(FILTER(ITENS!$D:$D, ITENS!$A:$A = SERVICOS!$A207))"),"IMPRESSORA MONOCROMÁTICO –  PÁGINAS A4 ")</f>
        <v>IMPRESSORA MONOCROMÁTICO –  PÁGINAS A4 </v>
      </c>
      <c r="B206" s="11" t="str">
        <f>IFERROR(__xludf.DUMMYFUNCTION("""COMPUTED_VALUE"""),"IMPRESSORA POLICROMÁTICO  –  PÁGINAS – A4 ")</f>
        <v>IMPRESSORA POLICROMÁTICO  –  PÁGINAS – A4 </v>
      </c>
      <c r="C206" s="11" t="str">
        <f>IFERROR(__xludf.DUMMYFUNCTION("""COMPUTED_VALUE"""),"IMPRESSORA POLICROMÁTICO  –  PÁGINAS – A4 ")</f>
        <v>IMPRESSORA POLICROMÁTICO  –  PÁGINAS – A4 </v>
      </c>
    </row>
    <row r="207">
      <c r="A207" s="11" t="str">
        <f>IFERROR(__xludf.DUMMYFUNCTION("TRANSPOSE(FILTER(ITENS!$D:$D, ITENS!$A:$A = SERVICOS!$A208))"),"IMPRESSORA MONOCROMÁTICO –  PÁGINAS A4 ")</f>
        <v>IMPRESSORA MONOCROMÁTICO –  PÁGINAS A4 </v>
      </c>
      <c r="B207" s="11" t="str">
        <f>IFERROR(__xludf.DUMMYFUNCTION("""COMPUTED_VALUE"""),"IMPRESSORA POLICROMÁTICO  –  PÁGINAS – A4 ")</f>
        <v>IMPRESSORA POLICROMÁTICO  –  PÁGINAS – A4 </v>
      </c>
      <c r="C207" s="11" t="str">
        <f>IFERROR(__xludf.DUMMYFUNCTION("""COMPUTED_VALUE"""),"IMPRESSORA POLICROMÁTICO  –  PÁGINAS – A4 ")</f>
        <v>IMPRESSORA POLICROMÁTICO  –  PÁGINAS – A4 </v>
      </c>
    </row>
    <row r="208">
      <c r="A208" s="11" t="str">
        <f>IFERROR(__xludf.DUMMYFUNCTION("TRANSPOSE(FILTER(ITENS!$D:$D, ITENS!$A:$A = SERVICOS!$A209))"),"IMPRESSORA MONOCROMÁTICO –  PÁGINAS A4 ")</f>
        <v>IMPRESSORA MONOCROMÁTICO –  PÁGINAS A4 </v>
      </c>
      <c r="B208" s="11" t="str">
        <f>IFERROR(__xludf.DUMMYFUNCTION("""COMPUTED_VALUE"""),"IMPRESSORA POLICROMÁTICO  –  PÁGINAS – A4 ")</f>
        <v>IMPRESSORA POLICROMÁTICO  –  PÁGINAS – A4 </v>
      </c>
      <c r="C208" s="11" t="str">
        <f>IFERROR(__xludf.DUMMYFUNCTION("""COMPUTED_VALUE"""),"IMPRESSORA POLICROMÁTICO  –  PÁGINAS – A4 ")</f>
        <v>IMPRESSORA POLICROMÁTICO  –  PÁGINAS – A4 </v>
      </c>
    </row>
    <row r="209">
      <c r="A209" s="11" t="str">
        <f>IFERROR(__xludf.DUMMYFUNCTION("TRANSPOSE(FILTER(ITENS!$D:$D, ITENS!$A:$A = SERVICOS!$A210))"),"IMPRESSORA MONOCROMÁTICO –  PÁGINAS A4 ")</f>
        <v>IMPRESSORA MONOCROMÁTICO –  PÁGINAS A4 </v>
      </c>
      <c r="B209" s="11" t="str">
        <f>IFERROR(__xludf.DUMMYFUNCTION("""COMPUTED_VALUE"""),"IMPRESSORA POLICROMÁTICO  –  PÁGINAS – A4 ")</f>
        <v>IMPRESSORA POLICROMÁTICO  –  PÁGINAS – A4 </v>
      </c>
      <c r="C209" s="11" t="str">
        <f>IFERROR(__xludf.DUMMYFUNCTION("""COMPUTED_VALUE"""),"IMPRESSORA POLICROMÁTICO  –  PÁGINAS – A4 ")</f>
        <v>IMPRESSORA POLICROMÁTICO  –  PÁGINAS – A4 </v>
      </c>
    </row>
    <row r="210">
      <c r="A210" s="11" t="str">
        <f>IFERROR(__xludf.DUMMYFUNCTION("TRANSPOSE(FILTER(ITENS!$D:$D, ITENS!$A:$A = SERVICOS!$A211))"),"IMPRESSORA MONOCROMÁTICO –  PÁGINAS A4 ")</f>
        <v>IMPRESSORA MONOCROMÁTICO –  PÁGINAS A4 </v>
      </c>
      <c r="B210" s="11" t="str">
        <f>IFERROR(__xludf.DUMMYFUNCTION("""COMPUTED_VALUE"""),"IMPRESSORA POLICROMÁTICO  –  PÁGINAS – A4 ")</f>
        <v>IMPRESSORA POLICROMÁTICO  –  PÁGINAS – A4 </v>
      </c>
      <c r="C210" s="11" t="str">
        <f>IFERROR(__xludf.DUMMYFUNCTION("""COMPUTED_VALUE"""),"IMPRESSORA POLICROMÁTICO  –  PÁGINAS – A4 ")</f>
        <v>IMPRESSORA POLICROMÁTICO  –  PÁGINAS – A4 </v>
      </c>
    </row>
    <row r="211">
      <c r="A211" s="11" t="str">
        <f>IFERROR(__xludf.DUMMYFUNCTION("TRANSPOSE(FILTER(ITENS!$D:$D, ITENS!$A:$A = SERVICOS!$A212))"),"IMPRESSORA MONOCROMÁTICO –  PÁGINAS A4 ")</f>
        <v>IMPRESSORA MONOCROMÁTICO –  PÁGINAS A4 </v>
      </c>
      <c r="B211" s="11" t="str">
        <f>IFERROR(__xludf.DUMMYFUNCTION("""COMPUTED_VALUE"""),"IMPRESSORA POLICROMÁTICO  –  PÁGINAS – A4 ")</f>
        <v>IMPRESSORA POLICROMÁTICO  –  PÁGINAS – A4 </v>
      </c>
    </row>
    <row r="212">
      <c r="A212" s="11" t="str">
        <f>IFERROR(__xludf.DUMMYFUNCTION("TRANSPOSE(FILTER(ITENS!$D:$D, ITENS!$A:$A = SERVICOS!$A213))"),"IMPRESSORA MONOCROMÁTICO –  PÁGINAS A4 ")</f>
        <v>IMPRESSORA MONOCROMÁTICO –  PÁGINAS A4 </v>
      </c>
      <c r="B212" s="11" t="str">
        <f>IFERROR(__xludf.DUMMYFUNCTION("""COMPUTED_VALUE"""),"IMPRESSORA POLICROMÁTICO  –  PÁGINAS – A4 ")</f>
        <v>IMPRESSORA POLICROMÁTICO  –  PÁGINAS – A4 </v>
      </c>
    </row>
    <row r="213">
      <c r="A213" s="11" t="str">
        <f>IFERROR(__xludf.DUMMYFUNCTION("TRANSPOSE(FILTER(ITENS!$D:$D, ITENS!$A:$A = SERVICOS!$A214))"),"IMPRESSORA MONOCROMÁTICO –  PÁGINAS A4 ")</f>
        <v>IMPRESSORA MONOCROMÁTICO –  PÁGINAS A4 </v>
      </c>
      <c r="B213" s="11" t="str">
        <f>IFERROR(__xludf.DUMMYFUNCTION("""COMPUTED_VALUE"""),"IMPRESSORA POLICROMÁTICO  –  PÁGINAS – A4 ")</f>
        <v>IMPRESSORA POLICROMÁTICO  –  PÁGINAS – A4 </v>
      </c>
    </row>
    <row r="214">
      <c r="A214" s="11" t="str">
        <f>IFERROR(__xludf.DUMMYFUNCTION("TRANSPOSE(FILTER(ITENS!$D:$D, ITENS!$A:$A = SERVICOS!$A215))"),"IMPRESSORA MONOCROMÁTICO –  PÁGINAS A4 ")</f>
        <v>IMPRESSORA MONOCROMÁTICO –  PÁGINAS A4 </v>
      </c>
      <c r="B214" s="11" t="str">
        <f>IFERROR(__xludf.DUMMYFUNCTION("""COMPUTED_VALUE"""),"IMPRESSORA POLICROMÁTICO  –  PÁGINAS – A4 ")</f>
        <v>IMPRESSORA POLICROMÁTICO  –  PÁGINAS – A4 </v>
      </c>
    </row>
    <row r="215">
      <c r="A215" s="11" t="str">
        <f>IFERROR(__xludf.DUMMYFUNCTION("TRANSPOSE(FILTER(ITENS!$D:$D, ITENS!$A:$A = SERVICOS!$A216))"),"IMPRESSORA MONOCROMÁTICO –  PÁGINAS A4 ")</f>
        <v>IMPRESSORA MONOCROMÁTICO –  PÁGINAS A4 </v>
      </c>
      <c r="B215" s="11" t="str">
        <f>IFERROR(__xludf.DUMMYFUNCTION("""COMPUTED_VALUE"""),"IMPRESSORA POLICROMÁTICO  –  PÁGINAS – A4 ")</f>
        <v>IMPRESSORA POLICROMÁTICO  –  PÁGINAS – A4 </v>
      </c>
    </row>
    <row r="216">
      <c r="A216" s="11" t="str">
        <f>IFERROR(__xludf.DUMMYFUNCTION("TRANSPOSE(FILTER(ITENS!$D:$D, ITENS!$A:$A = SERVICOS!$A217))"),"IMPRESSORA MONOCROMÁTICO –  PÁGINAS A4 ")</f>
        <v>IMPRESSORA MONOCROMÁTICO –  PÁGINAS A4 </v>
      </c>
      <c r="B216" s="11" t="str">
        <f>IFERROR(__xludf.DUMMYFUNCTION("""COMPUTED_VALUE"""),"IMPRESSORA POLICROMÁTICO  –  PÁGINAS – A4 ")</f>
        <v>IMPRESSORA POLICROMÁTICO  –  PÁGINAS – A4 </v>
      </c>
    </row>
    <row r="217">
      <c r="A217" s="11" t="str">
        <f>IFERROR(__xludf.DUMMYFUNCTION("TRANSPOSE(FILTER(ITENS!$D:$D, ITENS!$A:$A = SERVICOS!$A218))"),"IMPRESSORA MONOCROMÁTICO –  PÁGINAS A4 ")</f>
        <v>IMPRESSORA MONOCROMÁTICO –  PÁGINAS A4 </v>
      </c>
      <c r="B217" s="11" t="str">
        <f>IFERROR(__xludf.DUMMYFUNCTION("""COMPUTED_VALUE"""),"IMPRESSORA POLICROMÁTICO  –  PÁGINAS – A4 ")</f>
        <v>IMPRESSORA POLICROMÁTICO  –  PÁGINAS – A4 </v>
      </c>
    </row>
    <row r="218">
      <c r="A218" s="11" t="str">
        <f>IFERROR(__xludf.DUMMYFUNCTION("TRANSPOSE(FILTER(ITENS!$D:$D, ITENS!$A:$A = SERVICOS!$A219))"),"IMPRESSORA MONOCROMÁTICO –  PÁGINAS A4 ")</f>
        <v>IMPRESSORA MONOCROMÁTICO –  PÁGINAS A4 </v>
      </c>
      <c r="B218" s="11" t="str">
        <f>IFERROR(__xludf.DUMMYFUNCTION("""COMPUTED_VALUE"""),"IMPRESSORA POLICROMÁTICO  –  PÁGINAS – A4 ")</f>
        <v>IMPRESSORA POLICROMÁTICO  –  PÁGINAS – A4 </v>
      </c>
    </row>
    <row r="219">
      <c r="A219" s="11" t="str">
        <f>IFERROR(__xludf.DUMMYFUNCTION("TRANSPOSE(FILTER(ITENS!$D:$D, ITENS!$A:$A = SERVICOS!$A220))"),"")</f>
        <v/>
      </c>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c r="A220" s="11" t="str">
        <f>IFERROR(__xludf.DUMMYFUNCTION("TRANSPOSE(FILTER(ITENS!$D:$D, ITENS!$A:$A = SERVICOS!$A221))"),"IMPRESSORA MONOCROMÁTICO –  PÁGINAS A4 ")</f>
        <v>IMPRESSORA MONOCROMÁTICO –  PÁGINAS A4 </v>
      </c>
      <c r="B220" s="11" t="str">
        <f>IFERROR(__xludf.DUMMYFUNCTION("""COMPUTED_VALUE"""),"IMPRESSORA POLICROMÁTICO  –  PÁGINAS – A4 ")</f>
        <v>IMPRESSORA POLICROMÁTICO  –  PÁGINAS – A4 </v>
      </c>
    </row>
    <row r="221">
      <c r="A221" s="11" t="str">
        <f>IFERROR(__xludf.DUMMYFUNCTION("TRANSPOSE(FILTER(ITENS!$D:$D, ITENS!$A:$A = SERVICOS!$A222))"),"IMPRESSORA MONOCROMÁTICO –  PÁGINAS A4 ")</f>
        <v>IMPRESSORA MONOCROMÁTICO –  PÁGINAS A4 </v>
      </c>
      <c r="B221" s="11" t="str">
        <f>IFERROR(__xludf.DUMMYFUNCTION("""COMPUTED_VALUE"""),"IMPRESSORA POLICROMÁTICO  –  PÁGINAS – A4 ")</f>
        <v>IMPRESSORA POLICROMÁTICO  –  PÁGINAS – A4 </v>
      </c>
    </row>
    <row r="222">
      <c r="A222" s="11" t="str">
        <f>IFERROR(__xludf.DUMMYFUNCTION("TRANSPOSE(FILTER(ITENS!$D:$D, ITENS!$A:$A = SERVICOS!$A223))"),"IMPRESSORA MONOCROMÁTICO –  PÁGINAS A4 ")</f>
        <v>IMPRESSORA MONOCROMÁTICO –  PÁGINAS A4 </v>
      </c>
      <c r="B222" s="11" t="str">
        <f>IFERROR(__xludf.DUMMYFUNCTION("""COMPUTED_VALUE"""),"IMPRESSORA POLICROMÁTICO  –  PÁGINAS – A4 ")</f>
        <v>IMPRESSORA POLICROMÁTICO  –  PÁGINAS – A4 </v>
      </c>
    </row>
    <row r="223">
      <c r="A223" s="11" t="str">
        <f>IFERROR(__xludf.DUMMYFUNCTION("TRANSPOSE(FILTER(ITENS!$D:$D, ITENS!$A:$A = SERVICOS!$A224))"),"IMPRESSORA MONOCROMÁTICO –  PÁGINAS A4 ")</f>
        <v>IMPRESSORA MONOCROMÁTICO –  PÁGINAS A4 </v>
      </c>
      <c r="B223" s="11" t="str">
        <f>IFERROR(__xludf.DUMMYFUNCTION("""COMPUTED_VALUE"""),"IMPRESSORA POLICROMÁTICO  –  PÁGINAS – A4 ")</f>
        <v>IMPRESSORA POLICROMÁTICO  –  PÁGINAS – A4 </v>
      </c>
    </row>
    <row r="224">
      <c r="A224" s="11" t="str">
        <f>IFERROR(__xludf.DUMMYFUNCTION("TRANSPOSE(FILTER(ITENS!$D:$D, ITENS!$A:$A = SERVICOS!$A225))"),"IMPRESSORA MONOCROMÁTICO –  PÁGINAS A4 ")</f>
        <v>IMPRESSORA MONOCROMÁTICO –  PÁGINAS A4 </v>
      </c>
      <c r="B224" s="11" t="str">
        <f>IFERROR(__xludf.DUMMYFUNCTION("""COMPUTED_VALUE"""),"IMPRESSORA POLICROMÁTICO  –  PÁGINAS – A4 ")</f>
        <v>IMPRESSORA POLICROMÁTICO  –  PÁGINAS – A4 </v>
      </c>
    </row>
    <row r="225">
      <c r="A225" s="11" t="str">
        <f>IFERROR(__xludf.DUMMYFUNCTION("TRANSPOSE(FILTER(ITENS!$D:$D, ITENS!$A:$A = SERVICOS!$A226))"),"IMPRESSORA MONOCROMÁTICO –  PÁGINAS A4 ")</f>
        <v>IMPRESSORA MONOCROMÁTICO –  PÁGINAS A4 </v>
      </c>
      <c r="B225" s="11" t="str">
        <f>IFERROR(__xludf.DUMMYFUNCTION("""COMPUTED_VALUE"""),"IMPRESSORA POLICROMÁTICO  –  PÁGINAS – A4 ")</f>
        <v>IMPRESSORA POLICROMÁTICO  –  PÁGINAS – A4 </v>
      </c>
    </row>
    <row r="226">
      <c r="A226" s="11" t="str">
        <f>IFERROR(__xludf.DUMMYFUNCTION("TRANSPOSE(FILTER(ITENS!$D:$D, ITENS!$A:$A = SERVICOS!$A227))"),"IMPRESSORA MONOCROMÁTICO –  PÁGINAS A4 ")</f>
        <v>IMPRESSORA MONOCROMÁTICO –  PÁGINAS A4 </v>
      </c>
      <c r="B226" s="11" t="str">
        <f>IFERROR(__xludf.DUMMYFUNCTION("""COMPUTED_VALUE"""),"IMPRESSORA POLICROMÁTICO  –  PÁGINAS – A4 ")</f>
        <v>IMPRESSORA POLICROMÁTICO  –  PÁGINAS – A4 </v>
      </c>
    </row>
    <row r="227">
      <c r="A227" s="11" t="str">
        <f>IFERROR(__xludf.DUMMYFUNCTION("TRANSPOSE(FILTER(ITENS!$D:$D, ITENS!$A:$A = SERVICOS!$A228))"),"IMPRESSORA MONOCROMÁTICO –  PÁGINAS A4 ")</f>
        <v>IMPRESSORA MONOCROMÁTICO –  PÁGINAS A4 </v>
      </c>
      <c r="B227" s="11" t="str">
        <f>IFERROR(__xludf.DUMMYFUNCTION("""COMPUTED_VALUE"""),"IMPRESSORA POLICROMÁTICO  –  PÁGINAS – A4 ")</f>
        <v>IMPRESSORA POLICROMÁTICO  –  PÁGINAS – A4 </v>
      </c>
    </row>
    <row r="228">
      <c r="A228" s="11" t="str">
        <f>IFERROR(__xludf.DUMMYFUNCTION("TRANSPOSE(FILTER(ITENS!$D:$D, ITENS!$A:$A = SERVICOS!$A229))"),"IMPRESSORA MONOCROMÁTICO –  PÁGINAS A4 ")</f>
        <v>IMPRESSORA MONOCROMÁTICO –  PÁGINAS A4 </v>
      </c>
      <c r="B228" s="11" t="str">
        <f>IFERROR(__xludf.DUMMYFUNCTION("""COMPUTED_VALUE"""),"IMPRESSORA POLICROMÁTICO  –  PÁGINAS – A4 ")</f>
        <v>IMPRESSORA POLICROMÁTICO  –  PÁGINAS – A4 </v>
      </c>
    </row>
    <row r="229">
      <c r="A229" s="11" t="str">
        <f>IFERROR(__xludf.DUMMYFUNCTION("TRANSPOSE(FILTER(ITENS!$D:$D, ITENS!$A:$A = SERVICOS!$A230))"),"IMPRESSORA MONOCROMÁTICO –  PÁGINAS A4 ")</f>
        <v>IMPRESSORA MONOCROMÁTICO –  PÁGINAS A4 </v>
      </c>
      <c r="B229" s="11" t="str">
        <f>IFERROR(__xludf.DUMMYFUNCTION("""COMPUTED_VALUE"""),"IMPRESSORA POLICROMÁTICO  –  PÁGINAS – A4 ")</f>
        <v>IMPRESSORA POLICROMÁTICO  –  PÁGINAS – A4 </v>
      </c>
    </row>
    <row r="230">
      <c r="A230" s="11" t="str">
        <f>IFERROR(__xludf.DUMMYFUNCTION("TRANSPOSE(FILTER(ITENS!$D:$D, ITENS!$A:$A = SERVICOS!$A231))"),"#N/A")</f>
        <v>#N/A</v>
      </c>
    </row>
    <row r="231">
      <c r="A231" s="11" t="str">
        <f>IFERROR(__xludf.DUMMYFUNCTION("TRANSPOSE(FILTER(ITENS!$D:$D, ITENS!$A:$A = SERVICOS!$A232))"),"#N/A")</f>
        <v>#N/A</v>
      </c>
    </row>
    <row r="232">
      <c r="A232" s="11" t="str">
        <f>IFERROR(__xludf.DUMMYFUNCTION("TRANSPOSE(FILTER(ITENS!$D:$D, ITENS!$A:$A = SERVICOS!$A233))"),"#N/A")</f>
        <v>#N/A</v>
      </c>
    </row>
    <row r="233">
      <c r="A233" s="11" t="str">
        <f>IFERROR(__xludf.DUMMYFUNCTION("TRANSPOSE(FILTER(ITENS!$D:$D, ITENS!$A:$A = SERVICOS!$A234))"),"#N/A")</f>
        <v>#N/A</v>
      </c>
    </row>
    <row r="234">
      <c r="A234" s="11" t="str">
        <f>IFERROR(__xludf.DUMMYFUNCTION("TRANSPOSE(FILTER(ITENS!$D:$D, ITENS!$A:$A = SERVICOS!$A235))"),"MICRO TIPO I")</f>
        <v>MICRO TIPO I</v>
      </c>
      <c r="B234" s="11" t="str">
        <f>IFERROR(__xludf.DUMMYFUNCTION("""COMPUTED_VALUE"""),"NOTEBOOK TIPO II")</f>
        <v>NOTEBOOK TIPO II</v>
      </c>
    </row>
    <row r="235">
      <c r="A235" s="11" t="str">
        <f>IFERROR(__xludf.DUMMYFUNCTION("TRANSPOSE(FILTER(ITENS!$D:$D, ITENS!$A:$A = SERVICOS!$A236))"),"MICRO TIPO I")</f>
        <v>MICRO TIPO I</v>
      </c>
      <c r="B235" s="11" t="str">
        <f>IFERROR(__xludf.DUMMYFUNCTION("""COMPUTED_VALUE"""),"NOTEBOOK TIPO II")</f>
        <v>NOTEBOOK TIPO II</v>
      </c>
    </row>
    <row r="236">
      <c r="A236" s="11" t="str">
        <f>IFERROR(__xludf.DUMMYFUNCTION("TRANSPOSE(FILTER(ITENS!$D:$D, ITENS!$A:$A = SERVICOS!$A237))"),"IMPRESSORA MONOCROMÁTICO –  PÁGINAS A4 ")</f>
        <v>IMPRESSORA MONOCROMÁTICO –  PÁGINAS A4 </v>
      </c>
      <c r="B236" s="11" t="str">
        <f>IFERROR(__xludf.DUMMYFUNCTION("""COMPUTED_VALUE"""),"IMPRESSORA POLICROMÁTICO  –  PÁGINAS – A4 ")</f>
        <v>IMPRESSORA POLICROMÁTICO  –  PÁGINAS – A4 </v>
      </c>
      <c r="C236" s="11" t="str">
        <f>IFERROR(__xludf.DUMMYFUNCTION("""COMPUTED_VALUE"""),"IMPRESSORA MONO - POLI–  PÁGINAS – A3 ")</f>
        <v>IMPRESSORA MONO - POLI–  PÁGINAS – A3 </v>
      </c>
    </row>
    <row r="237">
      <c r="A237" s="11" t="str">
        <f>IFERROR(__xludf.DUMMYFUNCTION("TRANSPOSE(FILTER(ITENS!$D:$D, ITENS!$A:$A = SERVICOS!$A238))"),"IMPRESSORA MONOCROMÁTICO –  PÁGINAS A4 ")</f>
        <v>IMPRESSORA MONOCROMÁTICO –  PÁGINAS A4 </v>
      </c>
      <c r="B237" s="11" t="str">
        <f>IFERROR(__xludf.DUMMYFUNCTION("""COMPUTED_VALUE"""),"IMPRESSORA POLICROMÁTICO  –  PÁGINAS – A4 ")</f>
        <v>IMPRESSORA POLICROMÁTICO  –  PÁGINAS – A4 </v>
      </c>
      <c r="C237" s="11" t="str">
        <f>IFERROR(__xludf.DUMMYFUNCTION("""COMPUTED_VALUE"""),"IMPRESSORA MONO - POLI–  PÁGINAS – A3 ")</f>
        <v>IMPRESSORA MONO - POLI–  PÁGINAS – A3 </v>
      </c>
    </row>
    <row r="238">
      <c r="A238" s="11" t="str">
        <f>IFERROR(__xludf.DUMMYFUNCTION("TRANSPOSE(FILTER(ITENS!$D:$D, ITENS!$A:$A = SERVICOS!$A239))"),"IMPRESSORA MONOCROMÁTICO –  PÁGINAS A4 ")</f>
        <v>IMPRESSORA MONOCROMÁTICO –  PÁGINAS A4 </v>
      </c>
      <c r="B238" s="11" t="str">
        <f>IFERROR(__xludf.DUMMYFUNCTION("""COMPUTED_VALUE"""),"IMPRESSORA POLICROMÁTICO  –  PÁGINAS – A4 ")</f>
        <v>IMPRESSORA POLICROMÁTICO  –  PÁGINAS – A4 </v>
      </c>
      <c r="C238" s="11" t="str">
        <f>IFERROR(__xludf.DUMMYFUNCTION("""COMPUTED_VALUE"""),"IMPRESSORA MONO - POLI–  PÁGINAS – A3 ")</f>
        <v>IMPRESSORA MONO - POLI–  PÁGINAS – A3 </v>
      </c>
    </row>
    <row r="239">
      <c r="A239" s="11" t="str">
        <f>IFERROR(__xludf.DUMMYFUNCTION("TRANSPOSE(FILTER(ITENS!$D:$D, ITENS!$A:$A = SERVICOS!$A240))"),"IMPRESSORA MONOCROMÁTICO –  PÁGINAS A4 ")</f>
        <v>IMPRESSORA MONOCROMÁTICO –  PÁGINAS A4 </v>
      </c>
      <c r="B239" s="11" t="str">
        <f>IFERROR(__xludf.DUMMYFUNCTION("""COMPUTED_VALUE"""),"IMPRESSORA POLICROMÁTICO  –  PÁGINAS – A4 ")</f>
        <v>IMPRESSORA POLICROMÁTICO  –  PÁGINAS – A4 </v>
      </c>
      <c r="C239" s="11" t="str">
        <f>IFERROR(__xludf.DUMMYFUNCTION("""COMPUTED_VALUE"""),"IMPRESSORA MONO - POLI–  PÁGINAS – A3 ")</f>
        <v>IMPRESSORA MONO - POLI–  PÁGINAS – A3 </v>
      </c>
    </row>
    <row r="240">
      <c r="A240" s="11" t="str">
        <f>IFERROR(__xludf.DUMMYFUNCTION("TRANSPOSE(FILTER(ITENS!$D:$D, ITENS!$A:$A = SERVICOS!$A241))"),"IMPRESSORA MONOCROMÁTICO –  PÁGINAS A4 ")</f>
        <v>IMPRESSORA MONOCROMÁTICO –  PÁGINAS A4 </v>
      </c>
      <c r="B240" s="11" t="str">
        <f>IFERROR(__xludf.DUMMYFUNCTION("""COMPUTED_VALUE"""),"IMPRESSORA POLICROMÁTICO  –  PÁGINAS – A4 ")</f>
        <v>IMPRESSORA POLICROMÁTICO  –  PÁGINAS – A4 </v>
      </c>
      <c r="C240" s="11" t="str">
        <f>IFERROR(__xludf.DUMMYFUNCTION("""COMPUTED_VALUE"""),"IMPRESSORA MONO - POLI–  PÁGINAS – A3 ")</f>
        <v>IMPRESSORA MONO - POLI–  PÁGINAS – A3 </v>
      </c>
    </row>
    <row r="241">
      <c r="A241" s="11" t="str">
        <f>IFERROR(__xludf.DUMMYFUNCTION("TRANSPOSE(FILTER(ITENS!$D:$D, ITENS!$A:$A = SERVICOS!$A242))"),"IMPRESSORA MONOCROMÁTICO –  PÁGINAS A4 ")</f>
        <v>IMPRESSORA MONOCROMÁTICO –  PÁGINAS A4 </v>
      </c>
      <c r="B241" s="11" t="str">
        <f>IFERROR(__xludf.DUMMYFUNCTION("""COMPUTED_VALUE"""),"IMPRESSORA POLICROMÁTICO  –  PÁGINAS – A4 ")</f>
        <v>IMPRESSORA POLICROMÁTICO  –  PÁGINAS – A4 </v>
      </c>
      <c r="C241" s="11" t="str">
        <f>IFERROR(__xludf.DUMMYFUNCTION("""COMPUTED_VALUE"""),"IMPRESSORA MONO - POLI–  PÁGINAS – A3 ")</f>
        <v>IMPRESSORA MONO - POLI–  PÁGINAS – A3 </v>
      </c>
    </row>
    <row r="242">
      <c r="A242" s="11" t="str">
        <f>IFERROR(__xludf.DUMMYFUNCTION("TRANSPOSE(FILTER(ITENS!$D:$D, ITENS!$A:$A = SERVICOS!$A243))"),"IMPRESSORA MONOCROMÁTICO –  PÁGINAS A4 ")</f>
        <v>IMPRESSORA MONOCROMÁTICO –  PÁGINAS A4 </v>
      </c>
      <c r="B242" s="11" t="str">
        <f>IFERROR(__xludf.DUMMYFUNCTION("""COMPUTED_VALUE"""),"IMPRESSORA POLICROMÁTICO  –  PÁGINAS – A4 ")</f>
        <v>IMPRESSORA POLICROMÁTICO  –  PÁGINAS – A4 </v>
      </c>
      <c r="C242" s="11" t="str">
        <f>IFERROR(__xludf.DUMMYFUNCTION("""COMPUTED_VALUE"""),"IMPRESSORA MONO - POLI–  PÁGINAS – A3 ")</f>
        <v>IMPRESSORA MONO - POLI–  PÁGINAS – A3 </v>
      </c>
    </row>
    <row r="243">
      <c r="A243" s="11" t="str">
        <f>IFERROR(__xludf.DUMMYFUNCTION("TRANSPOSE(FILTER(ITENS!$D:$D, ITENS!$A:$A = SERVICOS!$A244))"),"IMPRESSORA MONOCROMÁTICO –  PÁGINAS A4 ")</f>
        <v>IMPRESSORA MONOCROMÁTICO –  PÁGINAS A4 </v>
      </c>
      <c r="B243" s="11" t="str">
        <f>IFERROR(__xludf.DUMMYFUNCTION("""COMPUTED_VALUE"""),"IMPRESSORA POLICROMÁTICO  –  PÁGINAS – A4 ")</f>
        <v>IMPRESSORA POLICROMÁTICO  –  PÁGINAS – A4 </v>
      </c>
      <c r="C243" s="11" t="str">
        <f>IFERROR(__xludf.DUMMYFUNCTION("""COMPUTED_VALUE"""),"IMPRESSORA MONO - POLI–  PÁGINAS – A3 ")</f>
        <v>IMPRESSORA MONO - POLI–  PÁGINAS – A3 </v>
      </c>
    </row>
    <row r="244">
      <c r="A244" s="11" t="str">
        <f>IFERROR(__xludf.DUMMYFUNCTION("TRANSPOSE(FILTER(ITENS!$D:$D, ITENS!$A:$A = SERVICOS!$A245))"),"NOTEBOOK")</f>
        <v>NOTEBOOK</v>
      </c>
      <c r="B244" s="11" t="str">
        <f>IFERROR(__xludf.DUMMYFUNCTION("""COMPUTED_VALUE"""),"MICROCOMPUTADOR")</f>
        <v>MICROCOMPUTADOR</v>
      </c>
    </row>
    <row r="245">
      <c r="A245" s="11" t="str">
        <f>IFERROR(__xludf.DUMMYFUNCTION("TRANSPOSE(FILTER(ITENS!$D:$D, ITENS!$A:$A = SERVICOS!$A246))"),"NOTEBOOK")</f>
        <v>NOTEBOOK</v>
      </c>
      <c r="B245" s="11" t="str">
        <f>IFERROR(__xludf.DUMMYFUNCTION("""COMPUTED_VALUE"""),"MICROCOMPUTADOR")</f>
        <v>MICROCOMPUTADOR</v>
      </c>
    </row>
    <row r="246">
      <c r="A246" s="11" t="str">
        <f>IFERROR(__xludf.DUMMYFUNCTION("TRANSPOSE(FILTER(ITENS!$D:$D, ITENS!$A:$A = SERVICOS!$A247))"),"NOTEBOOK")</f>
        <v>NOTEBOOK</v>
      </c>
      <c r="B246" s="11" t="str">
        <f>IFERROR(__xludf.DUMMYFUNCTION("""COMPUTED_VALUE"""),"MICROCOMPUTADOR")</f>
        <v>MICROCOMPUTADOR</v>
      </c>
    </row>
    <row r="247">
      <c r="A247" s="11" t="str">
        <f>IFERROR(__xludf.DUMMYFUNCTION("TRANSPOSE(FILTER(ITENS!$D:$D, ITENS!$A:$A = SERVICOS!$A248))"),"MICROCOMPUTADOR i5")</f>
        <v>MICROCOMPUTADOR i5</v>
      </c>
      <c r="B247" s="11" t="str">
        <f>IFERROR(__xludf.DUMMYFUNCTION("""COMPUTED_VALUE"""),"NOBREAK 700 VA")</f>
        <v>NOBREAK 700 VA</v>
      </c>
    </row>
    <row r="248">
      <c r="A248" s="11" t="str">
        <f>IFERROR(__xludf.DUMMYFUNCTION("TRANSPOSE(FILTER(ITENS!$D:$D, ITENS!$A:$A = SERVICOS!$A249))"),"NOTEBOOK")</f>
        <v>NOTEBOOK</v>
      </c>
      <c r="B248" s="11" t="str">
        <f>IFERROR(__xludf.DUMMYFUNCTION("""COMPUTED_VALUE"""),"MICROCOMPUTADOR")</f>
        <v>MICROCOMPUTADOR</v>
      </c>
    </row>
    <row r="249">
      <c r="A249" s="11" t="str">
        <f>IFERROR(__xludf.DUMMYFUNCTION("TRANSPOSE(FILTER(ITENS!$D:$D, ITENS!$A:$A = SERVICOS!$A250))"),"MICROCOMPUTADOR i5")</f>
        <v>MICROCOMPUTADOR i5</v>
      </c>
      <c r="B249" s="11" t="str">
        <f>IFERROR(__xludf.DUMMYFUNCTION("""COMPUTED_VALUE"""),"NOBREAK 700 VA")</f>
        <v>NOBREAK 700 VA</v>
      </c>
    </row>
    <row r="250">
      <c r="A250" s="11" t="str">
        <f>IFERROR(__xludf.DUMMYFUNCTION("TRANSPOSE(FILTER(ITENS!$D:$D, ITENS!$A:$A = SERVICOS!$A251))"),"NOTEBOOK")</f>
        <v>NOTEBOOK</v>
      </c>
      <c r="B250" s="11" t="str">
        <f>IFERROR(__xludf.DUMMYFUNCTION("""COMPUTED_VALUE"""),"MICROCOMPUTADOR")</f>
        <v>MICROCOMPUTADOR</v>
      </c>
    </row>
    <row r="251">
      <c r="A251" s="11" t="str">
        <f>IFERROR(__xludf.DUMMYFUNCTION("TRANSPOSE(FILTER(ITENS!$D:$D, ITENS!$A:$A = SERVICOS!$A252))"),"NOTEBOOK")</f>
        <v>NOTEBOOK</v>
      </c>
      <c r="B251" s="11" t="str">
        <f>IFERROR(__xludf.DUMMYFUNCTION("""COMPUTED_VALUE"""),"MICROCOMPUTADOR")</f>
        <v>MICROCOMPUTADOR</v>
      </c>
    </row>
    <row r="252">
      <c r="A252" s="11" t="str">
        <f>IFERROR(__xludf.DUMMYFUNCTION("TRANSPOSE(FILTER(ITENS!$D:$D, ITENS!$A:$A = SERVICOS!$A253))"),"MICROCOMPUTADOR")</f>
        <v>MICROCOMPUTADOR</v>
      </c>
      <c r="B252" s="11" t="str">
        <f>IFERROR(__xludf.DUMMYFUNCTION("""COMPUTED_VALUE"""),"NOTEBOOK")</f>
        <v>NOTEBOOK</v>
      </c>
    </row>
    <row r="253">
      <c r="A253" s="11" t="str">
        <f>IFERROR(__xludf.DUMMYFUNCTION("TRANSPOSE(FILTER(ITENS!$D:$D, ITENS!$A:$A = SERVICOS!$A254))"),"MICROCOMPUTADOR")</f>
        <v>MICROCOMPUTADOR</v>
      </c>
      <c r="B253" s="11" t="str">
        <f>IFERROR(__xludf.DUMMYFUNCTION("""COMPUTED_VALUE"""),"NOTEBOOK")</f>
        <v>NOTEBOOK</v>
      </c>
    </row>
    <row r="254">
      <c r="A254" s="11" t="str">
        <f>IFERROR(__xludf.DUMMYFUNCTION("TRANSPOSE(FILTER(ITENS!$D:$D, ITENS!$A:$A = SERVICOS!$A255))"),"IMPRESSORA MONOCROMÁTICO –  PÁGINAS A4 ")</f>
        <v>IMPRESSORA MONOCROMÁTICO –  PÁGINAS A4 </v>
      </c>
      <c r="B254" s="11" t="str">
        <f>IFERROR(__xludf.DUMMYFUNCTION("""COMPUTED_VALUE"""),"IMPRESSORA MONOCROMÁTICO –  PÁGINAS A4 ")</f>
        <v>IMPRESSORA MONOCROMÁTICO –  PÁGINAS A4 </v>
      </c>
    </row>
    <row r="255">
      <c r="A255" s="11" t="str">
        <f>IFERROR(__xludf.DUMMYFUNCTION("TRANSPOSE(FILTER(ITENS!$D:$D, ITENS!$A:$A = SERVICOS!$A256))"),"IMPRESSORA MONOCROMÁTICO –  PÁGINAS A4 ")</f>
        <v>IMPRESSORA MONOCROMÁTICO –  PÁGINAS A4 </v>
      </c>
      <c r="B255" s="11" t="str">
        <f>IFERROR(__xludf.DUMMYFUNCTION("""COMPUTED_VALUE"""),"IMPRESSORA  POLICROMÁTICO –  PÁGINAS A4 ")</f>
        <v>IMPRESSORA  POLICROMÁTICO –  PÁGINAS A4 </v>
      </c>
    </row>
    <row r="256">
      <c r="A256" s="11" t="str">
        <f>IFERROR(__xludf.DUMMYFUNCTION("TRANSPOSE(FILTER(ITENS!$D:$D, ITENS!$A:$A = SERVICOS!$A257))"),"IMPRESSORA MONOCROMÁTICO –  PÁGINAS A4 ")</f>
        <v>IMPRESSORA MONOCROMÁTICO –  PÁGINAS A4 </v>
      </c>
      <c r="B256" s="11" t="str">
        <f>IFERROR(__xludf.DUMMYFUNCTION("""COMPUTED_VALUE"""),"IMPRESSORA  POLICROMÁTICO –  PÁGINAS A4 ")</f>
        <v>IMPRESSORA  POLICROMÁTICO –  PÁGINAS A4 </v>
      </c>
    </row>
    <row r="257">
      <c r="A257" s="11" t="str">
        <f>IFERROR(__xludf.DUMMYFUNCTION("TRANSPOSE(FILTER(ITENS!$D:$D, ITENS!$A:$A = SERVICOS!$A258))"),"IMPRESSORA MONOCROMÁTICO –  PÁGINAS A4 ")</f>
        <v>IMPRESSORA MONOCROMÁTICO –  PÁGINAS A4 </v>
      </c>
      <c r="B257" s="11" t="str">
        <f>IFERROR(__xludf.DUMMYFUNCTION("""COMPUTED_VALUE"""),"IMPRESSORA MONOCROMÁTICO –  PÁGINAS A4 ")</f>
        <v>IMPRESSORA MONOCROMÁTICO –  PÁGINAS A4 </v>
      </c>
    </row>
    <row r="258">
      <c r="A258" s="11" t="str">
        <f>IFERROR(__xludf.DUMMYFUNCTION("TRANSPOSE(FILTER(ITENS!$D:$D, ITENS!$A:$A = SERVICOS!$A259))"),"IMPRESSORA MONOCROMÁTICO –  PÁGINAS A3")</f>
        <v>IMPRESSORA MONOCROMÁTICO –  PÁGINAS A3</v>
      </c>
      <c r="B258" s="11" t="str">
        <f>IFERROR(__xludf.DUMMYFUNCTION("""COMPUTED_VALUE"""),"IMPRESSORA MONOCROMÁTICO –  PÁGINAS A3")</f>
        <v>IMPRESSORA MONOCROMÁTICO –  PÁGINAS A3</v>
      </c>
    </row>
    <row r="259">
      <c r="A259" s="11" t="str">
        <f>IFERROR(__xludf.DUMMYFUNCTION("TRANSPOSE(FILTER(ITENS!$D:$D, ITENS!$A:$A = SERVICOS!$A260))"),"IMPRESSORA MONOCROMÁTICO –  PÁGINAS A3")</f>
        <v>IMPRESSORA MONOCROMÁTICO –  PÁGINAS A3</v>
      </c>
      <c r="B259" s="11" t="str">
        <f>IFERROR(__xludf.DUMMYFUNCTION("""COMPUTED_VALUE"""),"IMPRESSORA MONOCROMÁTICO –  PÁGINAS A3")</f>
        <v>IMPRESSORA MONOCROMÁTICO –  PÁGINAS A3</v>
      </c>
    </row>
    <row r="260">
      <c r="A260" s="11" t="str">
        <f>IFERROR(__xludf.DUMMYFUNCTION("TRANSPOSE(FILTER(ITENS!$D:$D, ITENS!$A:$A = SERVICOS!$A261))"),"IMPRESSORA  POLICROMÁTICO –  PÁGINAS A3 ")</f>
        <v>IMPRESSORA  POLICROMÁTICO –  PÁGINAS A3 </v>
      </c>
      <c r="B260" s="11" t="str">
        <f>IFERROR(__xludf.DUMMYFUNCTION("""COMPUTED_VALUE"""),"IMPRESSORA MONOCROMÁTICO –  PÁGINAS A4 ")</f>
        <v>IMPRESSORA MONOCROMÁTICO –  PÁGINAS A4 </v>
      </c>
      <c r="C260" s="11" t="str">
        <f>IFERROR(__xludf.DUMMYFUNCTION("""COMPUTED_VALUE"""),"IMPRESSORA  POLICROMÁTICO –  PÁGINAS A4 ")</f>
        <v>IMPRESSORA  POLICROMÁTICO –  PÁGINAS A4 </v>
      </c>
    </row>
    <row r="261">
      <c r="A261" s="11" t="str">
        <f>IFERROR(__xludf.DUMMYFUNCTION("TRANSPOSE(FILTER(ITENS!$D:$D, ITENS!$A:$A = SERVICOS!$A262))"),"IMPRESSORA  POLICROMÁTICO –  PÁGINAS A3 ")</f>
        <v>IMPRESSORA  POLICROMÁTICO –  PÁGINAS A3 </v>
      </c>
      <c r="B261" s="11" t="str">
        <f>IFERROR(__xludf.DUMMYFUNCTION("""COMPUTED_VALUE"""),"IMPRESSORA MONOCROMÁTICO –  PÁGINAS A4 ")</f>
        <v>IMPRESSORA MONOCROMÁTICO –  PÁGINAS A4 </v>
      </c>
      <c r="C261" s="11" t="str">
        <f>IFERROR(__xludf.DUMMYFUNCTION("""COMPUTED_VALUE"""),"IMPRESSORA  POLICROMÁTICO –  PÁGINAS A4 ")</f>
        <v>IMPRESSORA  POLICROMÁTICO –  PÁGINAS A4 </v>
      </c>
    </row>
    <row r="262">
      <c r="A262" s="11" t="str">
        <f>IFERROR(__xludf.DUMMYFUNCTION("TRANSPOSE(FILTER(ITENS!$D:$D, ITENS!$A:$A = SERVICOS!$A263))"),"IMPRESSORA  POLICROMÁTICO –  PÁGINAS A3 ")</f>
        <v>IMPRESSORA  POLICROMÁTICO –  PÁGINAS A3 </v>
      </c>
      <c r="B262" s="11" t="str">
        <f>IFERROR(__xludf.DUMMYFUNCTION("""COMPUTED_VALUE"""),"IMPRESSORA MONOCROMÁTICO –  PÁGINAS A4 ")</f>
        <v>IMPRESSORA MONOCROMÁTICO –  PÁGINAS A4 </v>
      </c>
      <c r="C262" s="11" t="str">
        <f>IFERROR(__xludf.DUMMYFUNCTION("""COMPUTED_VALUE"""),"IMPRESSORA  POLICROMÁTICO –  PÁGINAS A4 ")</f>
        <v>IMPRESSORA  POLICROMÁTICO –  PÁGINAS A4 </v>
      </c>
    </row>
    <row r="263">
      <c r="A263" s="11" t="str">
        <f>IFERROR(__xludf.DUMMYFUNCTION("TRANSPOSE(FILTER(ITENS!$D:$D, ITENS!$A:$A = SERVICOS!$A264))"),"IMPRESSORA  POLICROMÁTICO –  PÁGINAS A3 ")</f>
        <v>IMPRESSORA  POLICROMÁTICO –  PÁGINAS A3 </v>
      </c>
      <c r="B263" s="11" t="str">
        <f>IFERROR(__xludf.DUMMYFUNCTION("""COMPUTED_VALUE"""),"IMPRESSORA MONOCROMÁTICO –  PÁGINAS A4 ")</f>
        <v>IMPRESSORA MONOCROMÁTICO –  PÁGINAS A4 </v>
      </c>
      <c r="C263" s="11" t="str">
        <f>IFERROR(__xludf.DUMMYFUNCTION("""COMPUTED_VALUE"""),"IMPRESSORA  POLICROMÁTICO –  PÁGINAS A4 ")</f>
        <v>IMPRESSORA  POLICROMÁTICO –  PÁGINAS A4 </v>
      </c>
    </row>
    <row r="264">
      <c r="A264" s="11" t="str">
        <f>IFERROR(__xludf.DUMMYFUNCTION("TRANSPOSE(FILTER(ITENS!$D:$D, ITENS!$A:$A = SERVICOS!$A265))"),"IMPRESSORA  POLICROMÁTICO –  PÁGINAS A3 ")</f>
        <v>IMPRESSORA  POLICROMÁTICO –  PÁGINAS A3 </v>
      </c>
      <c r="B264" s="11" t="str">
        <f>IFERROR(__xludf.DUMMYFUNCTION("""COMPUTED_VALUE"""),"IMPRESSORA MONOCROMÁTICO –  PÁGINAS A4 ")</f>
        <v>IMPRESSORA MONOCROMÁTICO –  PÁGINAS A4 </v>
      </c>
      <c r="C264" s="11" t="str">
        <f>IFERROR(__xludf.DUMMYFUNCTION("""COMPUTED_VALUE"""),"IMPRESSORA  POLICROMÁTICO –  PÁGINAS A4 ")</f>
        <v>IMPRESSORA  POLICROMÁTICO –  PÁGINAS A4 </v>
      </c>
    </row>
    <row r="265">
      <c r="A265" s="11" t="str">
        <f>IFERROR(__xludf.DUMMYFUNCTION("TRANSPOSE(FILTER(ITENS!$D:$D, ITENS!$A:$A = SERVICOS!$A266))"),"IMPRESSORA  POLICROMÁTICO –  PÁGINAS A3 ")</f>
        <v>IMPRESSORA  POLICROMÁTICO –  PÁGINAS A3 </v>
      </c>
      <c r="B265" s="11" t="str">
        <f>IFERROR(__xludf.DUMMYFUNCTION("""COMPUTED_VALUE"""),"IMPRESSORA MONOCROMÁTICO –  PÁGINAS A4 ")</f>
        <v>IMPRESSORA MONOCROMÁTICO –  PÁGINAS A4 </v>
      </c>
      <c r="C265" s="11" t="str">
        <f>IFERROR(__xludf.DUMMYFUNCTION("""COMPUTED_VALUE"""),"IMPRESSORA  POLICROMÁTICO –  PÁGINAS A4 ")</f>
        <v>IMPRESSORA  POLICROMÁTICO –  PÁGINAS A4 </v>
      </c>
    </row>
    <row r="266">
      <c r="A266" s="11" t="str">
        <f>IFERROR(__xludf.DUMMYFUNCTION("TRANSPOSE(FILTER(ITENS!$D:$D, ITENS!$A:$A = SERVICOS!$A267))"),"#N/A")</f>
        <v>#N/A</v>
      </c>
    </row>
    <row r="267">
      <c r="A267" s="11" t="str">
        <f>IFERROR(__xludf.DUMMYFUNCTION("TRANSPOSE(FILTER(ITENS!$D:$D, ITENS!$A:$A = SERVICOS!$A268))"),"#N/A")</f>
        <v>#N/A</v>
      </c>
    </row>
    <row r="268">
      <c r="A268" s="11" t="str">
        <f>IFERROR(__xludf.DUMMYFUNCTION("TRANSPOSE(FILTER(ITENS!$D:$D, ITENS!$A:$A = SERVICOS!$A269))"),"#N/A")</f>
        <v>#N/A</v>
      </c>
    </row>
    <row r="269">
      <c r="A269" s="11" t="str">
        <f>IFERROR(__xludf.DUMMYFUNCTION("TRANSPOSE(FILTER(ITENS!$D:$D, ITENS!$A:$A = SERVICOS!$A270))"),"#N/A")</f>
        <v>#N/A</v>
      </c>
    </row>
    <row r="270">
      <c r="A270" s="11" t="str">
        <f>IFERROR(__xludf.DUMMYFUNCTION("TRANSPOSE(FILTER(ITENS!$D:$D, ITENS!$A:$A = SERVICOS!$A271))"),"#N/A")</f>
        <v>#N/A</v>
      </c>
    </row>
    <row r="271">
      <c r="A271" s="11" t="str">
        <f>IFERROR(__xludf.DUMMYFUNCTION("TRANSPOSE(FILTER(ITENS!$D:$D, ITENS!$A:$A = SERVICOS!$A272))"),"#N/A")</f>
        <v>#N/A</v>
      </c>
    </row>
    <row r="272">
      <c r="A272" s="11" t="str">
        <f>IFERROR(__xludf.DUMMYFUNCTION("TRANSPOSE(FILTER(ITENS!$D:$D, ITENS!$A:$A = SERVICOS!$A273))"),"#N/A")</f>
        <v>#N/A</v>
      </c>
    </row>
    <row r="273">
      <c r="A273" s="11" t="str">
        <f>IFERROR(__xludf.DUMMYFUNCTION("TRANSPOSE(FILTER(ITENS!$D:$D, ITENS!$A:$A = SERVICOS!$A274))"),"#N/A")</f>
        <v>#N/A</v>
      </c>
    </row>
    <row r="274">
      <c r="A274" s="11" t="str">
        <f>IFERROR(__xludf.DUMMYFUNCTION("TRANSPOSE(FILTER(ITENS!$D:$D, ITENS!$A:$A = SERVICOS!$A275))"),"#N/A")</f>
        <v>#N/A</v>
      </c>
    </row>
    <row r="275">
      <c r="A275" s="11" t="str">
        <f>IFERROR(__xludf.DUMMYFUNCTION("TRANSPOSE(FILTER(ITENS!$D:$D, ITENS!$A:$A = SERVICOS!$A276))"),"#N/A")</f>
        <v>#N/A</v>
      </c>
    </row>
    <row r="276">
      <c r="A276" s="11" t="str">
        <f>IFERROR(__xludf.DUMMYFUNCTION("TRANSPOSE(FILTER(ITENS!$D:$D, ITENS!$A:$A = SERVICOS!$A277))"),"#N/A")</f>
        <v>#N/A</v>
      </c>
    </row>
    <row r="277">
      <c r="A277" s="11" t="str">
        <f>IFERROR(__xludf.DUMMYFUNCTION("TRANSPOSE(FILTER(ITENS!$D:$D, ITENS!$A:$A = SERVICOS!$A278))"),"#N/A")</f>
        <v>#N/A</v>
      </c>
    </row>
    <row r="278">
      <c r="A278" s="11" t="str">
        <f>IFERROR(__xludf.DUMMYFUNCTION("TRANSPOSE(FILTER(ITENS!$D:$D, ITENS!$A:$A = SERVICOS!$A279))"),"IMPRESSORA MONOCROMÁTICO LASER –  PÁGINAS A4 ")</f>
        <v>IMPRESSORA MONOCROMÁTICO LASER –  PÁGINAS A4 </v>
      </c>
      <c r="B278" s="11" t="str">
        <f>IFERROR(__xludf.DUMMYFUNCTION("""COMPUTED_VALUE"""),"IMPRESSORA MONOCROMÁTICO LASER –  PÁGINAS A4 ")</f>
        <v>IMPRESSORA MONOCROMÁTICO LASER –  PÁGINAS A4 </v>
      </c>
      <c r="C278" s="11" t="str">
        <f>IFERROR(__xludf.DUMMYFUNCTION("""COMPUTED_VALUE"""),"IMPRESSORA  POLICROMÁTICO LASER –  PÁGINAS A4 ")</f>
        <v>IMPRESSORA  POLICROMÁTICO LASER –  PÁGINAS A4 </v>
      </c>
    </row>
    <row r="279">
      <c r="A279" s="11" t="str">
        <f>IFERROR(__xludf.DUMMYFUNCTION("TRANSPOSE(FILTER(ITENS!$D:$D, ITENS!$A:$A = SERVICOS!$A280))"),"SCANNER DE MESA VERTICAL TIPO DE DIGITALIZADOR")</f>
        <v>SCANNER DE MESA VERTICAL TIPO DE DIGITALIZADOR</v>
      </c>
      <c r="B279" s="11" t="str">
        <f>IFERROR(__xludf.DUMMYFUNCTION("""COMPUTED_VALUE"""),"IMPRESSORA MONOCROMÁTICO LASER –  PÁGINAS A4 ")</f>
        <v>IMPRESSORA MONOCROMÁTICO LASER –  PÁGINAS A4 </v>
      </c>
      <c r="C279" s="11" t="str">
        <f>IFERROR(__xludf.DUMMYFUNCTION("""COMPUTED_VALUE"""),"IMPRESSORA MONOCROMÁTICO –  PÁGINAS A4 ")</f>
        <v>IMPRESSORA MONOCROMÁTICO –  PÁGINAS A4 </v>
      </c>
      <c r="D279" s="11" t="str">
        <f>IFERROR(__xludf.DUMMYFUNCTION("""COMPUTED_VALUE"""),"IMPRESSORA MONOCROMÁTICO –  PÁGINAS A3")</f>
        <v>IMPRESSORA MONOCROMÁTICO –  PÁGINAS A3</v>
      </c>
      <c r="E279" s="11" t="str">
        <f>IFERROR(__xludf.DUMMYFUNCTION("""COMPUTED_VALUE"""),"IMPRESSORA  POLICROMÁTICO –  PÁGINAS A4 ")</f>
        <v>IMPRESSORA  POLICROMÁTICO –  PÁGINAS A4 </v>
      </c>
      <c r="F279" s="11" t="str">
        <f>IFERROR(__xludf.DUMMYFUNCTION("""COMPUTED_VALUE"""),"IMPRESSORA LARGO FORMATO PLOTTER")</f>
        <v>IMPRESSORA LARGO FORMATO PLOTTER</v>
      </c>
    </row>
    <row r="280">
      <c r="A280" s="11" t="str">
        <f>IFERROR(__xludf.DUMMYFUNCTION("TRANSPOSE(FILTER(ITENS!$D:$D, ITENS!$A:$A = SERVICOS!$A281))"),"SCANNER DE MESA VERTICAL TIPO DE DIGITALIZADOR")</f>
        <v>SCANNER DE MESA VERTICAL TIPO DE DIGITALIZADOR</v>
      </c>
      <c r="B280" s="11" t="str">
        <f>IFERROR(__xludf.DUMMYFUNCTION("""COMPUTED_VALUE"""),"IMPRESSORA MONOCROMÁTICO LASER –  PÁGINAS A4 ")</f>
        <v>IMPRESSORA MONOCROMÁTICO LASER –  PÁGINAS A4 </v>
      </c>
      <c r="C280" s="11" t="str">
        <f>IFERROR(__xludf.DUMMYFUNCTION("""COMPUTED_VALUE"""),"IMPRESSORA MONOCROMÁTICO –  PÁGINAS A4 ")</f>
        <v>IMPRESSORA MONOCROMÁTICO –  PÁGINAS A4 </v>
      </c>
      <c r="D280" s="11" t="str">
        <f>IFERROR(__xludf.DUMMYFUNCTION("""COMPUTED_VALUE"""),"IMPRESSORA MONOCROMÁTICO –  PÁGINAS A3")</f>
        <v>IMPRESSORA MONOCROMÁTICO –  PÁGINAS A3</v>
      </c>
      <c r="E280" s="11" t="str">
        <f>IFERROR(__xludf.DUMMYFUNCTION("""COMPUTED_VALUE"""),"IMPRESSORA  POLICROMÁTICO –  PÁGINAS A4 ")</f>
        <v>IMPRESSORA  POLICROMÁTICO –  PÁGINAS A4 </v>
      </c>
      <c r="F280" s="11" t="str">
        <f>IFERROR(__xludf.DUMMYFUNCTION("""COMPUTED_VALUE"""),"IMPRESSORA LARGO FORMATO PLOTTER")</f>
        <v>IMPRESSORA LARGO FORMATO PLOTTER</v>
      </c>
    </row>
    <row r="281">
      <c r="A281" s="11" t="str">
        <f>IFERROR(__xludf.DUMMYFUNCTION("TRANSPOSE(FILTER(ITENS!$D:$D, ITENS!$A:$A = SERVICOS!$A282))"),"SCANNER DE MESA VERTICAL TIPO DE DIGITALIZADOR")</f>
        <v>SCANNER DE MESA VERTICAL TIPO DE DIGITALIZADOR</v>
      </c>
      <c r="B281" s="11" t="str">
        <f>IFERROR(__xludf.DUMMYFUNCTION("""COMPUTED_VALUE"""),"IMPRESSORA MONOCROMÁTICO LASER –  PÁGINAS A4 ")</f>
        <v>IMPRESSORA MONOCROMÁTICO LASER –  PÁGINAS A4 </v>
      </c>
      <c r="C281" s="11" t="str">
        <f>IFERROR(__xludf.DUMMYFUNCTION("""COMPUTED_VALUE"""),"IMPRESSORA MONOCROMÁTICO –  PÁGINAS A4 ")</f>
        <v>IMPRESSORA MONOCROMÁTICO –  PÁGINAS A4 </v>
      </c>
      <c r="D281" s="11" t="str">
        <f>IFERROR(__xludf.DUMMYFUNCTION("""COMPUTED_VALUE"""),"IMPRESSORA MONOCROMÁTICO –  PÁGINAS A3")</f>
        <v>IMPRESSORA MONOCROMÁTICO –  PÁGINAS A3</v>
      </c>
      <c r="E281" s="11" t="str">
        <f>IFERROR(__xludf.DUMMYFUNCTION("""COMPUTED_VALUE"""),"IMPRESSORA  POLICROMÁTICO –  PÁGINAS A4 ")</f>
        <v>IMPRESSORA  POLICROMÁTICO –  PÁGINAS A4 </v>
      </c>
      <c r="F281" s="11" t="str">
        <f>IFERROR(__xludf.DUMMYFUNCTION("""COMPUTED_VALUE"""),"IMPRESSORA LARGO FORMATO PLOTTER")</f>
        <v>IMPRESSORA LARGO FORMATO PLOTTER</v>
      </c>
    </row>
    <row r="282">
      <c r="A282" s="11" t="str">
        <f>IFERROR(__xludf.DUMMYFUNCTION("TRANSPOSE(FILTER(ITENS!$D:$D, ITENS!$A:$A = SERVICOS!$A283))"),"SCANNER DE MESA VERTICAL TIPO DE DIGITALIZADOR")</f>
        <v>SCANNER DE MESA VERTICAL TIPO DE DIGITALIZADOR</v>
      </c>
      <c r="B282" s="11" t="str">
        <f>IFERROR(__xludf.DUMMYFUNCTION("""COMPUTED_VALUE"""),"IMPRESSORA MONOCROMÁTICO LASER –  PÁGINAS A4 ")</f>
        <v>IMPRESSORA MONOCROMÁTICO LASER –  PÁGINAS A4 </v>
      </c>
      <c r="C282" s="11" t="str">
        <f>IFERROR(__xludf.DUMMYFUNCTION("""COMPUTED_VALUE"""),"IMPRESSORA MONOCROMÁTICO –  PÁGINAS A4 ")</f>
        <v>IMPRESSORA MONOCROMÁTICO –  PÁGINAS A4 </v>
      </c>
      <c r="D282" s="11" t="str">
        <f>IFERROR(__xludf.DUMMYFUNCTION("""COMPUTED_VALUE"""),"IMPRESSORA MONOCROMÁTICO –  PÁGINAS A3")</f>
        <v>IMPRESSORA MONOCROMÁTICO –  PÁGINAS A3</v>
      </c>
      <c r="E282" s="11" t="str">
        <f>IFERROR(__xludf.DUMMYFUNCTION("""COMPUTED_VALUE"""),"IMPRESSORA  POLICROMÁTICO –  PÁGINAS A4 ")</f>
        <v>IMPRESSORA  POLICROMÁTICO –  PÁGINAS A4 </v>
      </c>
      <c r="F282" s="11" t="str">
        <f>IFERROR(__xludf.DUMMYFUNCTION("""COMPUTED_VALUE"""),"IMPRESSORA LARGO FORMATO PLOTTER")</f>
        <v>IMPRESSORA LARGO FORMATO PLOTTER</v>
      </c>
    </row>
    <row r="283">
      <c r="A283" s="11" t="str">
        <f>IFERROR(__xludf.DUMMYFUNCTION("TRANSPOSE(FILTER(ITENS!$D:$D, ITENS!$A:$A = SERVICOS!$A284))"),"SCANNER DE MESA VERTICAL TIPO DE DIGITALIZADOR")</f>
        <v>SCANNER DE MESA VERTICAL TIPO DE DIGITALIZADOR</v>
      </c>
      <c r="B283" s="11" t="str">
        <f>IFERROR(__xludf.DUMMYFUNCTION("""COMPUTED_VALUE"""),"IMPRESSORA MONOCROMÁTICO LASER –  PÁGINAS A4 ")</f>
        <v>IMPRESSORA MONOCROMÁTICO LASER –  PÁGINAS A4 </v>
      </c>
      <c r="C283" s="11" t="str">
        <f>IFERROR(__xludf.DUMMYFUNCTION("""COMPUTED_VALUE"""),"IMPRESSORA MONOCROMÁTICO –  PÁGINAS A4 ")</f>
        <v>IMPRESSORA MONOCROMÁTICO –  PÁGINAS A4 </v>
      </c>
      <c r="D283" s="11" t="str">
        <f>IFERROR(__xludf.DUMMYFUNCTION("""COMPUTED_VALUE"""),"IMPRESSORA MONOCROMÁTICO –  PÁGINAS A3")</f>
        <v>IMPRESSORA MONOCROMÁTICO –  PÁGINAS A3</v>
      </c>
      <c r="E283" s="11" t="str">
        <f>IFERROR(__xludf.DUMMYFUNCTION("""COMPUTED_VALUE"""),"IMPRESSORA  POLICROMÁTICO –  PÁGINAS A4 ")</f>
        <v>IMPRESSORA  POLICROMÁTICO –  PÁGINAS A4 </v>
      </c>
      <c r="F283" s="11" t="str">
        <f>IFERROR(__xludf.DUMMYFUNCTION("""COMPUTED_VALUE"""),"IMPRESSORA LARGO FORMATO PLOTTER")</f>
        <v>IMPRESSORA LARGO FORMATO PLOTTER</v>
      </c>
    </row>
    <row r="284">
      <c r="A284" s="11" t="str">
        <f>IFERROR(__xludf.DUMMYFUNCTION("TRANSPOSE(FILTER(ITENS!$D:$D, ITENS!$A:$A = SERVICOS!$A285))"),"SCANNER DE MESA VERTICAL TIPO DE DIGITALIZADOR")</f>
        <v>SCANNER DE MESA VERTICAL TIPO DE DIGITALIZADOR</v>
      </c>
      <c r="B284" s="11" t="str">
        <f>IFERROR(__xludf.DUMMYFUNCTION("""COMPUTED_VALUE"""),"IMPRESSORA MONOCROMÁTICO LASER –  PÁGINAS A4 ")</f>
        <v>IMPRESSORA MONOCROMÁTICO LASER –  PÁGINAS A4 </v>
      </c>
      <c r="C284" s="11" t="str">
        <f>IFERROR(__xludf.DUMMYFUNCTION("""COMPUTED_VALUE"""),"IMPRESSORA MONOCROMÁTICO –  PÁGINAS A4 ")</f>
        <v>IMPRESSORA MONOCROMÁTICO –  PÁGINAS A4 </v>
      </c>
      <c r="D284" s="11" t="str">
        <f>IFERROR(__xludf.DUMMYFUNCTION("""COMPUTED_VALUE"""),"IMPRESSORA MONOCROMÁTICO –  PÁGINAS A3")</f>
        <v>IMPRESSORA MONOCROMÁTICO –  PÁGINAS A3</v>
      </c>
      <c r="E284" s="11" t="str">
        <f>IFERROR(__xludf.DUMMYFUNCTION("""COMPUTED_VALUE"""),"IMPRESSORA  POLICROMÁTICO –  PÁGINAS A4 ")</f>
        <v>IMPRESSORA  POLICROMÁTICO –  PÁGINAS A4 </v>
      </c>
      <c r="F284" s="11" t="str">
        <f>IFERROR(__xludf.DUMMYFUNCTION("""COMPUTED_VALUE"""),"IMPRESSORA LARGO FORMATO PLOTTER")</f>
        <v>IMPRESSORA LARGO FORMATO PLOTTER</v>
      </c>
    </row>
    <row r="285">
      <c r="A285" s="11" t="str">
        <f>IFERROR(__xludf.DUMMYFUNCTION("TRANSPOSE(FILTER(ITENS!$D:$D, ITENS!$A:$A = SERVICOS!$A286))"),"SCANNER DE MESA VERTICAL TIPO DE DIGITALIZADOR")</f>
        <v>SCANNER DE MESA VERTICAL TIPO DE DIGITALIZADOR</v>
      </c>
      <c r="B285" s="11" t="str">
        <f>IFERROR(__xludf.DUMMYFUNCTION("""COMPUTED_VALUE"""),"IMPRESSORA MONOCROMÁTICO LASER –  PÁGINAS A4 ")</f>
        <v>IMPRESSORA MONOCROMÁTICO LASER –  PÁGINAS A4 </v>
      </c>
      <c r="C285" s="11" t="str">
        <f>IFERROR(__xludf.DUMMYFUNCTION("""COMPUTED_VALUE"""),"IMPRESSORA MONOCROMÁTICO –  PÁGINAS A4 ")</f>
        <v>IMPRESSORA MONOCROMÁTICO –  PÁGINAS A4 </v>
      </c>
      <c r="D285" s="11" t="str">
        <f>IFERROR(__xludf.DUMMYFUNCTION("""COMPUTED_VALUE"""),"IMPRESSORA MONOCROMÁTICO –  PÁGINAS A3")</f>
        <v>IMPRESSORA MONOCROMÁTICO –  PÁGINAS A3</v>
      </c>
      <c r="E285" s="11" t="str">
        <f>IFERROR(__xludf.DUMMYFUNCTION("""COMPUTED_VALUE"""),"IMPRESSORA  POLICROMÁTICO –  PÁGINAS A4 ")</f>
        <v>IMPRESSORA  POLICROMÁTICO –  PÁGINAS A4 </v>
      </c>
      <c r="F285" s="11" t="str">
        <f>IFERROR(__xludf.DUMMYFUNCTION("""COMPUTED_VALUE"""),"IMPRESSORA LARGO FORMATO PLOTTER")</f>
        <v>IMPRESSORA LARGO FORMATO PLOTTER</v>
      </c>
    </row>
    <row r="286">
      <c r="A286" s="11" t="str">
        <f>IFERROR(__xludf.DUMMYFUNCTION("TRANSPOSE(FILTER(ITENS!$D:$D, ITENS!$A:$A = SERVICOS!$A287))"),"SCANNER DE MESA VERTICAL TIPO DE DIGITALIZADOR")</f>
        <v>SCANNER DE MESA VERTICAL TIPO DE DIGITALIZADOR</v>
      </c>
      <c r="B286" s="11" t="str">
        <f>IFERROR(__xludf.DUMMYFUNCTION("""COMPUTED_VALUE"""),"IMPRESSORA MONOCROMÁTICO LASER –  PÁGINAS A4 ")</f>
        <v>IMPRESSORA MONOCROMÁTICO LASER –  PÁGINAS A4 </v>
      </c>
      <c r="C286" s="11" t="str">
        <f>IFERROR(__xludf.DUMMYFUNCTION("""COMPUTED_VALUE"""),"IMPRESSORA MONOCROMÁTICO –  PÁGINAS A4 ")</f>
        <v>IMPRESSORA MONOCROMÁTICO –  PÁGINAS A4 </v>
      </c>
      <c r="D286" s="11" t="str">
        <f>IFERROR(__xludf.DUMMYFUNCTION("""COMPUTED_VALUE"""),"IMPRESSORA MONOCROMÁTICO –  PÁGINAS A3")</f>
        <v>IMPRESSORA MONOCROMÁTICO –  PÁGINAS A3</v>
      </c>
      <c r="E286" s="11" t="str">
        <f>IFERROR(__xludf.DUMMYFUNCTION("""COMPUTED_VALUE"""),"IMPRESSORA  POLICROMÁTICO –  PÁGINAS A4 ")</f>
        <v>IMPRESSORA  POLICROMÁTICO –  PÁGINAS A4 </v>
      </c>
      <c r="F286" s="11" t="str">
        <f>IFERROR(__xludf.DUMMYFUNCTION("""COMPUTED_VALUE"""),"IMPRESSORA LARGO FORMATO PLOTTER")</f>
        <v>IMPRESSORA LARGO FORMATO PLOTTER</v>
      </c>
    </row>
    <row r="287">
      <c r="A287" s="11" t="str">
        <f>IFERROR(__xludf.DUMMYFUNCTION("TRANSPOSE(FILTER(ITENS!$D:$D, ITENS!$A:$A = SERVICOS!$A288))"),"SCANNER DE MESA VERTICAL TIPO DE DIGITALIZADOR")</f>
        <v>SCANNER DE MESA VERTICAL TIPO DE DIGITALIZADOR</v>
      </c>
      <c r="B287" s="11" t="str">
        <f>IFERROR(__xludf.DUMMYFUNCTION("""COMPUTED_VALUE"""),"IMPRESSORA MONOCROMÁTICO LASER –  PÁGINAS A4 ")</f>
        <v>IMPRESSORA MONOCROMÁTICO LASER –  PÁGINAS A4 </v>
      </c>
      <c r="C287" s="11" t="str">
        <f>IFERROR(__xludf.DUMMYFUNCTION("""COMPUTED_VALUE"""),"IMPRESSORA MONOCROMÁTICO –  PÁGINAS A4 ")</f>
        <v>IMPRESSORA MONOCROMÁTICO –  PÁGINAS A4 </v>
      </c>
      <c r="D287" s="11" t="str">
        <f>IFERROR(__xludf.DUMMYFUNCTION("""COMPUTED_VALUE"""),"IMPRESSORA MONOCROMÁTICO –  PÁGINAS A3")</f>
        <v>IMPRESSORA MONOCROMÁTICO –  PÁGINAS A3</v>
      </c>
      <c r="E287" s="11" t="str">
        <f>IFERROR(__xludf.DUMMYFUNCTION("""COMPUTED_VALUE"""),"IMPRESSORA  POLICROMÁTICO –  PÁGINAS A4 ")</f>
        <v>IMPRESSORA  POLICROMÁTICO –  PÁGINAS A4 </v>
      </c>
      <c r="F287" s="11" t="str">
        <f>IFERROR(__xludf.DUMMYFUNCTION("""COMPUTED_VALUE"""),"IMPRESSORA LARGO FORMATO PLOTTER")</f>
        <v>IMPRESSORA LARGO FORMATO PLOTTER</v>
      </c>
    </row>
    <row r="288">
      <c r="A288" s="11" t="str">
        <f>IFERROR(__xludf.DUMMYFUNCTION("TRANSPOSE(FILTER(ITENS!$D:$D, ITENS!$A:$A = SERVICOS!$A289))"),"SCANNER DE MESA VERTICAL TIPO DE DIGITALIZADOR")</f>
        <v>SCANNER DE MESA VERTICAL TIPO DE DIGITALIZADOR</v>
      </c>
      <c r="B288" s="11" t="str">
        <f>IFERROR(__xludf.DUMMYFUNCTION("""COMPUTED_VALUE"""),"IMPRESSORA MONOCROMÁTICO LASER –  PÁGINAS A4 ")</f>
        <v>IMPRESSORA MONOCROMÁTICO LASER –  PÁGINAS A4 </v>
      </c>
      <c r="C288" s="11" t="str">
        <f>IFERROR(__xludf.DUMMYFUNCTION("""COMPUTED_VALUE"""),"IMPRESSORA MONOCROMÁTICO –  PÁGINAS A4 ")</f>
        <v>IMPRESSORA MONOCROMÁTICO –  PÁGINAS A4 </v>
      </c>
      <c r="D288" s="11" t="str">
        <f>IFERROR(__xludf.DUMMYFUNCTION("""COMPUTED_VALUE"""),"IMPRESSORA MONOCROMÁTICO –  PÁGINAS A3")</f>
        <v>IMPRESSORA MONOCROMÁTICO –  PÁGINAS A3</v>
      </c>
      <c r="E288" s="11" t="str">
        <f>IFERROR(__xludf.DUMMYFUNCTION("""COMPUTED_VALUE"""),"IMPRESSORA  POLICROMÁTICO –  PÁGINAS A4 ")</f>
        <v>IMPRESSORA  POLICROMÁTICO –  PÁGINAS A4 </v>
      </c>
      <c r="F288" s="11" t="str">
        <f>IFERROR(__xludf.DUMMYFUNCTION("""COMPUTED_VALUE"""),"IMPRESSORA LARGO FORMATO PLOTTER")</f>
        <v>IMPRESSORA LARGO FORMATO PLOTTER</v>
      </c>
    </row>
    <row r="289">
      <c r="A289" s="11" t="str">
        <f>IFERROR(__xludf.DUMMYFUNCTION("TRANSPOSE(FILTER(ITENS!$D:$D, ITENS!$A:$A = SERVICOS!$A290))"),"SCANNER DE MESA VERTICAL TIPO DE DIGITALIZADOR")</f>
        <v>SCANNER DE MESA VERTICAL TIPO DE DIGITALIZADOR</v>
      </c>
      <c r="B289" s="11" t="str">
        <f>IFERROR(__xludf.DUMMYFUNCTION("""COMPUTED_VALUE"""),"IMPRESSORA MONOCROMÁTICO LASER –  PÁGINAS A4 ")</f>
        <v>IMPRESSORA MONOCROMÁTICO LASER –  PÁGINAS A4 </v>
      </c>
      <c r="C289" s="11" t="str">
        <f>IFERROR(__xludf.DUMMYFUNCTION("""COMPUTED_VALUE"""),"IMPRESSORA MONOCROMÁTICO –  PÁGINAS A4 ")</f>
        <v>IMPRESSORA MONOCROMÁTICO –  PÁGINAS A4 </v>
      </c>
      <c r="D289" s="11" t="str">
        <f>IFERROR(__xludf.DUMMYFUNCTION("""COMPUTED_VALUE"""),"IMPRESSORA MONOCROMÁTICO –  PÁGINAS A3")</f>
        <v>IMPRESSORA MONOCROMÁTICO –  PÁGINAS A3</v>
      </c>
      <c r="E289" s="11" t="str">
        <f>IFERROR(__xludf.DUMMYFUNCTION("""COMPUTED_VALUE"""),"IMPRESSORA  POLICROMÁTICO –  PÁGINAS A4 ")</f>
        <v>IMPRESSORA  POLICROMÁTICO –  PÁGINAS A4 </v>
      </c>
      <c r="F289" s="11" t="str">
        <f>IFERROR(__xludf.DUMMYFUNCTION("""COMPUTED_VALUE"""),"IMPRESSORA LARGO FORMATO PLOTTER")</f>
        <v>IMPRESSORA LARGO FORMATO PLOTTER</v>
      </c>
    </row>
    <row r="290">
      <c r="A290" s="11" t="str">
        <f>IFERROR(__xludf.DUMMYFUNCTION("TRANSPOSE(FILTER(ITENS!$D:$D, ITENS!$A:$A = SERVICOS!$A291))"),"SCANNER DE MESA VERTICAL TIPO DE DIGITALIZADOR")</f>
        <v>SCANNER DE MESA VERTICAL TIPO DE DIGITALIZADOR</v>
      </c>
      <c r="B290" s="11" t="str">
        <f>IFERROR(__xludf.DUMMYFUNCTION("""COMPUTED_VALUE"""),"IMPRESSORA MONOCROMÁTICO LASER –  PÁGINAS A4 ")</f>
        <v>IMPRESSORA MONOCROMÁTICO LASER –  PÁGINAS A4 </v>
      </c>
      <c r="C290" s="11" t="str">
        <f>IFERROR(__xludf.DUMMYFUNCTION("""COMPUTED_VALUE"""),"IMPRESSORA MONOCROMÁTICO –  PÁGINAS A4 ")</f>
        <v>IMPRESSORA MONOCROMÁTICO –  PÁGINAS A4 </v>
      </c>
      <c r="D290" s="11" t="str">
        <f>IFERROR(__xludf.DUMMYFUNCTION("""COMPUTED_VALUE"""),"IMPRESSORA MONOCROMÁTICO –  PÁGINAS A3")</f>
        <v>IMPRESSORA MONOCROMÁTICO –  PÁGINAS A3</v>
      </c>
      <c r="E290" s="11" t="str">
        <f>IFERROR(__xludf.DUMMYFUNCTION("""COMPUTED_VALUE"""),"IMPRESSORA  POLICROMÁTICO –  PÁGINAS A4 ")</f>
        <v>IMPRESSORA  POLICROMÁTICO –  PÁGINAS A4 </v>
      </c>
      <c r="F290" s="11" t="str">
        <f>IFERROR(__xludf.DUMMYFUNCTION("""COMPUTED_VALUE"""),"IMPRESSORA LARGO FORMATO PLOTTER")</f>
        <v>IMPRESSORA LARGO FORMATO PLOTTER</v>
      </c>
    </row>
    <row r="291">
      <c r="A291" s="11" t="str">
        <f>IFERROR(__xludf.DUMMYFUNCTION("TRANSPOSE(FILTER(ITENS!$D:$D, ITENS!$A:$A = SERVICOS!$A292))"),"SCANNER DE MESA VERTICAL TIPO DE DIGITALIZADOR")</f>
        <v>SCANNER DE MESA VERTICAL TIPO DE DIGITALIZADOR</v>
      </c>
      <c r="B291" s="11" t="str">
        <f>IFERROR(__xludf.DUMMYFUNCTION("""COMPUTED_VALUE"""),"IMPRESSORA MONOCROMÁTICO LASER –  PÁGINAS A4 ")</f>
        <v>IMPRESSORA MONOCROMÁTICO LASER –  PÁGINAS A4 </v>
      </c>
      <c r="C291" s="11" t="str">
        <f>IFERROR(__xludf.DUMMYFUNCTION("""COMPUTED_VALUE"""),"IMPRESSORA MONOCROMÁTICO –  PÁGINAS A4 ")</f>
        <v>IMPRESSORA MONOCROMÁTICO –  PÁGINAS A4 </v>
      </c>
      <c r="D291" s="11" t="str">
        <f>IFERROR(__xludf.DUMMYFUNCTION("""COMPUTED_VALUE"""),"IMPRESSORA MONOCROMÁTICO –  PÁGINAS A3")</f>
        <v>IMPRESSORA MONOCROMÁTICO –  PÁGINAS A3</v>
      </c>
      <c r="E291" s="11" t="str">
        <f>IFERROR(__xludf.DUMMYFUNCTION("""COMPUTED_VALUE"""),"IMPRESSORA  POLICROMÁTICO –  PÁGINAS A4 ")</f>
        <v>IMPRESSORA  POLICROMÁTICO –  PÁGINAS A4 </v>
      </c>
      <c r="F291" s="11" t="str">
        <f>IFERROR(__xludf.DUMMYFUNCTION("""COMPUTED_VALUE"""),"IMPRESSORA LARGO FORMATO PLOTTER")</f>
        <v>IMPRESSORA LARGO FORMATO PLOTTER</v>
      </c>
    </row>
    <row r="292">
      <c r="A292" s="11" t="str">
        <f>IFERROR(__xludf.DUMMYFUNCTION("TRANSPOSE(FILTER(ITENS!$D:$D, ITENS!$A:$A = SERVICOS!$A293))"),"SCANNER DE MESA VERTICAL TIPO DE DIGITALIZADOR")</f>
        <v>SCANNER DE MESA VERTICAL TIPO DE DIGITALIZADOR</v>
      </c>
      <c r="B292" s="11" t="str">
        <f>IFERROR(__xludf.DUMMYFUNCTION("""COMPUTED_VALUE"""),"IMPRESSORA MONOCROMÁTICO LASER –  PÁGINAS A4 ")</f>
        <v>IMPRESSORA MONOCROMÁTICO LASER –  PÁGINAS A4 </v>
      </c>
      <c r="C292" s="11" t="str">
        <f>IFERROR(__xludf.DUMMYFUNCTION("""COMPUTED_VALUE"""),"IMPRESSORA MONOCROMÁTICO –  PÁGINAS A4 ")</f>
        <v>IMPRESSORA MONOCROMÁTICO –  PÁGINAS A4 </v>
      </c>
      <c r="D292" s="11" t="str">
        <f>IFERROR(__xludf.DUMMYFUNCTION("""COMPUTED_VALUE"""),"IMPRESSORA MONOCROMÁTICO –  PÁGINAS A3")</f>
        <v>IMPRESSORA MONOCROMÁTICO –  PÁGINAS A3</v>
      </c>
      <c r="E292" s="11" t="str">
        <f>IFERROR(__xludf.DUMMYFUNCTION("""COMPUTED_VALUE"""),"IMPRESSORA  POLICROMÁTICO –  PÁGINAS A4 ")</f>
        <v>IMPRESSORA  POLICROMÁTICO –  PÁGINAS A4 </v>
      </c>
      <c r="F292" s="11" t="str">
        <f>IFERROR(__xludf.DUMMYFUNCTION("""COMPUTED_VALUE"""),"IMPRESSORA LARGO FORMATO PLOTTER")</f>
        <v>IMPRESSORA LARGO FORMATO PLOTTER</v>
      </c>
    </row>
    <row r="293">
      <c r="A293" s="11" t="str">
        <f>IFERROR(__xludf.DUMMYFUNCTION("TRANSPOSE(FILTER(ITENS!$D:$D, ITENS!$A:$A = SERVICOS!$A294))"),"SCANNER DE MESA VERTICAL TIPO DE DIGITALIZADOR")</f>
        <v>SCANNER DE MESA VERTICAL TIPO DE DIGITALIZADOR</v>
      </c>
      <c r="B293" s="11" t="str">
        <f>IFERROR(__xludf.DUMMYFUNCTION("""COMPUTED_VALUE"""),"IMPRESSORA MONOCROMÁTICO LASER –  PÁGINAS A4 ")</f>
        <v>IMPRESSORA MONOCROMÁTICO LASER –  PÁGINAS A4 </v>
      </c>
      <c r="C293" s="11" t="str">
        <f>IFERROR(__xludf.DUMMYFUNCTION("""COMPUTED_VALUE"""),"IMPRESSORA MONOCROMÁTICO –  PÁGINAS A4 ")</f>
        <v>IMPRESSORA MONOCROMÁTICO –  PÁGINAS A4 </v>
      </c>
      <c r="D293" s="11" t="str">
        <f>IFERROR(__xludf.DUMMYFUNCTION("""COMPUTED_VALUE"""),"IMPRESSORA MONOCROMÁTICO –  PÁGINAS A3")</f>
        <v>IMPRESSORA MONOCROMÁTICO –  PÁGINAS A3</v>
      </c>
      <c r="E293" s="11" t="str">
        <f>IFERROR(__xludf.DUMMYFUNCTION("""COMPUTED_VALUE"""),"IMPRESSORA  POLICROMÁTICO –  PÁGINAS A4 ")</f>
        <v>IMPRESSORA  POLICROMÁTICO –  PÁGINAS A4 </v>
      </c>
      <c r="F293" s="11" t="str">
        <f>IFERROR(__xludf.DUMMYFUNCTION("""COMPUTED_VALUE"""),"IMPRESSORA LARGO FORMATO PLOTTER")</f>
        <v>IMPRESSORA LARGO FORMATO PLOTTER</v>
      </c>
    </row>
    <row r="294">
      <c r="A294" s="11" t="str">
        <f>IFERROR(__xludf.DUMMYFUNCTION("TRANSPOSE(FILTER(ITENS!$D:$D, ITENS!$A:$A = SERVICOS!$A295))"),"SCANNER DE MESA VERTICAL TIPO DE DIGITALIZADOR")</f>
        <v>SCANNER DE MESA VERTICAL TIPO DE DIGITALIZADOR</v>
      </c>
      <c r="B294" s="11" t="str">
        <f>IFERROR(__xludf.DUMMYFUNCTION("""COMPUTED_VALUE"""),"IMPRESSORA MONOCROMÁTICO LASER –  PÁGINAS A4 ")</f>
        <v>IMPRESSORA MONOCROMÁTICO LASER –  PÁGINAS A4 </v>
      </c>
      <c r="C294" s="11" t="str">
        <f>IFERROR(__xludf.DUMMYFUNCTION("""COMPUTED_VALUE"""),"IMPRESSORA MONOCROMÁTICO –  PÁGINAS A4 ")</f>
        <v>IMPRESSORA MONOCROMÁTICO –  PÁGINAS A4 </v>
      </c>
      <c r="D294" s="11" t="str">
        <f>IFERROR(__xludf.DUMMYFUNCTION("""COMPUTED_VALUE"""),"IMPRESSORA MONOCROMÁTICO –  PÁGINAS A3")</f>
        <v>IMPRESSORA MONOCROMÁTICO –  PÁGINAS A3</v>
      </c>
      <c r="E294" s="11" t="str">
        <f>IFERROR(__xludf.DUMMYFUNCTION("""COMPUTED_VALUE"""),"IMPRESSORA  POLICROMÁTICO –  PÁGINAS A4 ")</f>
        <v>IMPRESSORA  POLICROMÁTICO –  PÁGINAS A4 </v>
      </c>
      <c r="F294" s="11" t="str">
        <f>IFERROR(__xludf.DUMMYFUNCTION("""COMPUTED_VALUE"""),"IMPRESSORA LARGO FORMATO PLOTTER")</f>
        <v>IMPRESSORA LARGO FORMATO PLOTTER</v>
      </c>
    </row>
    <row r="295">
      <c r="A295" s="11" t="str">
        <f>IFERROR(__xludf.DUMMYFUNCTION("TRANSPOSE(FILTER(ITENS!$D:$D, ITENS!$A:$A = SERVICOS!$A296))"),"SCANNER DE MESA VERTICAL TIPO DE DIGITALIZADOR")</f>
        <v>SCANNER DE MESA VERTICAL TIPO DE DIGITALIZADOR</v>
      </c>
      <c r="B295" s="11" t="str">
        <f>IFERROR(__xludf.DUMMYFUNCTION("""COMPUTED_VALUE"""),"IMPRESSORA MONOCROMÁTICO LASER –  PÁGINAS A4 ")</f>
        <v>IMPRESSORA MONOCROMÁTICO LASER –  PÁGINAS A4 </v>
      </c>
      <c r="C295" s="11" t="str">
        <f>IFERROR(__xludf.DUMMYFUNCTION("""COMPUTED_VALUE"""),"IMPRESSORA MONOCROMÁTICO –  PÁGINAS A4 ")</f>
        <v>IMPRESSORA MONOCROMÁTICO –  PÁGINAS A4 </v>
      </c>
      <c r="D295" s="11" t="str">
        <f>IFERROR(__xludf.DUMMYFUNCTION("""COMPUTED_VALUE"""),"IMPRESSORA MONOCROMÁTICO –  PÁGINAS A3")</f>
        <v>IMPRESSORA MONOCROMÁTICO –  PÁGINAS A3</v>
      </c>
      <c r="E295" s="11" t="str">
        <f>IFERROR(__xludf.DUMMYFUNCTION("""COMPUTED_VALUE"""),"IMPRESSORA  POLICROMÁTICO –  PÁGINAS A4 ")</f>
        <v>IMPRESSORA  POLICROMÁTICO –  PÁGINAS A4 </v>
      </c>
      <c r="F295" s="11" t="str">
        <f>IFERROR(__xludf.DUMMYFUNCTION("""COMPUTED_VALUE"""),"IMPRESSORA LARGO FORMATO PLOTTER")</f>
        <v>IMPRESSORA LARGO FORMATO PLOTTER</v>
      </c>
    </row>
    <row r="296">
      <c r="A296" s="11" t="str">
        <f>IFERROR(__xludf.DUMMYFUNCTION("TRANSPOSE(FILTER(ITENS!$D:$D, ITENS!$A:$A = SERVICOS!$A297))"),"SCANNER DE MESA VERTICAL TIPO DE DIGITALIZADOR")</f>
        <v>SCANNER DE MESA VERTICAL TIPO DE DIGITALIZADOR</v>
      </c>
      <c r="B296" s="11" t="str">
        <f>IFERROR(__xludf.DUMMYFUNCTION("""COMPUTED_VALUE"""),"IMPRESSORA MONOCROMÁTICO LASER –  PÁGINAS A4 ")</f>
        <v>IMPRESSORA MONOCROMÁTICO LASER –  PÁGINAS A4 </v>
      </c>
      <c r="C296" s="11" t="str">
        <f>IFERROR(__xludf.DUMMYFUNCTION("""COMPUTED_VALUE"""),"IMPRESSORA MONOCROMÁTICO –  PÁGINAS A4 ")</f>
        <v>IMPRESSORA MONOCROMÁTICO –  PÁGINAS A4 </v>
      </c>
      <c r="D296" s="11" t="str">
        <f>IFERROR(__xludf.DUMMYFUNCTION("""COMPUTED_VALUE"""),"IMPRESSORA MONOCROMÁTICO –  PÁGINAS A3")</f>
        <v>IMPRESSORA MONOCROMÁTICO –  PÁGINAS A3</v>
      </c>
      <c r="E296" s="11" t="str">
        <f>IFERROR(__xludf.DUMMYFUNCTION("""COMPUTED_VALUE"""),"IMPRESSORA  POLICROMÁTICO –  PÁGINAS A4 ")</f>
        <v>IMPRESSORA  POLICROMÁTICO –  PÁGINAS A4 </v>
      </c>
      <c r="F296" s="11" t="str">
        <f>IFERROR(__xludf.DUMMYFUNCTION("""COMPUTED_VALUE"""),"IMPRESSORA LARGO FORMATO PLOTTER")</f>
        <v>IMPRESSORA LARGO FORMATO PLOTTER</v>
      </c>
    </row>
    <row r="297">
      <c r="A297" s="11" t="str">
        <f>IFERROR(__xludf.DUMMYFUNCTION("TRANSPOSE(FILTER(ITENS!$D:$D, ITENS!$A:$A = SERVICOS!$A298))"),"IMPRESSORA MULTIFUNCIONAL MONOCROMÁTICO –  30PPM")</f>
        <v>IMPRESSORA MULTIFUNCIONAL MONOCROMÁTICO –  30PPM</v>
      </c>
    </row>
    <row r="298">
      <c r="A298" s="11" t="str">
        <f>IFERROR(__xludf.DUMMYFUNCTION("TRANSPOSE(FILTER(ITENS!$D:$D, ITENS!$A:$A = SERVICOS!$A299))"),"NOTEBOOK TIPO I")</f>
        <v>NOTEBOOK TIPO I</v>
      </c>
      <c r="B298" s="11" t="str">
        <f>IFERROR(__xludf.DUMMYFUNCTION("""COMPUTED_VALUE"""),"NOTEBOOK TIPO II")</f>
        <v>NOTEBOOK TIPO II</v>
      </c>
      <c r="C298" s="11" t="str">
        <f>IFERROR(__xludf.DUMMYFUNCTION("""COMPUTED_VALUE"""),"NOTEBOOK TIPO III")</f>
        <v>NOTEBOOK TIPO III</v>
      </c>
      <c r="D298" s="11" t="str">
        <f>IFERROR(__xludf.DUMMYFUNCTION("""COMPUTED_VALUE"""),"MICRO TIPO I")</f>
        <v>MICRO TIPO I</v>
      </c>
      <c r="E298" s="11" t="str">
        <f>IFERROR(__xludf.DUMMYFUNCTION("""COMPUTED_VALUE"""),"MICRO TIPO II ")</f>
        <v>MICRO TIPO II </v>
      </c>
      <c r="F298" s="11" t="str">
        <f>IFERROR(__xludf.DUMMYFUNCTION("""COMPUTED_VALUE"""),"MICRO TIPO III")</f>
        <v>MICRO TIPO III</v>
      </c>
      <c r="G298" s="11" t="str">
        <f>IFERROR(__xludf.DUMMYFUNCTION("""COMPUTED_VALUE"""),"IMPRESSORA MULTIFUNCIONAL MONOCROMÁTICO LASER –  PÁGINAS A4 ")</f>
        <v>IMPRESSORA MULTIFUNCIONAL MONOCROMÁTICO LASER –  PÁGINAS A4 </v>
      </c>
      <c r="H298" s="11" t="str">
        <f>IFERROR(__xludf.DUMMYFUNCTION("""COMPUTED_VALUE"""),"IMPRESSORA MONOCROMÁTICO LASER –  PÁGINAS A4 ")</f>
        <v>IMPRESSORA MONOCROMÁTICO LASER –  PÁGINAS A4 </v>
      </c>
      <c r="I298" s="11" t="str">
        <f>IFERROR(__xludf.DUMMYFUNCTION("""COMPUTED_VALUE"""),"IMPRESSORA MULTIFUNCIONAL POLICROMÁTICO LASER –  PÁGINAS A3")</f>
        <v>IMPRESSORA MULTIFUNCIONAL POLICROMÁTICO LASER –  PÁGINAS A3</v>
      </c>
      <c r="J298" s="11" t="str">
        <f>IFERROR(__xludf.DUMMYFUNCTION("""COMPUTED_VALUE"""),"IMPRESSORA MULTIFUNCIONAL JATO DE TINTA - PÁGINAS A4")</f>
        <v>IMPRESSORA MULTIFUNCIONAL JATO DE TINTA - PÁGINAS A4</v>
      </c>
      <c r="K298" s="11" t="str">
        <f>IFERROR(__xludf.DUMMYFUNCTION("""COMPUTED_VALUE"""),"SWITCH 48 PORTAS GERENCIAVEL")</f>
        <v>SWITCH 48 PORTAS GERENCIAVEL</v>
      </c>
      <c r="L298" s="11" t="str">
        <f>IFERROR(__xludf.DUMMYFUNCTION("""COMPUTED_VALUE"""),"ACESS POINT")</f>
        <v>ACESS POINT</v>
      </c>
      <c r="M298" s="11" t="str">
        <f>IFERROR(__xludf.DUMMYFUNCTION("""COMPUTED_VALUE"""),"No break 3000 VA")</f>
        <v>No break 3000 VA</v>
      </c>
      <c r="N298" s="11" t="str">
        <f>IFERROR(__xludf.DUMMYFUNCTION("""COMPUTED_VALUE"""),"No break 700 VA.")</f>
        <v>No break 700 VA.</v>
      </c>
      <c r="O298" s="11" t="str">
        <f>IFERROR(__xludf.DUMMYFUNCTION("""COMPUTED_VALUE"""),"TV 65 polegadas ")</f>
        <v>TV 65 polegadas </v>
      </c>
      <c r="P298" s="11" t="str">
        <f>IFERROR(__xludf.DUMMYFUNCTION("""COMPUTED_VALUE"""),"TV 50 POLEGADAS")</f>
        <v>TV 50 POLEGADAS</v>
      </c>
      <c r="Q298" s="11" t="str">
        <f>IFERROR(__xludf.DUMMYFUNCTION("""COMPUTED_VALUE"""),"TV 40 POLEGADAS")</f>
        <v>TV 40 POLEGADAS</v>
      </c>
      <c r="R298" s="11" t="str">
        <f>IFERROR(__xludf.DUMMYFUNCTION("""COMPUTED_VALUE"""),"SWITCH 16 PORTAS")</f>
        <v>SWITCH 16 PORTAS</v>
      </c>
      <c r="S298" s="11" t="str">
        <f>IFERROR(__xludf.DUMMYFUNCTION("""COMPUTED_VALUE"""),"SWITCH 8 PORTAS ")</f>
        <v>SWITCH 8 PORTAS </v>
      </c>
    </row>
    <row r="299">
      <c r="A299" s="11" t="str">
        <f>IFERROR(__xludf.DUMMYFUNCTION("TRANSPOSE(FILTER(ITENS!$D:$D, ITENS!$A:$A = SERVICOS!$A300))"),"NOTEBOOK TIPO I")</f>
        <v>NOTEBOOK TIPO I</v>
      </c>
      <c r="B299" s="11" t="str">
        <f>IFERROR(__xludf.DUMMYFUNCTION("""COMPUTED_VALUE"""),"NOTEBOOK TIPO II")</f>
        <v>NOTEBOOK TIPO II</v>
      </c>
      <c r="C299" s="11" t="str">
        <f>IFERROR(__xludf.DUMMYFUNCTION("""COMPUTED_VALUE"""),"NOTEBOOK TIPO III")</f>
        <v>NOTEBOOK TIPO III</v>
      </c>
      <c r="D299" s="11" t="str">
        <f>IFERROR(__xludf.DUMMYFUNCTION("""COMPUTED_VALUE"""),"MICRO TIPO I")</f>
        <v>MICRO TIPO I</v>
      </c>
      <c r="E299" s="11" t="str">
        <f>IFERROR(__xludf.DUMMYFUNCTION("""COMPUTED_VALUE"""),"MICRO TIPO II ")</f>
        <v>MICRO TIPO II </v>
      </c>
      <c r="F299" s="11" t="str">
        <f>IFERROR(__xludf.DUMMYFUNCTION("""COMPUTED_VALUE"""),"MICRO TIPO III")</f>
        <v>MICRO TIPO III</v>
      </c>
      <c r="G299" s="11" t="str">
        <f>IFERROR(__xludf.DUMMYFUNCTION("""COMPUTED_VALUE"""),"IMPRESSORA MULTIFUNCIONAL MONOCROMÁTICO LASER –  PÁGINAS A4 ")</f>
        <v>IMPRESSORA MULTIFUNCIONAL MONOCROMÁTICO LASER –  PÁGINAS A4 </v>
      </c>
      <c r="H299" s="11" t="str">
        <f>IFERROR(__xludf.DUMMYFUNCTION("""COMPUTED_VALUE"""),"IMPRESSORA MONOCROMÁTICO LASER –  PÁGINAS A4 ")</f>
        <v>IMPRESSORA MONOCROMÁTICO LASER –  PÁGINAS A4 </v>
      </c>
      <c r="I299" s="11" t="str">
        <f>IFERROR(__xludf.DUMMYFUNCTION("""COMPUTED_VALUE"""),"IMPRESSORA MULTIFUNCIONAL POLICROMÁTICO LASER –  PÁGINAS A3")</f>
        <v>IMPRESSORA MULTIFUNCIONAL POLICROMÁTICO LASER –  PÁGINAS A3</v>
      </c>
      <c r="J299" s="11" t="str">
        <f>IFERROR(__xludf.DUMMYFUNCTION("""COMPUTED_VALUE"""),"IMPRESSORA MULTIFUNCIONAL JATO DE TINTA - PÁGINAS A4")</f>
        <v>IMPRESSORA MULTIFUNCIONAL JATO DE TINTA - PÁGINAS A4</v>
      </c>
      <c r="K299" s="11" t="str">
        <f>IFERROR(__xludf.DUMMYFUNCTION("""COMPUTED_VALUE"""),"SWITCH 48 PORTAS GERENCIAVEL")</f>
        <v>SWITCH 48 PORTAS GERENCIAVEL</v>
      </c>
      <c r="L299" s="11" t="str">
        <f>IFERROR(__xludf.DUMMYFUNCTION("""COMPUTED_VALUE"""),"ACESS POINT")</f>
        <v>ACESS POINT</v>
      </c>
      <c r="M299" s="11" t="str">
        <f>IFERROR(__xludf.DUMMYFUNCTION("""COMPUTED_VALUE"""),"No break 3000 VA")</f>
        <v>No break 3000 VA</v>
      </c>
      <c r="N299" s="11" t="str">
        <f>IFERROR(__xludf.DUMMYFUNCTION("""COMPUTED_VALUE"""),"No break 700 VA.")</f>
        <v>No break 700 VA.</v>
      </c>
      <c r="O299" s="11" t="str">
        <f>IFERROR(__xludf.DUMMYFUNCTION("""COMPUTED_VALUE"""),"TV 65 polegadas ")</f>
        <v>TV 65 polegadas </v>
      </c>
      <c r="P299" s="11" t="str">
        <f>IFERROR(__xludf.DUMMYFUNCTION("""COMPUTED_VALUE"""),"TV 50 POLEGADAS")</f>
        <v>TV 50 POLEGADAS</v>
      </c>
      <c r="Q299" s="11" t="str">
        <f>IFERROR(__xludf.DUMMYFUNCTION("""COMPUTED_VALUE"""),"TV 40 POLEGADAS")</f>
        <v>TV 40 POLEGADAS</v>
      </c>
      <c r="R299" s="11" t="str">
        <f>IFERROR(__xludf.DUMMYFUNCTION("""COMPUTED_VALUE"""),"SWITCH 16 PORTAS")</f>
        <v>SWITCH 16 PORTAS</v>
      </c>
      <c r="S299" s="11" t="str">
        <f>IFERROR(__xludf.DUMMYFUNCTION("""COMPUTED_VALUE"""),"SWITCH 8 PORTAS ")</f>
        <v>SWITCH 8 PORTAS </v>
      </c>
    </row>
    <row r="300">
      <c r="A300" s="11" t="str">
        <f>IFERROR(__xludf.DUMMYFUNCTION("TRANSPOSE(FILTER(ITENS!$D:$D, ITENS!$A:$A = SERVICOS!$A301))"),"NOTEBOOK TIPO I")</f>
        <v>NOTEBOOK TIPO I</v>
      </c>
      <c r="B300" s="11" t="str">
        <f>IFERROR(__xludf.DUMMYFUNCTION("""COMPUTED_VALUE"""),"NOTEBOOK TIPO II")</f>
        <v>NOTEBOOK TIPO II</v>
      </c>
      <c r="C300" s="11" t="str">
        <f>IFERROR(__xludf.DUMMYFUNCTION("""COMPUTED_VALUE"""),"NOTEBOOK TIPO III")</f>
        <v>NOTEBOOK TIPO III</v>
      </c>
      <c r="D300" s="11" t="str">
        <f>IFERROR(__xludf.DUMMYFUNCTION("""COMPUTED_VALUE"""),"MICRO TIPO I")</f>
        <v>MICRO TIPO I</v>
      </c>
      <c r="E300" s="11" t="str">
        <f>IFERROR(__xludf.DUMMYFUNCTION("""COMPUTED_VALUE"""),"MICRO TIPO II ")</f>
        <v>MICRO TIPO II </v>
      </c>
      <c r="F300" s="11" t="str">
        <f>IFERROR(__xludf.DUMMYFUNCTION("""COMPUTED_VALUE"""),"MICRO TIPO III")</f>
        <v>MICRO TIPO III</v>
      </c>
      <c r="G300" s="11" t="str">
        <f>IFERROR(__xludf.DUMMYFUNCTION("""COMPUTED_VALUE"""),"IMPRESSORA MULTIFUNCIONAL MONOCROMÁTICO LASER –  PÁGINAS A4 ")</f>
        <v>IMPRESSORA MULTIFUNCIONAL MONOCROMÁTICO LASER –  PÁGINAS A4 </v>
      </c>
      <c r="H300" s="11" t="str">
        <f>IFERROR(__xludf.DUMMYFUNCTION("""COMPUTED_VALUE"""),"IMPRESSORA MONOCROMÁTICO LASER –  PÁGINAS A4 ")</f>
        <v>IMPRESSORA MONOCROMÁTICO LASER –  PÁGINAS A4 </v>
      </c>
      <c r="I300" s="11" t="str">
        <f>IFERROR(__xludf.DUMMYFUNCTION("""COMPUTED_VALUE"""),"IMPRESSORA MULTIFUNCIONAL POLICROMÁTICO LASER –  PÁGINAS A3")</f>
        <v>IMPRESSORA MULTIFUNCIONAL POLICROMÁTICO LASER –  PÁGINAS A3</v>
      </c>
      <c r="J300" s="11" t="str">
        <f>IFERROR(__xludf.DUMMYFUNCTION("""COMPUTED_VALUE"""),"IMPRESSORA MULTIFUNCIONAL JATO DE TINTA - PÁGINAS A4")</f>
        <v>IMPRESSORA MULTIFUNCIONAL JATO DE TINTA - PÁGINAS A4</v>
      </c>
      <c r="K300" s="11" t="str">
        <f>IFERROR(__xludf.DUMMYFUNCTION("""COMPUTED_VALUE"""),"SWITCH 48 PORTAS GERENCIAVEL")</f>
        <v>SWITCH 48 PORTAS GERENCIAVEL</v>
      </c>
      <c r="L300" s="11" t="str">
        <f>IFERROR(__xludf.DUMMYFUNCTION("""COMPUTED_VALUE"""),"ACESS POINT")</f>
        <v>ACESS POINT</v>
      </c>
      <c r="M300" s="11" t="str">
        <f>IFERROR(__xludf.DUMMYFUNCTION("""COMPUTED_VALUE"""),"No break 3000 VA")</f>
        <v>No break 3000 VA</v>
      </c>
      <c r="N300" s="11" t="str">
        <f>IFERROR(__xludf.DUMMYFUNCTION("""COMPUTED_VALUE"""),"No break 700 VA.")</f>
        <v>No break 700 VA.</v>
      </c>
      <c r="O300" s="11" t="str">
        <f>IFERROR(__xludf.DUMMYFUNCTION("""COMPUTED_VALUE"""),"TV 65 polegadas ")</f>
        <v>TV 65 polegadas </v>
      </c>
      <c r="P300" s="11" t="str">
        <f>IFERROR(__xludf.DUMMYFUNCTION("""COMPUTED_VALUE"""),"TV 50 POLEGADAS")</f>
        <v>TV 50 POLEGADAS</v>
      </c>
      <c r="Q300" s="11" t="str">
        <f>IFERROR(__xludf.DUMMYFUNCTION("""COMPUTED_VALUE"""),"TV 40 POLEGADAS")</f>
        <v>TV 40 POLEGADAS</v>
      </c>
      <c r="R300" s="11" t="str">
        <f>IFERROR(__xludf.DUMMYFUNCTION("""COMPUTED_VALUE"""),"SWITCH 16 PORTAS")</f>
        <v>SWITCH 16 PORTAS</v>
      </c>
      <c r="S300" s="11" t="str">
        <f>IFERROR(__xludf.DUMMYFUNCTION("""COMPUTED_VALUE"""),"SWITCH 8 PORTAS ")</f>
        <v>SWITCH 8 PORTAS </v>
      </c>
    </row>
    <row r="301">
      <c r="A301" s="11" t="str">
        <f>IFERROR(__xludf.DUMMYFUNCTION("TRANSPOSE(FILTER(ITENS!$D:$D, ITENS!$A:$A = SERVICOS!$A302))"),"NOTEBOOK TIPO I")</f>
        <v>NOTEBOOK TIPO I</v>
      </c>
      <c r="B301" s="11" t="str">
        <f>IFERROR(__xludf.DUMMYFUNCTION("""COMPUTED_VALUE"""),"NOTEBOOK TIPO II")</f>
        <v>NOTEBOOK TIPO II</v>
      </c>
      <c r="C301" s="11" t="str">
        <f>IFERROR(__xludf.DUMMYFUNCTION("""COMPUTED_VALUE"""),"NOTEBOOK TIPO III")</f>
        <v>NOTEBOOK TIPO III</v>
      </c>
      <c r="D301" s="11" t="str">
        <f>IFERROR(__xludf.DUMMYFUNCTION("""COMPUTED_VALUE"""),"MICRO TIPO I")</f>
        <v>MICRO TIPO I</v>
      </c>
      <c r="E301" s="11" t="str">
        <f>IFERROR(__xludf.DUMMYFUNCTION("""COMPUTED_VALUE"""),"MICRO TIPO II ")</f>
        <v>MICRO TIPO II </v>
      </c>
      <c r="F301" s="11" t="str">
        <f>IFERROR(__xludf.DUMMYFUNCTION("""COMPUTED_VALUE"""),"MICRO TIPO III")</f>
        <v>MICRO TIPO III</v>
      </c>
      <c r="G301" s="11" t="str">
        <f>IFERROR(__xludf.DUMMYFUNCTION("""COMPUTED_VALUE"""),"IMPRESSORA MULTIFUNCIONAL MONOCROMÁTICO LASER –  PÁGINAS A4 ")</f>
        <v>IMPRESSORA MULTIFUNCIONAL MONOCROMÁTICO LASER –  PÁGINAS A4 </v>
      </c>
      <c r="H301" s="11" t="str">
        <f>IFERROR(__xludf.DUMMYFUNCTION("""COMPUTED_VALUE"""),"IMPRESSORA MONOCROMÁTICO LASER –  PÁGINAS A4 ")</f>
        <v>IMPRESSORA MONOCROMÁTICO LASER –  PÁGINAS A4 </v>
      </c>
      <c r="I301" s="11" t="str">
        <f>IFERROR(__xludf.DUMMYFUNCTION("""COMPUTED_VALUE"""),"IMPRESSORA MULTIFUNCIONAL POLICROMÁTICO LASER –  PÁGINAS A3")</f>
        <v>IMPRESSORA MULTIFUNCIONAL POLICROMÁTICO LASER –  PÁGINAS A3</v>
      </c>
      <c r="J301" s="11" t="str">
        <f>IFERROR(__xludf.DUMMYFUNCTION("""COMPUTED_VALUE"""),"IMPRESSORA MULTIFUNCIONAL JATO DE TINTA - PÁGINAS A4")</f>
        <v>IMPRESSORA MULTIFUNCIONAL JATO DE TINTA - PÁGINAS A4</v>
      </c>
      <c r="K301" s="11" t="str">
        <f>IFERROR(__xludf.DUMMYFUNCTION("""COMPUTED_VALUE"""),"SWITCH 48 PORTAS GERENCIAVEL")</f>
        <v>SWITCH 48 PORTAS GERENCIAVEL</v>
      </c>
      <c r="L301" s="11" t="str">
        <f>IFERROR(__xludf.DUMMYFUNCTION("""COMPUTED_VALUE"""),"ACESS POINT")</f>
        <v>ACESS POINT</v>
      </c>
      <c r="M301" s="11" t="str">
        <f>IFERROR(__xludf.DUMMYFUNCTION("""COMPUTED_VALUE"""),"No break 3000 VA")</f>
        <v>No break 3000 VA</v>
      </c>
      <c r="N301" s="11" t="str">
        <f>IFERROR(__xludf.DUMMYFUNCTION("""COMPUTED_VALUE"""),"No break 700 VA.")</f>
        <v>No break 700 VA.</v>
      </c>
      <c r="O301" s="11" t="str">
        <f>IFERROR(__xludf.DUMMYFUNCTION("""COMPUTED_VALUE"""),"TV 65 polegadas ")</f>
        <v>TV 65 polegadas </v>
      </c>
      <c r="P301" s="11" t="str">
        <f>IFERROR(__xludf.DUMMYFUNCTION("""COMPUTED_VALUE"""),"TV 50 POLEGADAS")</f>
        <v>TV 50 POLEGADAS</v>
      </c>
      <c r="Q301" s="11" t="str">
        <f>IFERROR(__xludf.DUMMYFUNCTION("""COMPUTED_VALUE"""),"TV 40 POLEGADAS")</f>
        <v>TV 40 POLEGADAS</v>
      </c>
      <c r="R301" s="11" t="str">
        <f>IFERROR(__xludf.DUMMYFUNCTION("""COMPUTED_VALUE"""),"SWITCH 16 PORTAS")</f>
        <v>SWITCH 16 PORTAS</v>
      </c>
      <c r="S301" s="11" t="str">
        <f>IFERROR(__xludf.DUMMYFUNCTION("""COMPUTED_VALUE"""),"SWITCH 8 PORTAS ")</f>
        <v>SWITCH 8 PORTAS </v>
      </c>
    </row>
    <row r="302">
      <c r="A302" s="11" t="str">
        <f>IFERROR(__xludf.DUMMYFUNCTION("TRANSPOSE(FILTER(ITENS!$D:$D, ITENS!$A:$A = SERVICOS!$A303))"),"NOTEBOOK TIPO I")</f>
        <v>NOTEBOOK TIPO I</v>
      </c>
      <c r="B302" s="11" t="str">
        <f>IFERROR(__xludf.DUMMYFUNCTION("""COMPUTED_VALUE"""),"NOTEBOOK TIPO II")</f>
        <v>NOTEBOOK TIPO II</v>
      </c>
      <c r="C302" s="11" t="str">
        <f>IFERROR(__xludf.DUMMYFUNCTION("""COMPUTED_VALUE"""),"NOTEBOOK TIPO III")</f>
        <v>NOTEBOOK TIPO III</v>
      </c>
      <c r="D302" s="11" t="str">
        <f>IFERROR(__xludf.DUMMYFUNCTION("""COMPUTED_VALUE"""),"MICRO TIPO I")</f>
        <v>MICRO TIPO I</v>
      </c>
      <c r="E302" s="11" t="str">
        <f>IFERROR(__xludf.DUMMYFUNCTION("""COMPUTED_VALUE"""),"MICRO TIPO II ")</f>
        <v>MICRO TIPO II </v>
      </c>
      <c r="F302" s="11" t="str">
        <f>IFERROR(__xludf.DUMMYFUNCTION("""COMPUTED_VALUE"""),"MICRO TIPO III")</f>
        <v>MICRO TIPO III</v>
      </c>
      <c r="G302" s="11" t="str">
        <f>IFERROR(__xludf.DUMMYFUNCTION("""COMPUTED_VALUE"""),"IMPRESSORA MULTIFUNCIONAL MONOCROMÁTICO LASER –  PÁGINAS A4 ")</f>
        <v>IMPRESSORA MULTIFUNCIONAL MONOCROMÁTICO LASER –  PÁGINAS A4 </v>
      </c>
      <c r="H302" s="11" t="str">
        <f>IFERROR(__xludf.DUMMYFUNCTION("""COMPUTED_VALUE"""),"IMPRESSORA MONOCROMÁTICO LASER –  PÁGINAS A4 ")</f>
        <v>IMPRESSORA MONOCROMÁTICO LASER –  PÁGINAS A4 </v>
      </c>
      <c r="I302" s="11" t="str">
        <f>IFERROR(__xludf.DUMMYFUNCTION("""COMPUTED_VALUE"""),"IMPRESSORA MULTIFUNCIONAL POLICROMÁTICO LASER –  PÁGINAS A3")</f>
        <v>IMPRESSORA MULTIFUNCIONAL POLICROMÁTICO LASER –  PÁGINAS A3</v>
      </c>
      <c r="J302" s="11" t="str">
        <f>IFERROR(__xludf.DUMMYFUNCTION("""COMPUTED_VALUE"""),"IMPRESSORA MULTIFUNCIONAL JATO DE TINTA - PÁGINAS A4")</f>
        <v>IMPRESSORA MULTIFUNCIONAL JATO DE TINTA - PÁGINAS A4</v>
      </c>
      <c r="K302" s="11" t="str">
        <f>IFERROR(__xludf.DUMMYFUNCTION("""COMPUTED_VALUE"""),"SWITCH 48 PORTAS GERENCIAVEL")</f>
        <v>SWITCH 48 PORTAS GERENCIAVEL</v>
      </c>
      <c r="L302" s="11" t="str">
        <f>IFERROR(__xludf.DUMMYFUNCTION("""COMPUTED_VALUE"""),"ACESS POINT")</f>
        <v>ACESS POINT</v>
      </c>
      <c r="M302" s="11" t="str">
        <f>IFERROR(__xludf.DUMMYFUNCTION("""COMPUTED_VALUE"""),"No break 3000 VA")</f>
        <v>No break 3000 VA</v>
      </c>
      <c r="N302" s="11" t="str">
        <f>IFERROR(__xludf.DUMMYFUNCTION("""COMPUTED_VALUE"""),"No break 700 VA.")</f>
        <v>No break 700 VA.</v>
      </c>
      <c r="O302" s="11" t="str">
        <f>IFERROR(__xludf.DUMMYFUNCTION("""COMPUTED_VALUE"""),"TV 65 polegadas ")</f>
        <v>TV 65 polegadas </v>
      </c>
      <c r="P302" s="11" t="str">
        <f>IFERROR(__xludf.DUMMYFUNCTION("""COMPUTED_VALUE"""),"TV 50 POLEGADAS")</f>
        <v>TV 50 POLEGADAS</v>
      </c>
      <c r="Q302" s="11" t="str">
        <f>IFERROR(__xludf.DUMMYFUNCTION("""COMPUTED_VALUE"""),"TV 40 POLEGADAS")</f>
        <v>TV 40 POLEGADAS</v>
      </c>
      <c r="R302" s="11" t="str">
        <f>IFERROR(__xludf.DUMMYFUNCTION("""COMPUTED_VALUE"""),"SWITCH 16 PORTAS")</f>
        <v>SWITCH 16 PORTAS</v>
      </c>
      <c r="S302" s="11" t="str">
        <f>IFERROR(__xludf.DUMMYFUNCTION("""COMPUTED_VALUE"""),"SWITCH 8 PORTAS ")</f>
        <v>SWITCH 8 PORTAS </v>
      </c>
    </row>
    <row r="303">
      <c r="A303" s="11" t="str">
        <f>IFERROR(__xludf.DUMMYFUNCTION("TRANSPOSE(FILTER(ITENS!$D:$D, ITENS!$A:$A = SERVICOS!$A304))"),"NOTEBOOK TIPO I")</f>
        <v>NOTEBOOK TIPO I</v>
      </c>
      <c r="B303" s="11" t="str">
        <f>IFERROR(__xludf.DUMMYFUNCTION("""COMPUTED_VALUE"""),"NOTEBOOK TIPO II")</f>
        <v>NOTEBOOK TIPO II</v>
      </c>
      <c r="C303" s="11" t="str">
        <f>IFERROR(__xludf.DUMMYFUNCTION("""COMPUTED_VALUE"""),"NOTEBOOK TIPO III")</f>
        <v>NOTEBOOK TIPO III</v>
      </c>
      <c r="D303" s="11" t="str">
        <f>IFERROR(__xludf.DUMMYFUNCTION("""COMPUTED_VALUE"""),"MICRO TIPO I")</f>
        <v>MICRO TIPO I</v>
      </c>
      <c r="E303" s="11" t="str">
        <f>IFERROR(__xludf.DUMMYFUNCTION("""COMPUTED_VALUE"""),"MICRO TIPO II ")</f>
        <v>MICRO TIPO II </v>
      </c>
      <c r="F303" s="11" t="str">
        <f>IFERROR(__xludf.DUMMYFUNCTION("""COMPUTED_VALUE"""),"MICRO TIPO III")</f>
        <v>MICRO TIPO III</v>
      </c>
      <c r="G303" s="11" t="str">
        <f>IFERROR(__xludf.DUMMYFUNCTION("""COMPUTED_VALUE"""),"IMPRESSORA MULTIFUNCIONAL MONOCROMÁTICO LASER –  PÁGINAS A4 ")</f>
        <v>IMPRESSORA MULTIFUNCIONAL MONOCROMÁTICO LASER –  PÁGINAS A4 </v>
      </c>
      <c r="H303" s="11" t="str">
        <f>IFERROR(__xludf.DUMMYFUNCTION("""COMPUTED_VALUE"""),"IMPRESSORA MONOCROMÁTICO LASER –  PÁGINAS A4 ")</f>
        <v>IMPRESSORA MONOCROMÁTICO LASER –  PÁGINAS A4 </v>
      </c>
      <c r="I303" s="11" t="str">
        <f>IFERROR(__xludf.DUMMYFUNCTION("""COMPUTED_VALUE"""),"IMPRESSORA MULTIFUNCIONAL POLICROMÁTICO LASER –  PÁGINAS A3")</f>
        <v>IMPRESSORA MULTIFUNCIONAL POLICROMÁTICO LASER –  PÁGINAS A3</v>
      </c>
      <c r="J303" s="11" t="str">
        <f>IFERROR(__xludf.DUMMYFUNCTION("""COMPUTED_VALUE"""),"IMPRESSORA MULTIFUNCIONAL JATO DE TINTA - PÁGINAS A4")</f>
        <v>IMPRESSORA MULTIFUNCIONAL JATO DE TINTA - PÁGINAS A4</v>
      </c>
      <c r="K303" s="11" t="str">
        <f>IFERROR(__xludf.DUMMYFUNCTION("""COMPUTED_VALUE"""),"SWITCH 48 PORTAS GERENCIAVEL")</f>
        <v>SWITCH 48 PORTAS GERENCIAVEL</v>
      </c>
      <c r="L303" s="11" t="str">
        <f>IFERROR(__xludf.DUMMYFUNCTION("""COMPUTED_VALUE"""),"ACESS POINT")</f>
        <v>ACESS POINT</v>
      </c>
      <c r="M303" s="11" t="str">
        <f>IFERROR(__xludf.DUMMYFUNCTION("""COMPUTED_VALUE"""),"No break 3000 VA")</f>
        <v>No break 3000 VA</v>
      </c>
      <c r="N303" s="11" t="str">
        <f>IFERROR(__xludf.DUMMYFUNCTION("""COMPUTED_VALUE"""),"No break 700 VA.")</f>
        <v>No break 700 VA.</v>
      </c>
      <c r="O303" s="11" t="str">
        <f>IFERROR(__xludf.DUMMYFUNCTION("""COMPUTED_VALUE"""),"TV 65 polegadas ")</f>
        <v>TV 65 polegadas </v>
      </c>
      <c r="P303" s="11" t="str">
        <f>IFERROR(__xludf.DUMMYFUNCTION("""COMPUTED_VALUE"""),"TV 50 POLEGADAS")</f>
        <v>TV 50 POLEGADAS</v>
      </c>
      <c r="Q303" s="11" t="str">
        <f>IFERROR(__xludf.DUMMYFUNCTION("""COMPUTED_VALUE"""),"TV 40 POLEGADAS")</f>
        <v>TV 40 POLEGADAS</v>
      </c>
      <c r="R303" s="11" t="str">
        <f>IFERROR(__xludf.DUMMYFUNCTION("""COMPUTED_VALUE"""),"SWITCH 16 PORTAS")</f>
        <v>SWITCH 16 PORTAS</v>
      </c>
      <c r="S303" s="11" t="str">
        <f>IFERROR(__xludf.DUMMYFUNCTION("""COMPUTED_VALUE"""),"SWITCH 8 PORTAS ")</f>
        <v>SWITCH 8 PORTAS </v>
      </c>
    </row>
    <row r="304">
      <c r="A304" s="11" t="str">
        <f>IFERROR(__xludf.DUMMYFUNCTION("TRANSPOSE(FILTER(ITENS!$D:$D, ITENS!$A:$A = SERVICOS!$A305))"),"NOTEBOOK TIPO I")</f>
        <v>NOTEBOOK TIPO I</v>
      </c>
      <c r="B304" s="11" t="str">
        <f>IFERROR(__xludf.DUMMYFUNCTION("""COMPUTED_VALUE"""),"NOTEBOOK TIPO II")</f>
        <v>NOTEBOOK TIPO II</v>
      </c>
      <c r="C304" s="11" t="str">
        <f>IFERROR(__xludf.DUMMYFUNCTION("""COMPUTED_VALUE"""),"NOTEBOOK TIPO III")</f>
        <v>NOTEBOOK TIPO III</v>
      </c>
      <c r="D304" s="11" t="str">
        <f>IFERROR(__xludf.DUMMYFUNCTION("""COMPUTED_VALUE"""),"MICRO TIPO I")</f>
        <v>MICRO TIPO I</v>
      </c>
      <c r="E304" s="11" t="str">
        <f>IFERROR(__xludf.DUMMYFUNCTION("""COMPUTED_VALUE"""),"MICRO TIPO II ")</f>
        <v>MICRO TIPO II </v>
      </c>
      <c r="F304" s="11" t="str">
        <f>IFERROR(__xludf.DUMMYFUNCTION("""COMPUTED_VALUE"""),"MICRO TIPO III")</f>
        <v>MICRO TIPO III</v>
      </c>
      <c r="G304" s="11" t="str">
        <f>IFERROR(__xludf.DUMMYFUNCTION("""COMPUTED_VALUE"""),"IMPRESSORA MULTIFUNCIONAL MONOCROMÁTICO LASER –  PÁGINAS A4 ")</f>
        <v>IMPRESSORA MULTIFUNCIONAL MONOCROMÁTICO LASER –  PÁGINAS A4 </v>
      </c>
      <c r="H304" s="11" t="str">
        <f>IFERROR(__xludf.DUMMYFUNCTION("""COMPUTED_VALUE"""),"IMPRESSORA MONOCROMÁTICO LASER –  PÁGINAS A4 ")</f>
        <v>IMPRESSORA MONOCROMÁTICO LASER –  PÁGINAS A4 </v>
      </c>
      <c r="I304" s="11" t="str">
        <f>IFERROR(__xludf.DUMMYFUNCTION("""COMPUTED_VALUE"""),"IMPRESSORA MULTIFUNCIONAL POLICROMÁTICO LASER –  PÁGINAS A3")</f>
        <v>IMPRESSORA MULTIFUNCIONAL POLICROMÁTICO LASER –  PÁGINAS A3</v>
      </c>
      <c r="J304" s="11" t="str">
        <f>IFERROR(__xludf.DUMMYFUNCTION("""COMPUTED_VALUE"""),"IMPRESSORA MULTIFUNCIONAL JATO DE TINTA - PÁGINAS A4")</f>
        <v>IMPRESSORA MULTIFUNCIONAL JATO DE TINTA - PÁGINAS A4</v>
      </c>
      <c r="K304" s="11" t="str">
        <f>IFERROR(__xludf.DUMMYFUNCTION("""COMPUTED_VALUE"""),"SWITCH 48 PORTAS GERENCIAVEL")</f>
        <v>SWITCH 48 PORTAS GERENCIAVEL</v>
      </c>
      <c r="L304" s="11" t="str">
        <f>IFERROR(__xludf.DUMMYFUNCTION("""COMPUTED_VALUE"""),"ACESS POINT")</f>
        <v>ACESS POINT</v>
      </c>
      <c r="M304" s="11" t="str">
        <f>IFERROR(__xludf.DUMMYFUNCTION("""COMPUTED_VALUE"""),"No break 3000 VA")</f>
        <v>No break 3000 VA</v>
      </c>
      <c r="N304" s="11" t="str">
        <f>IFERROR(__xludf.DUMMYFUNCTION("""COMPUTED_VALUE"""),"No break 700 VA.")</f>
        <v>No break 700 VA.</v>
      </c>
      <c r="O304" s="11" t="str">
        <f>IFERROR(__xludf.DUMMYFUNCTION("""COMPUTED_VALUE"""),"TV 65 polegadas ")</f>
        <v>TV 65 polegadas </v>
      </c>
      <c r="P304" s="11" t="str">
        <f>IFERROR(__xludf.DUMMYFUNCTION("""COMPUTED_VALUE"""),"TV 50 POLEGADAS")</f>
        <v>TV 50 POLEGADAS</v>
      </c>
      <c r="Q304" s="11" t="str">
        <f>IFERROR(__xludf.DUMMYFUNCTION("""COMPUTED_VALUE"""),"TV 40 POLEGADAS")</f>
        <v>TV 40 POLEGADAS</v>
      </c>
      <c r="R304" s="11" t="str">
        <f>IFERROR(__xludf.DUMMYFUNCTION("""COMPUTED_VALUE"""),"SWITCH 16 PORTAS")</f>
        <v>SWITCH 16 PORTAS</v>
      </c>
      <c r="S304" s="11" t="str">
        <f>IFERROR(__xludf.DUMMYFUNCTION("""COMPUTED_VALUE"""),"SWITCH 8 PORTAS ")</f>
        <v>SWITCH 8 PORTAS </v>
      </c>
    </row>
    <row r="305">
      <c r="A305" s="11" t="str">
        <f>IFERROR(__xludf.DUMMYFUNCTION("TRANSPOSE(FILTER(ITENS!$D:$D, ITENS!$A:$A = SERVICOS!$A306))"),"NOTEBOOK TIPO I")</f>
        <v>NOTEBOOK TIPO I</v>
      </c>
      <c r="B305" s="11" t="str">
        <f>IFERROR(__xludf.DUMMYFUNCTION("""COMPUTED_VALUE"""),"NOTEBOOK TIPO II")</f>
        <v>NOTEBOOK TIPO II</v>
      </c>
      <c r="C305" s="11" t="str">
        <f>IFERROR(__xludf.DUMMYFUNCTION("""COMPUTED_VALUE"""),"NOTEBOOK TIPO III")</f>
        <v>NOTEBOOK TIPO III</v>
      </c>
      <c r="D305" s="11" t="str">
        <f>IFERROR(__xludf.DUMMYFUNCTION("""COMPUTED_VALUE"""),"MICRO TIPO I")</f>
        <v>MICRO TIPO I</v>
      </c>
      <c r="E305" s="11" t="str">
        <f>IFERROR(__xludf.DUMMYFUNCTION("""COMPUTED_VALUE"""),"MICRO TIPO II ")</f>
        <v>MICRO TIPO II </v>
      </c>
      <c r="F305" s="11" t="str">
        <f>IFERROR(__xludf.DUMMYFUNCTION("""COMPUTED_VALUE"""),"MICRO TIPO III")</f>
        <v>MICRO TIPO III</v>
      </c>
      <c r="G305" s="11" t="str">
        <f>IFERROR(__xludf.DUMMYFUNCTION("""COMPUTED_VALUE"""),"IMPRESSORA MULTIFUNCIONAL MONOCROMÁTICO LASER –  PÁGINAS A4 ")</f>
        <v>IMPRESSORA MULTIFUNCIONAL MONOCROMÁTICO LASER –  PÁGINAS A4 </v>
      </c>
      <c r="H305" s="11" t="str">
        <f>IFERROR(__xludf.DUMMYFUNCTION("""COMPUTED_VALUE"""),"IMPRESSORA MONOCROMÁTICO LASER –  PÁGINAS A4 ")</f>
        <v>IMPRESSORA MONOCROMÁTICO LASER –  PÁGINAS A4 </v>
      </c>
      <c r="I305" s="11" t="str">
        <f>IFERROR(__xludf.DUMMYFUNCTION("""COMPUTED_VALUE"""),"IMPRESSORA MULTIFUNCIONAL POLICROMÁTICO LASER –  PÁGINAS A3")</f>
        <v>IMPRESSORA MULTIFUNCIONAL POLICROMÁTICO LASER –  PÁGINAS A3</v>
      </c>
      <c r="J305" s="11" t="str">
        <f>IFERROR(__xludf.DUMMYFUNCTION("""COMPUTED_VALUE"""),"IMPRESSORA MULTIFUNCIONAL JATO DE TINTA - PÁGINAS A4")</f>
        <v>IMPRESSORA MULTIFUNCIONAL JATO DE TINTA - PÁGINAS A4</v>
      </c>
      <c r="K305" s="11" t="str">
        <f>IFERROR(__xludf.DUMMYFUNCTION("""COMPUTED_VALUE"""),"SWITCH 48 PORTAS GERENCIAVEL")</f>
        <v>SWITCH 48 PORTAS GERENCIAVEL</v>
      </c>
      <c r="L305" s="11" t="str">
        <f>IFERROR(__xludf.DUMMYFUNCTION("""COMPUTED_VALUE"""),"ACESS POINT")</f>
        <v>ACESS POINT</v>
      </c>
      <c r="M305" s="11" t="str">
        <f>IFERROR(__xludf.DUMMYFUNCTION("""COMPUTED_VALUE"""),"No break 3000 VA")</f>
        <v>No break 3000 VA</v>
      </c>
      <c r="N305" s="11" t="str">
        <f>IFERROR(__xludf.DUMMYFUNCTION("""COMPUTED_VALUE"""),"No break 700 VA.")</f>
        <v>No break 700 VA.</v>
      </c>
      <c r="O305" s="11" t="str">
        <f>IFERROR(__xludf.DUMMYFUNCTION("""COMPUTED_VALUE"""),"TV 65 polegadas ")</f>
        <v>TV 65 polegadas </v>
      </c>
      <c r="P305" s="11" t="str">
        <f>IFERROR(__xludf.DUMMYFUNCTION("""COMPUTED_VALUE"""),"TV 50 POLEGADAS")</f>
        <v>TV 50 POLEGADAS</v>
      </c>
      <c r="Q305" s="11" t="str">
        <f>IFERROR(__xludf.DUMMYFUNCTION("""COMPUTED_VALUE"""),"TV 40 POLEGADAS")</f>
        <v>TV 40 POLEGADAS</v>
      </c>
      <c r="R305" s="11" t="str">
        <f>IFERROR(__xludf.DUMMYFUNCTION("""COMPUTED_VALUE"""),"SWITCH 16 PORTAS")</f>
        <v>SWITCH 16 PORTAS</v>
      </c>
      <c r="S305" s="11" t="str">
        <f>IFERROR(__xludf.DUMMYFUNCTION("""COMPUTED_VALUE"""),"SWITCH 8 PORTAS ")</f>
        <v>SWITCH 8 PORTAS </v>
      </c>
    </row>
    <row r="306">
      <c r="A306" s="11" t="str">
        <f>IFERROR(__xludf.DUMMYFUNCTION("TRANSPOSE(FILTER(ITENS!$D:$D, ITENS!$A:$A = SERVICOS!$A307))"),"NOTEBOOK TIPO I")</f>
        <v>NOTEBOOK TIPO I</v>
      </c>
      <c r="B306" s="11" t="str">
        <f>IFERROR(__xludf.DUMMYFUNCTION("""COMPUTED_VALUE"""),"NOTEBOOK TIPO II")</f>
        <v>NOTEBOOK TIPO II</v>
      </c>
      <c r="C306" s="11" t="str">
        <f>IFERROR(__xludf.DUMMYFUNCTION("""COMPUTED_VALUE"""),"NOTEBOOK TIPO III")</f>
        <v>NOTEBOOK TIPO III</v>
      </c>
      <c r="D306" s="11" t="str">
        <f>IFERROR(__xludf.DUMMYFUNCTION("""COMPUTED_VALUE"""),"MICRO TIPO I")</f>
        <v>MICRO TIPO I</v>
      </c>
      <c r="E306" s="11" t="str">
        <f>IFERROR(__xludf.DUMMYFUNCTION("""COMPUTED_VALUE"""),"MICRO TIPO II ")</f>
        <v>MICRO TIPO II </v>
      </c>
      <c r="F306" s="11" t="str">
        <f>IFERROR(__xludf.DUMMYFUNCTION("""COMPUTED_VALUE"""),"MICRO TIPO III")</f>
        <v>MICRO TIPO III</v>
      </c>
      <c r="G306" s="11" t="str">
        <f>IFERROR(__xludf.DUMMYFUNCTION("""COMPUTED_VALUE"""),"IMPRESSORA MULTIFUNCIONAL MONOCROMÁTICO LASER –  PÁGINAS A4 ")</f>
        <v>IMPRESSORA MULTIFUNCIONAL MONOCROMÁTICO LASER –  PÁGINAS A4 </v>
      </c>
      <c r="H306" s="11" t="str">
        <f>IFERROR(__xludf.DUMMYFUNCTION("""COMPUTED_VALUE"""),"IMPRESSORA MONOCROMÁTICO LASER –  PÁGINAS A4 ")</f>
        <v>IMPRESSORA MONOCROMÁTICO LASER –  PÁGINAS A4 </v>
      </c>
      <c r="I306" s="11" t="str">
        <f>IFERROR(__xludf.DUMMYFUNCTION("""COMPUTED_VALUE"""),"IMPRESSORA MULTIFUNCIONAL POLICROMÁTICO LASER –  PÁGINAS A3")</f>
        <v>IMPRESSORA MULTIFUNCIONAL POLICROMÁTICO LASER –  PÁGINAS A3</v>
      </c>
      <c r="J306" s="11" t="str">
        <f>IFERROR(__xludf.DUMMYFUNCTION("""COMPUTED_VALUE"""),"IMPRESSORA MULTIFUNCIONAL JATO DE TINTA - PÁGINAS A4")</f>
        <v>IMPRESSORA MULTIFUNCIONAL JATO DE TINTA - PÁGINAS A4</v>
      </c>
      <c r="K306" s="11" t="str">
        <f>IFERROR(__xludf.DUMMYFUNCTION("""COMPUTED_VALUE"""),"SWITCH 48 PORTAS GERENCIAVEL")</f>
        <v>SWITCH 48 PORTAS GERENCIAVEL</v>
      </c>
      <c r="L306" s="11" t="str">
        <f>IFERROR(__xludf.DUMMYFUNCTION("""COMPUTED_VALUE"""),"ACESS POINT")</f>
        <v>ACESS POINT</v>
      </c>
      <c r="M306" s="11" t="str">
        <f>IFERROR(__xludf.DUMMYFUNCTION("""COMPUTED_VALUE"""),"No break 3000 VA")</f>
        <v>No break 3000 VA</v>
      </c>
      <c r="N306" s="11" t="str">
        <f>IFERROR(__xludf.DUMMYFUNCTION("""COMPUTED_VALUE"""),"No break 700 VA.")</f>
        <v>No break 700 VA.</v>
      </c>
      <c r="O306" s="11" t="str">
        <f>IFERROR(__xludf.DUMMYFUNCTION("""COMPUTED_VALUE"""),"TV 65 polegadas ")</f>
        <v>TV 65 polegadas </v>
      </c>
      <c r="P306" s="11" t="str">
        <f>IFERROR(__xludf.DUMMYFUNCTION("""COMPUTED_VALUE"""),"TV 50 POLEGADAS")</f>
        <v>TV 50 POLEGADAS</v>
      </c>
      <c r="Q306" s="11" t="str">
        <f>IFERROR(__xludf.DUMMYFUNCTION("""COMPUTED_VALUE"""),"TV 40 POLEGADAS")</f>
        <v>TV 40 POLEGADAS</v>
      </c>
      <c r="R306" s="11" t="str">
        <f>IFERROR(__xludf.DUMMYFUNCTION("""COMPUTED_VALUE"""),"SWITCH 16 PORTAS")</f>
        <v>SWITCH 16 PORTAS</v>
      </c>
      <c r="S306" s="11" t="str">
        <f>IFERROR(__xludf.DUMMYFUNCTION("""COMPUTED_VALUE"""),"SWITCH 8 PORTAS ")</f>
        <v>SWITCH 8 PORTAS </v>
      </c>
    </row>
    <row r="307">
      <c r="A307" s="11" t="str">
        <f>IFERROR(__xludf.DUMMYFUNCTION("TRANSPOSE(FILTER(ITENS!$D:$D, ITENS!$A:$A = SERVICOS!$A308))"),"NOTEBOOK TIPO I")</f>
        <v>NOTEBOOK TIPO I</v>
      </c>
      <c r="B307" s="11" t="str">
        <f>IFERROR(__xludf.DUMMYFUNCTION("""COMPUTED_VALUE"""),"NOTEBOOK TIPO II")</f>
        <v>NOTEBOOK TIPO II</v>
      </c>
      <c r="C307" s="11" t="str">
        <f>IFERROR(__xludf.DUMMYFUNCTION("""COMPUTED_VALUE"""),"NOTEBOOK TIPO III")</f>
        <v>NOTEBOOK TIPO III</v>
      </c>
      <c r="D307" s="11" t="str">
        <f>IFERROR(__xludf.DUMMYFUNCTION("""COMPUTED_VALUE"""),"MICRO TIPO I")</f>
        <v>MICRO TIPO I</v>
      </c>
      <c r="E307" s="11" t="str">
        <f>IFERROR(__xludf.DUMMYFUNCTION("""COMPUTED_VALUE"""),"MICRO TIPO II ")</f>
        <v>MICRO TIPO II </v>
      </c>
      <c r="F307" s="11" t="str">
        <f>IFERROR(__xludf.DUMMYFUNCTION("""COMPUTED_VALUE"""),"MICRO TIPO III")</f>
        <v>MICRO TIPO III</v>
      </c>
      <c r="G307" s="11" t="str">
        <f>IFERROR(__xludf.DUMMYFUNCTION("""COMPUTED_VALUE"""),"IMPRESSORA MULTIFUNCIONAL MONOCROMÁTICO LASER –  PÁGINAS A4 ")</f>
        <v>IMPRESSORA MULTIFUNCIONAL MONOCROMÁTICO LASER –  PÁGINAS A4 </v>
      </c>
      <c r="H307" s="11" t="str">
        <f>IFERROR(__xludf.DUMMYFUNCTION("""COMPUTED_VALUE"""),"IMPRESSORA MONOCROMÁTICO LASER –  PÁGINAS A4 ")</f>
        <v>IMPRESSORA MONOCROMÁTICO LASER –  PÁGINAS A4 </v>
      </c>
      <c r="I307" s="11" t="str">
        <f>IFERROR(__xludf.DUMMYFUNCTION("""COMPUTED_VALUE"""),"IMPRESSORA MULTIFUNCIONAL POLICROMÁTICO LASER –  PÁGINAS A3")</f>
        <v>IMPRESSORA MULTIFUNCIONAL POLICROMÁTICO LASER –  PÁGINAS A3</v>
      </c>
      <c r="J307" s="11" t="str">
        <f>IFERROR(__xludf.DUMMYFUNCTION("""COMPUTED_VALUE"""),"IMPRESSORA MULTIFUNCIONAL JATO DE TINTA - PÁGINAS A4")</f>
        <v>IMPRESSORA MULTIFUNCIONAL JATO DE TINTA - PÁGINAS A4</v>
      </c>
      <c r="K307" s="11" t="str">
        <f>IFERROR(__xludf.DUMMYFUNCTION("""COMPUTED_VALUE"""),"SWITCH 48 PORTAS GERENCIAVEL")</f>
        <v>SWITCH 48 PORTAS GERENCIAVEL</v>
      </c>
      <c r="L307" s="11" t="str">
        <f>IFERROR(__xludf.DUMMYFUNCTION("""COMPUTED_VALUE"""),"ACESS POINT")</f>
        <v>ACESS POINT</v>
      </c>
      <c r="M307" s="11" t="str">
        <f>IFERROR(__xludf.DUMMYFUNCTION("""COMPUTED_VALUE"""),"No break 3000 VA")</f>
        <v>No break 3000 VA</v>
      </c>
      <c r="N307" s="11" t="str">
        <f>IFERROR(__xludf.DUMMYFUNCTION("""COMPUTED_VALUE"""),"No break 700 VA.")</f>
        <v>No break 700 VA.</v>
      </c>
      <c r="O307" s="11" t="str">
        <f>IFERROR(__xludf.DUMMYFUNCTION("""COMPUTED_VALUE"""),"TV 65 polegadas ")</f>
        <v>TV 65 polegadas </v>
      </c>
      <c r="P307" s="11" t="str">
        <f>IFERROR(__xludf.DUMMYFUNCTION("""COMPUTED_VALUE"""),"TV 50 POLEGADAS")</f>
        <v>TV 50 POLEGADAS</v>
      </c>
      <c r="Q307" s="11" t="str">
        <f>IFERROR(__xludf.DUMMYFUNCTION("""COMPUTED_VALUE"""),"TV 40 POLEGADAS")</f>
        <v>TV 40 POLEGADAS</v>
      </c>
      <c r="R307" s="11" t="str">
        <f>IFERROR(__xludf.DUMMYFUNCTION("""COMPUTED_VALUE"""),"SWITCH 16 PORTAS")</f>
        <v>SWITCH 16 PORTAS</v>
      </c>
      <c r="S307" s="11" t="str">
        <f>IFERROR(__xludf.DUMMYFUNCTION("""COMPUTED_VALUE"""),"SWITCH 8 PORTAS ")</f>
        <v>SWITCH 8 PORTAS </v>
      </c>
    </row>
    <row r="308">
      <c r="A308" s="11" t="str">
        <f>IFERROR(__xludf.DUMMYFUNCTION("TRANSPOSE(FILTER(ITENS!$D:$D, ITENS!$A:$A = SERVICOS!$A309))"),"NOTEBOOK TIPO I")</f>
        <v>NOTEBOOK TIPO I</v>
      </c>
      <c r="B308" s="11" t="str">
        <f>IFERROR(__xludf.DUMMYFUNCTION("""COMPUTED_VALUE"""),"NOTEBOOK TIPO II")</f>
        <v>NOTEBOOK TIPO II</v>
      </c>
      <c r="C308" s="11" t="str">
        <f>IFERROR(__xludf.DUMMYFUNCTION("""COMPUTED_VALUE"""),"NOTEBOOK TIPO III")</f>
        <v>NOTEBOOK TIPO III</v>
      </c>
      <c r="D308" s="11" t="str">
        <f>IFERROR(__xludf.DUMMYFUNCTION("""COMPUTED_VALUE"""),"MICRO TIPO I")</f>
        <v>MICRO TIPO I</v>
      </c>
      <c r="E308" s="11" t="str">
        <f>IFERROR(__xludf.DUMMYFUNCTION("""COMPUTED_VALUE"""),"MICRO TIPO II ")</f>
        <v>MICRO TIPO II </v>
      </c>
      <c r="F308" s="11" t="str">
        <f>IFERROR(__xludf.DUMMYFUNCTION("""COMPUTED_VALUE"""),"MICRO TIPO III")</f>
        <v>MICRO TIPO III</v>
      </c>
      <c r="G308" s="11" t="str">
        <f>IFERROR(__xludf.DUMMYFUNCTION("""COMPUTED_VALUE"""),"IMPRESSORA MULTIFUNCIONAL MONOCROMÁTICO LASER –  PÁGINAS A4 ")</f>
        <v>IMPRESSORA MULTIFUNCIONAL MONOCROMÁTICO LASER –  PÁGINAS A4 </v>
      </c>
      <c r="H308" s="11" t="str">
        <f>IFERROR(__xludf.DUMMYFUNCTION("""COMPUTED_VALUE"""),"IMPRESSORA MONOCROMÁTICO LASER –  PÁGINAS A4 ")</f>
        <v>IMPRESSORA MONOCROMÁTICO LASER –  PÁGINAS A4 </v>
      </c>
      <c r="I308" s="11" t="str">
        <f>IFERROR(__xludf.DUMMYFUNCTION("""COMPUTED_VALUE"""),"IMPRESSORA MULTIFUNCIONAL POLICROMÁTICO LASER –  PÁGINAS A3")</f>
        <v>IMPRESSORA MULTIFUNCIONAL POLICROMÁTICO LASER –  PÁGINAS A3</v>
      </c>
      <c r="J308" s="11" t="str">
        <f>IFERROR(__xludf.DUMMYFUNCTION("""COMPUTED_VALUE"""),"IMPRESSORA MULTIFUNCIONAL JATO DE TINTA - PÁGINAS A4")</f>
        <v>IMPRESSORA MULTIFUNCIONAL JATO DE TINTA - PÁGINAS A4</v>
      </c>
      <c r="K308" s="11" t="str">
        <f>IFERROR(__xludf.DUMMYFUNCTION("""COMPUTED_VALUE"""),"SWITCH 48 PORTAS GERENCIAVEL")</f>
        <v>SWITCH 48 PORTAS GERENCIAVEL</v>
      </c>
      <c r="L308" s="11" t="str">
        <f>IFERROR(__xludf.DUMMYFUNCTION("""COMPUTED_VALUE"""),"ACESS POINT")</f>
        <v>ACESS POINT</v>
      </c>
      <c r="M308" s="11" t="str">
        <f>IFERROR(__xludf.DUMMYFUNCTION("""COMPUTED_VALUE"""),"No break 3000 VA")</f>
        <v>No break 3000 VA</v>
      </c>
      <c r="N308" s="11" t="str">
        <f>IFERROR(__xludf.DUMMYFUNCTION("""COMPUTED_VALUE"""),"No break 700 VA.")</f>
        <v>No break 700 VA.</v>
      </c>
      <c r="O308" s="11" t="str">
        <f>IFERROR(__xludf.DUMMYFUNCTION("""COMPUTED_VALUE"""),"TV 65 polegadas ")</f>
        <v>TV 65 polegadas </v>
      </c>
      <c r="P308" s="11" t="str">
        <f>IFERROR(__xludf.DUMMYFUNCTION("""COMPUTED_VALUE"""),"TV 50 POLEGADAS")</f>
        <v>TV 50 POLEGADAS</v>
      </c>
      <c r="Q308" s="11" t="str">
        <f>IFERROR(__xludf.DUMMYFUNCTION("""COMPUTED_VALUE"""),"TV 40 POLEGADAS")</f>
        <v>TV 40 POLEGADAS</v>
      </c>
      <c r="R308" s="11" t="str">
        <f>IFERROR(__xludf.DUMMYFUNCTION("""COMPUTED_VALUE"""),"SWITCH 16 PORTAS")</f>
        <v>SWITCH 16 PORTAS</v>
      </c>
      <c r="S308" s="11" t="str">
        <f>IFERROR(__xludf.DUMMYFUNCTION("""COMPUTED_VALUE"""),"SWITCH 8 PORTAS ")</f>
        <v>SWITCH 8 PORTAS </v>
      </c>
    </row>
    <row r="309">
      <c r="A309" s="11" t="str">
        <f>IFERROR(__xludf.DUMMYFUNCTION("TRANSPOSE(FILTER(ITENS!$D:$D, ITENS!$A:$A = SERVICOS!$A310))"),"NOTEBOOK TIPO I")</f>
        <v>NOTEBOOK TIPO I</v>
      </c>
      <c r="B309" s="11" t="str">
        <f>IFERROR(__xludf.DUMMYFUNCTION("""COMPUTED_VALUE"""),"NOTEBOOK TIPO II")</f>
        <v>NOTEBOOK TIPO II</v>
      </c>
      <c r="C309" s="11" t="str">
        <f>IFERROR(__xludf.DUMMYFUNCTION("""COMPUTED_VALUE"""),"NOTEBOOK TIPO III")</f>
        <v>NOTEBOOK TIPO III</v>
      </c>
      <c r="D309" s="11" t="str">
        <f>IFERROR(__xludf.DUMMYFUNCTION("""COMPUTED_VALUE"""),"MICRO TIPO I")</f>
        <v>MICRO TIPO I</v>
      </c>
      <c r="E309" s="11" t="str">
        <f>IFERROR(__xludf.DUMMYFUNCTION("""COMPUTED_VALUE"""),"MICRO TIPO II ")</f>
        <v>MICRO TIPO II </v>
      </c>
      <c r="F309" s="11" t="str">
        <f>IFERROR(__xludf.DUMMYFUNCTION("""COMPUTED_VALUE"""),"MICRO TIPO III")</f>
        <v>MICRO TIPO III</v>
      </c>
      <c r="G309" s="11" t="str">
        <f>IFERROR(__xludf.DUMMYFUNCTION("""COMPUTED_VALUE"""),"IMPRESSORA MULTIFUNCIONAL MONOCROMÁTICO LASER –  PÁGINAS A4 ")</f>
        <v>IMPRESSORA MULTIFUNCIONAL MONOCROMÁTICO LASER –  PÁGINAS A4 </v>
      </c>
      <c r="H309" s="11" t="str">
        <f>IFERROR(__xludf.DUMMYFUNCTION("""COMPUTED_VALUE"""),"IMPRESSORA MONOCROMÁTICO LASER –  PÁGINAS A4 ")</f>
        <v>IMPRESSORA MONOCROMÁTICO LASER –  PÁGINAS A4 </v>
      </c>
      <c r="I309" s="11" t="str">
        <f>IFERROR(__xludf.DUMMYFUNCTION("""COMPUTED_VALUE"""),"IMPRESSORA MULTIFUNCIONAL POLICROMÁTICO LASER –  PÁGINAS A3")</f>
        <v>IMPRESSORA MULTIFUNCIONAL POLICROMÁTICO LASER –  PÁGINAS A3</v>
      </c>
      <c r="J309" s="11" t="str">
        <f>IFERROR(__xludf.DUMMYFUNCTION("""COMPUTED_VALUE"""),"IMPRESSORA MULTIFUNCIONAL JATO DE TINTA - PÁGINAS A4")</f>
        <v>IMPRESSORA MULTIFUNCIONAL JATO DE TINTA - PÁGINAS A4</v>
      </c>
      <c r="K309" s="11" t="str">
        <f>IFERROR(__xludf.DUMMYFUNCTION("""COMPUTED_VALUE"""),"SWITCH 48 PORTAS GERENCIAVEL")</f>
        <v>SWITCH 48 PORTAS GERENCIAVEL</v>
      </c>
      <c r="L309" s="11" t="str">
        <f>IFERROR(__xludf.DUMMYFUNCTION("""COMPUTED_VALUE"""),"ACESS POINT")</f>
        <v>ACESS POINT</v>
      </c>
      <c r="M309" s="11" t="str">
        <f>IFERROR(__xludf.DUMMYFUNCTION("""COMPUTED_VALUE"""),"No break 3000 VA")</f>
        <v>No break 3000 VA</v>
      </c>
      <c r="N309" s="11" t="str">
        <f>IFERROR(__xludf.DUMMYFUNCTION("""COMPUTED_VALUE"""),"No break 700 VA.")</f>
        <v>No break 700 VA.</v>
      </c>
      <c r="O309" s="11" t="str">
        <f>IFERROR(__xludf.DUMMYFUNCTION("""COMPUTED_VALUE"""),"TV 65 polegadas ")</f>
        <v>TV 65 polegadas </v>
      </c>
      <c r="P309" s="11" t="str">
        <f>IFERROR(__xludf.DUMMYFUNCTION("""COMPUTED_VALUE"""),"TV 50 POLEGADAS")</f>
        <v>TV 50 POLEGADAS</v>
      </c>
      <c r="Q309" s="11" t="str">
        <f>IFERROR(__xludf.DUMMYFUNCTION("""COMPUTED_VALUE"""),"TV 40 POLEGADAS")</f>
        <v>TV 40 POLEGADAS</v>
      </c>
      <c r="R309" s="11" t="str">
        <f>IFERROR(__xludf.DUMMYFUNCTION("""COMPUTED_VALUE"""),"SWITCH 16 PORTAS")</f>
        <v>SWITCH 16 PORTAS</v>
      </c>
      <c r="S309" s="11" t="str">
        <f>IFERROR(__xludf.DUMMYFUNCTION("""COMPUTED_VALUE"""),"SWITCH 8 PORTAS ")</f>
        <v>SWITCH 8 PORTAS </v>
      </c>
    </row>
    <row r="310">
      <c r="A310" s="11" t="str">
        <f>IFERROR(__xludf.DUMMYFUNCTION("TRANSPOSE(FILTER(ITENS!$D:$D, ITENS!$A:$A = SERVICOS!$A311))"),"NOTEBOOK TIPO I")</f>
        <v>NOTEBOOK TIPO I</v>
      </c>
      <c r="B310" s="11" t="str">
        <f>IFERROR(__xludf.DUMMYFUNCTION("""COMPUTED_VALUE"""),"NOTEBOOK TIPO II")</f>
        <v>NOTEBOOK TIPO II</v>
      </c>
      <c r="C310" s="11" t="str">
        <f>IFERROR(__xludf.DUMMYFUNCTION("""COMPUTED_VALUE"""),"NOTEBOOK TIPO III")</f>
        <v>NOTEBOOK TIPO III</v>
      </c>
      <c r="D310" s="11" t="str">
        <f>IFERROR(__xludf.DUMMYFUNCTION("""COMPUTED_VALUE"""),"MICRO TIPO I")</f>
        <v>MICRO TIPO I</v>
      </c>
      <c r="E310" s="11" t="str">
        <f>IFERROR(__xludf.DUMMYFUNCTION("""COMPUTED_VALUE"""),"MICRO TIPO II ")</f>
        <v>MICRO TIPO II </v>
      </c>
      <c r="F310" s="11" t="str">
        <f>IFERROR(__xludf.DUMMYFUNCTION("""COMPUTED_VALUE"""),"MICRO TIPO III")</f>
        <v>MICRO TIPO III</v>
      </c>
      <c r="G310" s="11" t="str">
        <f>IFERROR(__xludf.DUMMYFUNCTION("""COMPUTED_VALUE"""),"IMPRESSORA MULTIFUNCIONAL MONOCROMÁTICO LASER –  PÁGINAS A4 ")</f>
        <v>IMPRESSORA MULTIFUNCIONAL MONOCROMÁTICO LASER –  PÁGINAS A4 </v>
      </c>
      <c r="H310" s="11" t="str">
        <f>IFERROR(__xludf.DUMMYFUNCTION("""COMPUTED_VALUE"""),"IMPRESSORA MONOCROMÁTICO LASER –  PÁGINAS A4 ")</f>
        <v>IMPRESSORA MONOCROMÁTICO LASER –  PÁGINAS A4 </v>
      </c>
      <c r="I310" s="11" t="str">
        <f>IFERROR(__xludf.DUMMYFUNCTION("""COMPUTED_VALUE"""),"IMPRESSORA MULTIFUNCIONAL POLICROMÁTICO LASER –  PÁGINAS A3")</f>
        <v>IMPRESSORA MULTIFUNCIONAL POLICROMÁTICO LASER –  PÁGINAS A3</v>
      </c>
      <c r="J310" s="11" t="str">
        <f>IFERROR(__xludf.DUMMYFUNCTION("""COMPUTED_VALUE"""),"IMPRESSORA MULTIFUNCIONAL JATO DE TINTA - PÁGINAS A4")</f>
        <v>IMPRESSORA MULTIFUNCIONAL JATO DE TINTA - PÁGINAS A4</v>
      </c>
      <c r="K310" s="11" t="str">
        <f>IFERROR(__xludf.DUMMYFUNCTION("""COMPUTED_VALUE"""),"SWITCH 48 PORTAS GERENCIAVEL")</f>
        <v>SWITCH 48 PORTAS GERENCIAVEL</v>
      </c>
      <c r="L310" s="11" t="str">
        <f>IFERROR(__xludf.DUMMYFUNCTION("""COMPUTED_VALUE"""),"ACESS POINT")</f>
        <v>ACESS POINT</v>
      </c>
      <c r="M310" s="11" t="str">
        <f>IFERROR(__xludf.DUMMYFUNCTION("""COMPUTED_VALUE"""),"No break 700 VA.")</f>
        <v>No break 700 VA.</v>
      </c>
      <c r="N310" s="11" t="str">
        <f>IFERROR(__xludf.DUMMYFUNCTION("""COMPUTED_VALUE"""),"TV 65 polegadas ")</f>
        <v>TV 65 polegadas </v>
      </c>
      <c r="O310" s="11" t="str">
        <f>IFERROR(__xludf.DUMMYFUNCTION("""COMPUTED_VALUE"""),"TV 50 POLEGADAS")</f>
        <v>TV 50 POLEGADAS</v>
      </c>
      <c r="P310" s="11" t="str">
        <f>IFERROR(__xludf.DUMMYFUNCTION("""COMPUTED_VALUE"""),"TV 40 POLEGADAS")</f>
        <v>TV 40 POLEGADAS</v>
      </c>
      <c r="Q310" s="11" t="str">
        <f>IFERROR(__xludf.DUMMYFUNCTION("""COMPUTED_VALUE"""),"SWITCH 16 PORTAS")</f>
        <v>SWITCH 16 PORTAS</v>
      </c>
      <c r="R310" s="11" t="str">
        <f>IFERROR(__xludf.DUMMYFUNCTION("""COMPUTED_VALUE"""),"SWITCH 8 PORTAS ")</f>
        <v>SWITCH 8 PORTAS </v>
      </c>
    </row>
    <row r="311">
      <c r="A311" s="11" t="str">
        <f>IFERROR(__xludf.DUMMYFUNCTION("TRANSPOSE(FILTER(ITENS!$D:$D, ITENS!$A:$A = SERVICOS!$A312))"),"NOTEBOOK TIPO I")</f>
        <v>NOTEBOOK TIPO I</v>
      </c>
      <c r="B311" s="11" t="str">
        <f>IFERROR(__xludf.DUMMYFUNCTION("""COMPUTED_VALUE"""),"NOTEBOOK TIPO II")</f>
        <v>NOTEBOOK TIPO II</v>
      </c>
      <c r="C311" s="11" t="str">
        <f>IFERROR(__xludf.DUMMYFUNCTION("""COMPUTED_VALUE"""),"NOTEBOOK TIPO III")</f>
        <v>NOTEBOOK TIPO III</v>
      </c>
      <c r="D311" s="11" t="str">
        <f>IFERROR(__xludf.DUMMYFUNCTION("""COMPUTED_VALUE"""),"MICRO TIPO I")</f>
        <v>MICRO TIPO I</v>
      </c>
      <c r="E311" s="11" t="str">
        <f>IFERROR(__xludf.DUMMYFUNCTION("""COMPUTED_VALUE"""),"MICRO TIPO II ")</f>
        <v>MICRO TIPO II </v>
      </c>
      <c r="F311" s="11" t="str">
        <f>IFERROR(__xludf.DUMMYFUNCTION("""COMPUTED_VALUE"""),"MICRO TIPO III")</f>
        <v>MICRO TIPO III</v>
      </c>
      <c r="G311" s="11" t="str">
        <f>IFERROR(__xludf.DUMMYFUNCTION("""COMPUTED_VALUE"""),"IMPRESSORA MULTIFUNCIONAL MONOCROMÁTICO LASER –  PÁGINAS A4 ")</f>
        <v>IMPRESSORA MULTIFUNCIONAL MONOCROMÁTICO LASER –  PÁGINAS A4 </v>
      </c>
      <c r="H311" s="11" t="str">
        <f>IFERROR(__xludf.DUMMYFUNCTION("""COMPUTED_VALUE"""),"IMPRESSORA MONOCROMÁTICO LASER –  PÁGINAS A4 ")</f>
        <v>IMPRESSORA MONOCROMÁTICO LASER –  PÁGINAS A4 </v>
      </c>
      <c r="I311" s="11" t="str">
        <f>IFERROR(__xludf.DUMMYFUNCTION("""COMPUTED_VALUE"""),"IMPRESSORA MULTIFUNCIONAL POLICROMÁTICO LASER –  PÁGINAS A3")</f>
        <v>IMPRESSORA MULTIFUNCIONAL POLICROMÁTICO LASER –  PÁGINAS A3</v>
      </c>
      <c r="J311" s="11" t="str">
        <f>IFERROR(__xludf.DUMMYFUNCTION("""COMPUTED_VALUE"""),"IMPRESSORA MULTIFUNCIONAL JATO DE TINTA - PÁGINAS A4")</f>
        <v>IMPRESSORA MULTIFUNCIONAL JATO DE TINTA - PÁGINAS A4</v>
      </c>
      <c r="K311" s="11" t="str">
        <f>IFERROR(__xludf.DUMMYFUNCTION("""COMPUTED_VALUE"""),"SWITCH 48 PORTAS GERENCIAVEL")</f>
        <v>SWITCH 48 PORTAS GERENCIAVEL</v>
      </c>
      <c r="L311" s="11" t="str">
        <f>IFERROR(__xludf.DUMMYFUNCTION("""COMPUTED_VALUE"""),"ACESS POINT")</f>
        <v>ACESS POINT</v>
      </c>
      <c r="M311" s="11" t="str">
        <f>IFERROR(__xludf.DUMMYFUNCTION("""COMPUTED_VALUE"""),"No break 700 VA.")</f>
        <v>No break 700 VA.</v>
      </c>
      <c r="N311" s="11" t="str">
        <f>IFERROR(__xludf.DUMMYFUNCTION("""COMPUTED_VALUE"""),"TV 65 polegadas ")</f>
        <v>TV 65 polegadas </v>
      </c>
      <c r="O311" s="11" t="str">
        <f>IFERROR(__xludf.DUMMYFUNCTION("""COMPUTED_VALUE"""),"TV 50 POLEGADAS")</f>
        <v>TV 50 POLEGADAS</v>
      </c>
      <c r="P311" s="11" t="str">
        <f>IFERROR(__xludf.DUMMYFUNCTION("""COMPUTED_VALUE"""),"TV 40 POLEGADAS")</f>
        <v>TV 40 POLEGADAS</v>
      </c>
      <c r="Q311" s="11" t="str">
        <f>IFERROR(__xludf.DUMMYFUNCTION("""COMPUTED_VALUE"""),"SWITCH 16 PORTAS")</f>
        <v>SWITCH 16 PORTAS</v>
      </c>
      <c r="R311" s="11" t="str">
        <f>IFERROR(__xludf.DUMMYFUNCTION("""COMPUTED_VALUE"""),"SWITCH 8 PORTAS ")</f>
        <v>SWITCH 8 PORTAS </v>
      </c>
    </row>
    <row r="312">
      <c r="A312" s="11" t="str">
        <f>IFERROR(__xludf.DUMMYFUNCTION("TRANSPOSE(FILTER(ITENS!$D:$D, ITENS!$A:$A = SERVICOS!$A313))"),"NOTEBOOK TIPO I")</f>
        <v>NOTEBOOK TIPO I</v>
      </c>
      <c r="B312" s="11" t="str">
        <f>IFERROR(__xludf.DUMMYFUNCTION("""COMPUTED_VALUE"""),"NOTEBOOK TIPO II")</f>
        <v>NOTEBOOK TIPO II</v>
      </c>
      <c r="C312" s="11" t="str">
        <f>IFERROR(__xludf.DUMMYFUNCTION("""COMPUTED_VALUE"""),"NOTEBOOK TIPO III")</f>
        <v>NOTEBOOK TIPO III</v>
      </c>
      <c r="D312" s="11" t="str">
        <f>IFERROR(__xludf.DUMMYFUNCTION("""COMPUTED_VALUE"""),"MICRO TIPO I")</f>
        <v>MICRO TIPO I</v>
      </c>
      <c r="E312" s="11" t="str">
        <f>IFERROR(__xludf.DUMMYFUNCTION("""COMPUTED_VALUE"""),"MICRO TIPO II ")</f>
        <v>MICRO TIPO II </v>
      </c>
      <c r="F312" s="11" t="str">
        <f>IFERROR(__xludf.DUMMYFUNCTION("""COMPUTED_VALUE"""),"MICRO TIPO III")</f>
        <v>MICRO TIPO III</v>
      </c>
      <c r="G312" s="11" t="str">
        <f>IFERROR(__xludf.DUMMYFUNCTION("""COMPUTED_VALUE"""),"IMPRESSORA MULTIFUNCIONAL MONOCROMÁTICO LASER –  PÁGINAS A4 ")</f>
        <v>IMPRESSORA MULTIFUNCIONAL MONOCROMÁTICO LASER –  PÁGINAS A4 </v>
      </c>
      <c r="H312" s="11" t="str">
        <f>IFERROR(__xludf.DUMMYFUNCTION("""COMPUTED_VALUE"""),"IMPRESSORA MONOCROMÁTICO LASER –  PÁGINAS A4 ")</f>
        <v>IMPRESSORA MONOCROMÁTICO LASER –  PÁGINAS A4 </v>
      </c>
      <c r="I312" s="11" t="str">
        <f>IFERROR(__xludf.DUMMYFUNCTION("""COMPUTED_VALUE"""),"IMPRESSORA MULTIFUNCIONAL POLICROMÁTICO LASER –  PÁGINAS A3")</f>
        <v>IMPRESSORA MULTIFUNCIONAL POLICROMÁTICO LASER –  PÁGINAS A3</v>
      </c>
      <c r="J312" s="11" t="str">
        <f>IFERROR(__xludf.DUMMYFUNCTION("""COMPUTED_VALUE"""),"IMPRESSORA MULTIFUNCIONAL JATO DE TINTA - PÁGINAS A4")</f>
        <v>IMPRESSORA MULTIFUNCIONAL JATO DE TINTA - PÁGINAS A4</v>
      </c>
      <c r="K312" s="11" t="str">
        <f>IFERROR(__xludf.DUMMYFUNCTION("""COMPUTED_VALUE"""),"SWITCH 48 PORTAS GERENCIAVEL")</f>
        <v>SWITCH 48 PORTAS GERENCIAVEL</v>
      </c>
      <c r="L312" s="11" t="str">
        <f>IFERROR(__xludf.DUMMYFUNCTION("""COMPUTED_VALUE"""),"ACESS POINT")</f>
        <v>ACESS POINT</v>
      </c>
      <c r="M312" s="11" t="str">
        <f>IFERROR(__xludf.DUMMYFUNCTION("""COMPUTED_VALUE"""),"No break 700 VA.")</f>
        <v>No break 700 VA.</v>
      </c>
      <c r="N312" s="11" t="str">
        <f>IFERROR(__xludf.DUMMYFUNCTION("""COMPUTED_VALUE"""),"TV 65 polegadas ")</f>
        <v>TV 65 polegadas </v>
      </c>
      <c r="O312" s="11" t="str">
        <f>IFERROR(__xludf.DUMMYFUNCTION("""COMPUTED_VALUE"""),"TV 50 POLEGADAS")</f>
        <v>TV 50 POLEGADAS</v>
      </c>
      <c r="P312" s="11" t="str">
        <f>IFERROR(__xludf.DUMMYFUNCTION("""COMPUTED_VALUE"""),"TV 40 POLEGADAS")</f>
        <v>TV 40 POLEGADAS</v>
      </c>
      <c r="Q312" s="11" t="str">
        <f>IFERROR(__xludf.DUMMYFUNCTION("""COMPUTED_VALUE"""),"SWITCH 16 PORTAS")</f>
        <v>SWITCH 16 PORTAS</v>
      </c>
      <c r="R312" s="11" t="str">
        <f>IFERROR(__xludf.DUMMYFUNCTION("""COMPUTED_VALUE"""),"SWITCH 8 PORTAS ")</f>
        <v>SWITCH 8 PORTAS </v>
      </c>
    </row>
    <row r="313">
      <c r="A313" s="11" t="str">
        <f>IFERROR(__xludf.DUMMYFUNCTION("TRANSPOSE(FILTER(ITENS!$D:$D, ITENS!$A:$A = SERVICOS!$A314))"),"NOTEBOOK TIPO I")</f>
        <v>NOTEBOOK TIPO I</v>
      </c>
      <c r="B313" s="11" t="str">
        <f>IFERROR(__xludf.DUMMYFUNCTION("""COMPUTED_VALUE"""),"NOTEBOOK TIPO II")</f>
        <v>NOTEBOOK TIPO II</v>
      </c>
      <c r="C313" s="11" t="str">
        <f>IFERROR(__xludf.DUMMYFUNCTION("""COMPUTED_VALUE"""),"NOTEBOOK TIPO III")</f>
        <v>NOTEBOOK TIPO III</v>
      </c>
      <c r="D313" s="11" t="str">
        <f>IFERROR(__xludf.DUMMYFUNCTION("""COMPUTED_VALUE"""),"MICRO TIPO I")</f>
        <v>MICRO TIPO I</v>
      </c>
      <c r="E313" s="11" t="str">
        <f>IFERROR(__xludf.DUMMYFUNCTION("""COMPUTED_VALUE"""),"MICRO TIPO II ")</f>
        <v>MICRO TIPO II </v>
      </c>
      <c r="F313" s="11" t="str">
        <f>IFERROR(__xludf.DUMMYFUNCTION("""COMPUTED_VALUE"""),"MICRO TIPO III")</f>
        <v>MICRO TIPO III</v>
      </c>
      <c r="G313" s="11" t="str">
        <f>IFERROR(__xludf.DUMMYFUNCTION("""COMPUTED_VALUE"""),"IMPRESSORA MULTIFUNCIONAL MONOCROMÁTICO LASER –  PÁGINAS A4 ")</f>
        <v>IMPRESSORA MULTIFUNCIONAL MONOCROMÁTICO LASER –  PÁGINAS A4 </v>
      </c>
      <c r="H313" s="11" t="str">
        <f>IFERROR(__xludf.DUMMYFUNCTION("""COMPUTED_VALUE"""),"IMPRESSORA MONOCROMÁTICO LASER –  PÁGINAS A4 ")</f>
        <v>IMPRESSORA MONOCROMÁTICO LASER –  PÁGINAS A4 </v>
      </c>
      <c r="I313" s="11" t="str">
        <f>IFERROR(__xludf.DUMMYFUNCTION("""COMPUTED_VALUE"""),"IMPRESSORA MULTIFUNCIONAL POLICROMÁTICO LASER –  PÁGINAS A3")</f>
        <v>IMPRESSORA MULTIFUNCIONAL POLICROMÁTICO LASER –  PÁGINAS A3</v>
      </c>
      <c r="J313" s="11" t="str">
        <f>IFERROR(__xludf.DUMMYFUNCTION("""COMPUTED_VALUE"""),"IMPRESSORA MULTIFUNCIONAL JATO DE TINTA - PÁGINAS A4")</f>
        <v>IMPRESSORA MULTIFUNCIONAL JATO DE TINTA - PÁGINAS A4</v>
      </c>
      <c r="K313" s="11" t="str">
        <f>IFERROR(__xludf.DUMMYFUNCTION("""COMPUTED_VALUE"""),"SWITCH 48 PORTAS GERENCIAVEL")</f>
        <v>SWITCH 48 PORTAS GERENCIAVEL</v>
      </c>
      <c r="L313" s="11" t="str">
        <f>IFERROR(__xludf.DUMMYFUNCTION("""COMPUTED_VALUE"""),"ACESS POINT")</f>
        <v>ACESS POINT</v>
      </c>
      <c r="M313" s="11" t="str">
        <f>IFERROR(__xludf.DUMMYFUNCTION("""COMPUTED_VALUE"""),"No break 700 VA.")</f>
        <v>No break 700 VA.</v>
      </c>
      <c r="N313" s="11" t="str">
        <f>IFERROR(__xludf.DUMMYFUNCTION("""COMPUTED_VALUE"""),"TV 65 polegadas ")</f>
        <v>TV 65 polegadas </v>
      </c>
      <c r="O313" s="11" t="str">
        <f>IFERROR(__xludf.DUMMYFUNCTION("""COMPUTED_VALUE"""),"TV 50 POLEGADAS")</f>
        <v>TV 50 POLEGADAS</v>
      </c>
      <c r="P313" s="11" t="str">
        <f>IFERROR(__xludf.DUMMYFUNCTION("""COMPUTED_VALUE"""),"TV 40 POLEGADAS")</f>
        <v>TV 40 POLEGADAS</v>
      </c>
      <c r="Q313" s="11" t="str">
        <f>IFERROR(__xludf.DUMMYFUNCTION("""COMPUTED_VALUE"""),"SWITCH 16 PORTAS")</f>
        <v>SWITCH 16 PORTAS</v>
      </c>
      <c r="R313" s="11" t="str">
        <f>IFERROR(__xludf.DUMMYFUNCTION("""COMPUTED_VALUE"""),"SWITCH 8 PORTAS ")</f>
        <v>SWITCH 8 PORTAS </v>
      </c>
    </row>
    <row r="314">
      <c r="A314" s="11" t="str">
        <f>IFERROR(__xludf.DUMMYFUNCTION("TRANSPOSE(FILTER(ITENS!$D:$D, ITENS!$A:$A = SERVICOS!$A315))"),"NOTEBOOK TIPO I")</f>
        <v>NOTEBOOK TIPO I</v>
      </c>
      <c r="B314" s="11" t="str">
        <f>IFERROR(__xludf.DUMMYFUNCTION("""COMPUTED_VALUE"""),"NOTEBOOK TIPO II")</f>
        <v>NOTEBOOK TIPO II</v>
      </c>
      <c r="C314" s="11" t="str">
        <f>IFERROR(__xludf.DUMMYFUNCTION("""COMPUTED_VALUE"""),"NOTEBOOK TIPO III")</f>
        <v>NOTEBOOK TIPO III</v>
      </c>
      <c r="D314" s="11" t="str">
        <f>IFERROR(__xludf.DUMMYFUNCTION("""COMPUTED_VALUE"""),"MICRO TIPO I")</f>
        <v>MICRO TIPO I</v>
      </c>
      <c r="E314" s="11" t="str">
        <f>IFERROR(__xludf.DUMMYFUNCTION("""COMPUTED_VALUE"""),"MICRO TIPO II ")</f>
        <v>MICRO TIPO II </v>
      </c>
      <c r="F314" s="11" t="str">
        <f>IFERROR(__xludf.DUMMYFUNCTION("""COMPUTED_VALUE"""),"MICRO TIPO III")</f>
        <v>MICRO TIPO III</v>
      </c>
      <c r="G314" s="11" t="str">
        <f>IFERROR(__xludf.DUMMYFUNCTION("""COMPUTED_VALUE"""),"IMPRESSORA MULTIFUNCIONAL MONOCROMÁTICO LASER –  PÁGINAS A4 ")</f>
        <v>IMPRESSORA MULTIFUNCIONAL MONOCROMÁTICO LASER –  PÁGINAS A4 </v>
      </c>
      <c r="H314" s="11" t="str">
        <f>IFERROR(__xludf.DUMMYFUNCTION("""COMPUTED_VALUE"""),"IMPRESSORA MONOCROMÁTICO LASER –  PÁGINAS A4 ")</f>
        <v>IMPRESSORA MONOCROMÁTICO LASER –  PÁGINAS A4 </v>
      </c>
      <c r="I314" s="11" t="str">
        <f>IFERROR(__xludf.DUMMYFUNCTION("""COMPUTED_VALUE"""),"IMPRESSORA MULTIFUNCIONAL POLICROMÁTICO LASER –  PÁGINAS A3")</f>
        <v>IMPRESSORA MULTIFUNCIONAL POLICROMÁTICO LASER –  PÁGINAS A3</v>
      </c>
      <c r="J314" s="11" t="str">
        <f>IFERROR(__xludf.DUMMYFUNCTION("""COMPUTED_VALUE"""),"IMPRESSORA MULTIFUNCIONAL JATO DE TINTA - PÁGINAS A4")</f>
        <v>IMPRESSORA MULTIFUNCIONAL JATO DE TINTA - PÁGINAS A4</v>
      </c>
      <c r="K314" s="11" t="str">
        <f>IFERROR(__xludf.DUMMYFUNCTION("""COMPUTED_VALUE"""),"SWITCH 48 PORTAS GERENCIAVEL")</f>
        <v>SWITCH 48 PORTAS GERENCIAVEL</v>
      </c>
      <c r="L314" s="11" t="str">
        <f>IFERROR(__xludf.DUMMYFUNCTION("""COMPUTED_VALUE"""),"ACESS POINT")</f>
        <v>ACESS POINT</v>
      </c>
      <c r="M314" s="11" t="str">
        <f>IFERROR(__xludf.DUMMYFUNCTION("""COMPUTED_VALUE"""),"No break 700 VA.")</f>
        <v>No break 700 VA.</v>
      </c>
      <c r="N314" s="11" t="str">
        <f>IFERROR(__xludf.DUMMYFUNCTION("""COMPUTED_VALUE"""),"TV 65 polegadas ")</f>
        <v>TV 65 polegadas </v>
      </c>
      <c r="O314" s="11" t="str">
        <f>IFERROR(__xludf.DUMMYFUNCTION("""COMPUTED_VALUE"""),"TV 50 POLEGADAS")</f>
        <v>TV 50 POLEGADAS</v>
      </c>
      <c r="P314" s="11" t="str">
        <f>IFERROR(__xludf.DUMMYFUNCTION("""COMPUTED_VALUE"""),"TV 40 POLEGADAS")</f>
        <v>TV 40 POLEGADAS</v>
      </c>
      <c r="Q314" s="11" t="str">
        <f>IFERROR(__xludf.DUMMYFUNCTION("""COMPUTED_VALUE"""),"SWITCH 16 PORTAS")</f>
        <v>SWITCH 16 PORTAS</v>
      </c>
      <c r="R314" s="11" t="str">
        <f>IFERROR(__xludf.DUMMYFUNCTION("""COMPUTED_VALUE"""),"SWITCH 8 PORTAS ")</f>
        <v>SWITCH 8 PORTAS </v>
      </c>
    </row>
    <row r="315">
      <c r="A315" s="11" t="str">
        <f>IFERROR(__xludf.DUMMYFUNCTION("TRANSPOSE(FILTER(ITENS!$D:$D, ITENS!$A:$A = SERVICOS!$A316))"),"NOTEBOOK TIPO I")</f>
        <v>NOTEBOOK TIPO I</v>
      </c>
      <c r="B315" s="11" t="str">
        <f>IFERROR(__xludf.DUMMYFUNCTION("""COMPUTED_VALUE"""),"NOTEBOOK TIPO II")</f>
        <v>NOTEBOOK TIPO II</v>
      </c>
      <c r="C315" s="11" t="str">
        <f>IFERROR(__xludf.DUMMYFUNCTION("""COMPUTED_VALUE"""),"NOTEBOOK TIPO III")</f>
        <v>NOTEBOOK TIPO III</v>
      </c>
      <c r="D315" s="11" t="str">
        <f>IFERROR(__xludf.DUMMYFUNCTION("""COMPUTED_VALUE"""),"MICRO TIPO I")</f>
        <v>MICRO TIPO I</v>
      </c>
      <c r="E315" s="11" t="str">
        <f>IFERROR(__xludf.DUMMYFUNCTION("""COMPUTED_VALUE"""),"MICRO TIPO II ")</f>
        <v>MICRO TIPO II </v>
      </c>
      <c r="F315" s="11" t="str">
        <f>IFERROR(__xludf.DUMMYFUNCTION("""COMPUTED_VALUE"""),"MICRO TIPO III")</f>
        <v>MICRO TIPO III</v>
      </c>
      <c r="G315" s="11" t="str">
        <f>IFERROR(__xludf.DUMMYFUNCTION("""COMPUTED_VALUE"""),"IMPRESSORA MULTIFUNCIONAL MONOCROMÁTICO LASER –  PÁGINAS A4 ")</f>
        <v>IMPRESSORA MULTIFUNCIONAL MONOCROMÁTICO LASER –  PÁGINAS A4 </v>
      </c>
      <c r="H315" s="11" t="str">
        <f>IFERROR(__xludf.DUMMYFUNCTION("""COMPUTED_VALUE"""),"IMPRESSORA MONOCROMÁTICO LASER –  PÁGINAS A4 ")</f>
        <v>IMPRESSORA MONOCROMÁTICO LASER –  PÁGINAS A4 </v>
      </c>
      <c r="I315" s="11" t="str">
        <f>IFERROR(__xludf.DUMMYFUNCTION("""COMPUTED_VALUE"""),"IMPRESSORA MULTIFUNCIONAL POLICROMÁTICO LASER –  PÁGINAS A3")</f>
        <v>IMPRESSORA MULTIFUNCIONAL POLICROMÁTICO LASER –  PÁGINAS A3</v>
      </c>
      <c r="J315" s="11" t="str">
        <f>IFERROR(__xludf.DUMMYFUNCTION("""COMPUTED_VALUE"""),"IMPRESSORA MULTIFUNCIONAL JATO DE TINTA - PÁGINAS A4")</f>
        <v>IMPRESSORA MULTIFUNCIONAL JATO DE TINTA - PÁGINAS A4</v>
      </c>
      <c r="K315" s="11" t="str">
        <f>IFERROR(__xludf.DUMMYFUNCTION("""COMPUTED_VALUE"""),"SWITCH 48 PORTAS GERENCIAVEL")</f>
        <v>SWITCH 48 PORTAS GERENCIAVEL</v>
      </c>
      <c r="L315" s="11" t="str">
        <f>IFERROR(__xludf.DUMMYFUNCTION("""COMPUTED_VALUE"""),"ACESS POINT")</f>
        <v>ACESS POINT</v>
      </c>
      <c r="M315" s="11" t="str">
        <f>IFERROR(__xludf.DUMMYFUNCTION("""COMPUTED_VALUE"""),"No break 700 VA.")</f>
        <v>No break 700 VA.</v>
      </c>
      <c r="N315" s="11" t="str">
        <f>IFERROR(__xludf.DUMMYFUNCTION("""COMPUTED_VALUE"""),"TV 65 polegadas ")</f>
        <v>TV 65 polegadas </v>
      </c>
      <c r="O315" s="11" t="str">
        <f>IFERROR(__xludf.DUMMYFUNCTION("""COMPUTED_VALUE"""),"TV 50 POLEGADAS")</f>
        <v>TV 50 POLEGADAS</v>
      </c>
      <c r="P315" s="11" t="str">
        <f>IFERROR(__xludf.DUMMYFUNCTION("""COMPUTED_VALUE"""),"TV 40 POLEGADAS")</f>
        <v>TV 40 POLEGADAS</v>
      </c>
      <c r="Q315" s="11" t="str">
        <f>IFERROR(__xludf.DUMMYFUNCTION("""COMPUTED_VALUE"""),"SWITCH 16 PORTAS")</f>
        <v>SWITCH 16 PORTAS</v>
      </c>
      <c r="R315" s="11" t="str">
        <f>IFERROR(__xludf.DUMMYFUNCTION("""COMPUTED_VALUE"""),"SWITCH 8 PORTAS ")</f>
        <v>SWITCH 8 PORTAS </v>
      </c>
    </row>
    <row r="316">
      <c r="A316" s="11" t="str">
        <f>IFERROR(__xludf.DUMMYFUNCTION("TRANSPOSE(FILTER(ITENS!$D:$D, ITENS!$A:$A = SERVICOS!$A317))"),"NOTEBOOK TIPO I")</f>
        <v>NOTEBOOK TIPO I</v>
      </c>
      <c r="B316" s="11" t="str">
        <f>IFERROR(__xludf.DUMMYFUNCTION("""COMPUTED_VALUE"""),"NOTEBOOK TIPO II")</f>
        <v>NOTEBOOK TIPO II</v>
      </c>
      <c r="C316" s="11" t="str">
        <f>IFERROR(__xludf.DUMMYFUNCTION("""COMPUTED_VALUE"""),"NOTEBOOK TIPO III")</f>
        <v>NOTEBOOK TIPO III</v>
      </c>
      <c r="D316" s="11" t="str">
        <f>IFERROR(__xludf.DUMMYFUNCTION("""COMPUTED_VALUE"""),"MICRO TIPO I")</f>
        <v>MICRO TIPO I</v>
      </c>
      <c r="E316" s="11" t="str">
        <f>IFERROR(__xludf.DUMMYFUNCTION("""COMPUTED_VALUE"""),"MICRO TIPO II ")</f>
        <v>MICRO TIPO II </v>
      </c>
      <c r="F316" s="11" t="str">
        <f>IFERROR(__xludf.DUMMYFUNCTION("""COMPUTED_VALUE"""),"MICRO TIPO III")</f>
        <v>MICRO TIPO III</v>
      </c>
      <c r="G316" s="11" t="str">
        <f>IFERROR(__xludf.DUMMYFUNCTION("""COMPUTED_VALUE"""),"IMPRESSORA MULTIFUNCIONAL MONOCROMÁTICO LASER –  PÁGINAS A4 ")</f>
        <v>IMPRESSORA MULTIFUNCIONAL MONOCROMÁTICO LASER –  PÁGINAS A4 </v>
      </c>
      <c r="H316" s="11" t="str">
        <f>IFERROR(__xludf.DUMMYFUNCTION("""COMPUTED_VALUE"""),"IMPRESSORA MONOCROMÁTICO LASER –  PÁGINAS A4 ")</f>
        <v>IMPRESSORA MONOCROMÁTICO LASER –  PÁGINAS A4 </v>
      </c>
      <c r="I316" s="11" t="str">
        <f>IFERROR(__xludf.DUMMYFUNCTION("""COMPUTED_VALUE"""),"IMPRESSORA MULTIFUNCIONAL POLICROMÁTICO LASER –  PÁGINAS A3")</f>
        <v>IMPRESSORA MULTIFUNCIONAL POLICROMÁTICO LASER –  PÁGINAS A3</v>
      </c>
      <c r="J316" s="11" t="str">
        <f>IFERROR(__xludf.DUMMYFUNCTION("""COMPUTED_VALUE"""),"IMPRESSORA MULTIFUNCIONAL JATO DE TINTA - PÁGINAS A4")</f>
        <v>IMPRESSORA MULTIFUNCIONAL JATO DE TINTA - PÁGINAS A4</v>
      </c>
      <c r="K316" s="11" t="str">
        <f>IFERROR(__xludf.DUMMYFUNCTION("""COMPUTED_VALUE"""),"SWITCH 48 PORTAS GERENCIAVEL")</f>
        <v>SWITCH 48 PORTAS GERENCIAVEL</v>
      </c>
      <c r="L316" s="11" t="str">
        <f>IFERROR(__xludf.DUMMYFUNCTION("""COMPUTED_VALUE"""),"ACESS POINT")</f>
        <v>ACESS POINT</v>
      </c>
      <c r="M316" s="11" t="str">
        <f>IFERROR(__xludf.DUMMYFUNCTION("""COMPUTED_VALUE"""),"No break 700 VA.")</f>
        <v>No break 700 VA.</v>
      </c>
      <c r="N316" s="11" t="str">
        <f>IFERROR(__xludf.DUMMYFUNCTION("""COMPUTED_VALUE"""),"TV 65 polegadas ")</f>
        <v>TV 65 polegadas </v>
      </c>
      <c r="O316" s="11" t="str">
        <f>IFERROR(__xludf.DUMMYFUNCTION("""COMPUTED_VALUE"""),"TV 50 POLEGADAS")</f>
        <v>TV 50 POLEGADAS</v>
      </c>
      <c r="P316" s="11" t="str">
        <f>IFERROR(__xludf.DUMMYFUNCTION("""COMPUTED_VALUE"""),"TV 40 POLEGADAS")</f>
        <v>TV 40 POLEGADAS</v>
      </c>
      <c r="Q316" s="11" t="str">
        <f>IFERROR(__xludf.DUMMYFUNCTION("""COMPUTED_VALUE"""),"SWITCH 16 PORTAS")</f>
        <v>SWITCH 16 PORTAS</v>
      </c>
      <c r="R316" s="11" t="str">
        <f>IFERROR(__xludf.DUMMYFUNCTION("""COMPUTED_VALUE"""),"SWITCH 8 PORTAS ")</f>
        <v>SWITCH 8 PORTAS </v>
      </c>
    </row>
    <row r="317">
      <c r="A317" s="11" t="str">
        <f>IFERROR(__xludf.DUMMYFUNCTION("TRANSPOSE(FILTER(ITENS!$D:$D, ITENS!$A:$A = SERVICOS!$A318))"),"NOTEBOOK TIPO I")</f>
        <v>NOTEBOOK TIPO I</v>
      </c>
      <c r="B317" s="11" t="str">
        <f>IFERROR(__xludf.DUMMYFUNCTION("""COMPUTED_VALUE"""),"NOTEBOOK TIPO II")</f>
        <v>NOTEBOOK TIPO II</v>
      </c>
      <c r="C317" s="11" t="str">
        <f>IFERROR(__xludf.DUMMYFUNCTION("""COMPUTED_VALUE"""),"NOTEBOOK TIPO III")</f>
        <v>NOTEBOOK TIPO III</v>
      </c>
      <c r="D317" s="11" t="str">
        <f>IFERROR(__xludf.DUMMYFUNCTION("""COMPUTED_VALUE"""),"MICRO TIPO I")</f>
        <v>MICRO TIPO I</v>
      </c>
      <c r="E317" s="11" t="str">
        <f>IFERROR(__xludf.DUMMYFUNCTION("""COMPUTED_VALUE"""),"MICRO TIPO II ")</f>
        <v>MICRO TIPO II </v>
      </c>
      <c r="F317" s="11" t="str">
        <f>IFERROR(__xludf.DUMMYFUNCTION("""COMPUTED_VALUE"""),"MICRO TIPO III")</f>
        <v>MICRO TIPO III</v>
      </c>
      <c r="G317" s="11" t="str">
        <f>IFERROR(__xludf.DUMMYFUNCTION("""COMPUTED_VALUE"""),"IMPRESSORA MULTIFUNCIONAL MONOCROMÁTICO LASER –  PÁGINAS A4 ")</f>
        <v>IMPRESSORA MULTIFUNCIONAL MONOCROMÁTICO LASER –  PÁGINAS A4 </v>
      </c>
      <c r="H317" s="11" t="str">
        <f>IFERROR(__xludf.DUMMYFUNCTION("""COMPUTED_VALUE"""),"IMPRESSORA MONOCROMÁTICO LASER –  PÁGINAS A4 ")</f>
        <v>IMPRESSORA MONOCROMÁTICO LASER –  PÁGINAS A4 </v>
      </c>
      <c r="I317" s="11" t="str">
        <f>IFERROR(__xludf.DUMMYFUNCTION("""COMPUTED_VALUE"""),"IMPRESSORA MULTIFUNCIONAL POLICROMÁTICO LASER –  PÁGINAS A3")</f>
        <v>IMPRESSORA MULTIFUNCIONAL POLICROMÁTICO LASER –  PÁGINAS A3</v>
      </c>
      <c r="J317" s="11" t="str">
        <f>IFERROR(__xludf.DUMMYFUNCTION("""COMPUTED_VALUE"""),"IMPRESSORA MULTIFUNCIONAL JATO DE TINTA - PÁGINAS A4")</f>
        <v>IMPRESSORA MULTIFUNCIONAL JATO DE TINTA - PÁGINAS A4</v>
      </c>
      <c r="K317" s="11" t="str">
        <f>IFERROR(__xludf.DUMMYFUNCTION("""COMPUTED_VALUE"""),"SWITCH 48 PORTAS GERENCIAVEL")</f>
        <v>SWITCH 48 PORTAS GERENCIAVEL</v>
      </c>
      <c r="L317" s="11" t="str">
        <f>IFERROR(__xludf.DUMMYFUNCTION("""COMPUTED_VALUE"""),"ACESS POINT")</f>
        <v>ACESS POINT</v>
      </c>
      <c r="M317" s="11" t="str">
        <f>IFERROR(__xludf.DUMMYFUNCTION("""COMPUTED_VALUE"""),"No break 700 VA.")</f>
        <v>No break 700 VA.</v>
      </c>
      <c r="N317" s="11" t="str">
        <f>IFERROR(__xludf.DUMMYFUNCTION("""COMPUTED_VALUE"""),"TV 65 polegadas ")</f>
        <v>TV 65 polegadas </v>
      </c>
      <c r="O317" s="11" t="str">
        <f>IFERROR(__xludf.DUMMYFUNCTION("""COMPUTED_VALUE"""),"TV 50 POLEGADAS")</f>
        <v>TV 50 POLEGADAS</v>
      </c>
      <c r="P317" s="11" t="str">
        <f>IFERROR(__xludf.DUMMYFUNCTION("""COMPUTED_VALUE"""),"TV 40 POLEGADAS")</f>
        <v>TV 40 POLEGADAS</v>
      </c>
      <c r="Q317" s="11" t="str">
        <f>IFERROR(__xludf.DUMMYFUNCTION("""COMPUTED_VALUE"""),"SWITCH 16 PORTAS")</f>
        <v>SWITCH 16 PORTAS</v>
      </c>
      <c r="R317" s="11" t="str">
        <f>IFERROR(__xludf.DUMMYFUNCTION("""COMPUTED_VALUE"""),"SWITCH 8 PORTAS ")</f>
        <v>SWITCH 8 PORTAS </v>
      </c>
    </row>
    <row r="318">
      <c r="A318" s="11" t="str">
        <f>IFERROR(__xludf.DUMMYFUNCTION("TRANSPOSE(FILTER(ITENS!$D:$D, ITENS!$A:$A = SERVICOS!$A319))"),"NOTEBOOK TIPO I")</f>
        <v>NOTEBOOK TIPO I</v>
      </c>
      <c r="B318" s="11" t="str">
        <f>IFERROR(__xludf.DUMMYFUNCTION("""COMPUTED_VALUE"""),"NOTEBOOK TIPO II")</f>
        <v>NOTEBOOK TIPO II</v>
      </c>
      <c r="C318" s="11" t="str">
        <f>IFERROR(__xludf.DUMMYFUNCTION("""COMPUTED_VALUE"""),"NOTEBOOK TIPO III")</f>
        <v>NOTEBOOK TIPO III</v>
      </c>
      <c r="D318" s="11" t="str">
        <f>IFERROR(__xludf.DUMMYFUNCTION("""COMPUTED_VALUE"""),"MICRO TIPO I")</f>
        <v>MICRO TIPO I</v>
      </c>
      <c r="E318" s="11" t="str">
        <f>IFERROR(__xludf.DUMMYFUNCTION("""COMPUTED_VALUE"""),"MICRO TIPO II ")</f>
        <v>MICRO TIPO II </v>
      </c>
      <c r="F318" s="11" t="str">
        <f>IFERROR(__xludf.DUMMYFUNCTION("""COMPUTED_VALUE"""),"MICRO TIPO III")</f>
        <v>MICRO TIPO III</v>
      </c>
      <c r="G318" s="11" t="str">
        <f>IFERROR(__xludf.DUMMYFUNCTION("""COMPUTED_VALUE"""),"IMPRESSORA MULTIFUNCIONAL MONOCROMÁTICO LASER –  PÁGINAS A4 ")</f>
        <v>IMPRESSORA MULTIFUNCIONAL MONOCROMÁTICO LASER –  PÁGINAS A4 </v>
      </c>
      <c r="H318" s="11" t="str">
        <f>IFERROR(__xludf.DUMMYFUNCTION("""COMPUTED_VALUE"""),"IMPRESSORA MONOCROMÁTICO LASER –  PÁGINAS A4 ")</f>
        <v>IMPRESSORA MONOCROMÁTICO LASER –  PÁGINAS A4 </v>
      </c>
      <c r="I318" s="11" t="str">
        <f>IFERROR(__xludf.DUMMYFUNCTION("""COMPUTED_VALUE"""),"IMPRESSORA MULTIFUNCIONAL POLICROMÁTICO LASER –  PÁGINAS A3")</f>
        <v>IMPRESSORA MULTIFUNCIONAL POLICROMÁTICO LASER –  PÁGINAS A3</v>
      </c>
      <c r="J318" s="11" t="str">
        <f>IFERROR(__xludf.DUMMYFUNCTION("""COMPUTED_VALUE"""),"IMPRESSORA MULTIFUNCIONAL JATO DE TINTA - PÁGINAS A4")</f>
        <v>IMPRESSORA MULTIFUNCIONAL JATO DE TINTA - PÁGINAS A4</v>
      </c>
      <c r="K318" s="11" t="str">
        <f>IFERROR(__xludf.DUMMYFUNCTION("""COMPUTED_VALUE"""),"SWITCH 48 PORTAS GERENCIAVEL")</f>
        <v>SWITCH 48 PORTAS GERENCIAVEL</v>
      </c>
      <c r="L318" s="11" t="str">
        <f>IFERROR(__xludf.DUMMYFUNCTION("""COMPUTED_VALUE"""),"ACESS POINT")</f>
        <v>ACESS POINT</v>
      </c>
      <c r="M318" s="11" t="str">
        <f>IFERROR(__xludf.DUMMYFUNCTION("""COMPUTED_VALUE"""),"No break 700 VA.")</f>
        <v>No break 700 VA.</v>
      </c>
      <c r="N318" s="11" t="str">
        <f>IFERROR(__xludf.DUMMYFUNCTION("""COMPUTED_VALUE"""),"TV 65 polegadas ")</f>
        <v>TV 65 polegadas </v>
      </c>
      <c r="O318" s="11" t="str">
        <f>IFERROR(__xludf.DUMMYFUNCTION("""COMPUTED_VALUE"""),"TV 50 POLEGADAS")</f>
        <v>TV 50 POLEGADAS</v>
      </c>
      <c r="P318" s="11" t="str">
        <f>IFERROR(__xludf.DUMMYFUNCTION("""COMPUTED_VALUE"""),"TV 40 POLEGADAS")</f>
        <v>TV 40 POLEGADAS</v>
      </c>
      <c r="Q318" s="11" t="str">
        <f>IFERROR(__xludf.DUMMYFUNCTION("""COMPUTED_VALUE"""),"SWITCH 16 PORTAS")</f>
        <v>SWITCH 16 PORTAS</v>
      </c>
      <c r="R318" s="11" t="str">
        <f>IFERROR(__xludf.DUMMYFUNCTION("""COMPUTED_VALUE"""),"SWITCH 8 PORTAS ")</f>
        <v>SWITCH 8 PORTAS </v>
      </c>
    </row>
    <row r="319">
      <c r="A319" s="11" t="str">
        <f>IFERROR(__xludf.DUMMYFUNCTION("TRANSPOSE(FILTER(ITENS!$D:$D, ITENS!$A:$A = SERVICOS!$A320))"),"NOTEBOOK TIPO I")</f>
        <v>NOTEBOOK TIPO I</v>
      </c>
      <c r="B319" s="11" t="str">
        <f>IFERROR(__xludf.DUMMYFUNCTION("""COMPUTED_VALUE"""),"NOTEBOOK TIPO II")</f>
        <v>NOTEBOOK TIPO II</v>
      </c>
      <c r="C319" s="11" t="str">
        <f>IFERROR(__xludf.DUMMYFUNCTION("""COMPUTED_VALUE"""),"NOTEBOOK TIPO III")</f>
        <v>NOTEBOOK TIPO III</v>
      </c>
      <c r="D319" s="11" t="str">
        <f>IFERROR(__xludf.DUMMYFUNCTION("""COMPUTED_VALUE"""),"MICRO TIPO I")</f>
        <v>MICRO TIPO I</v>
      </c>
      <c r="E319" s="11" t="str">
        <f>IFERROR(__xludf.DUMMYFUNCTION("""COMPUTED_VALUE"""),"MICRO TIPO II ")</f>
        <v>MICRO TIPO II </v>
      </c>
      <c r="F319" s="11" t="str">
        <f>IFERROR(__xludf.DUMMYFUNCTION("""COMPUTED_VALUE"""),"MICRO TIPO III")</f>
        <v>MICRO TIPO III</v>
      </c>
      <c r="G319" s="11" t="str">
        <f>IFERROR(__xludf.DUMMYFUNCTION("""COMPUTED_VALUE"""),"IMPRESSORA MULTIFUNCIONAL MONOCROMÁTICO LASER –  PÁGINAS A4 ")</f>
        <v>IMPRESSORA MULTIFUNCIONAL MONOCROMÁTICO LASER –  PÁGINAS A4 </v>
      </c>
      <c r="H319" s="11" t="str">
        <f>IFERROR(__xludf.DUMMYFUNCTION("""COMPUTED_VALUE"""),"IMPRESSORA MONOCROMÁTICO LASER –  PÁGINAS A4 ")</f>
        <v>IMPRESSORA MONOCROMÁTICO LASER –  PÁGINAS A4 </v>
      </c>
      <c r="I319" s="11" t="str">
        <f>IFERROR(__xludf.DUMMYFUNCTION("""COMPUTED_VALUE"""),"IMPRESSORA MULTIFUNCIONAL POLICROMÁTICO LASER –  PÁGINAS A3")</f>
        <v>IMPRESSORA MULTIFUNCIONAL POLICROMÁTICO LASER –  PÁGINAS A3</v>
      </c>
      <c r="J319" s="11" t="str">
        <f>IFERROR(__xludf.DUMMYFUNCTION("""COMPUTED_VALUE"""),"IMPRESSORA MULTIFUNCIONAL JATO DE TINTA - PÁGINAS A4")</f>
        <v>IMPRESSORA MULTIFUNCIONAL JATO DE TINTA - PÁGINAS A4</v>
      </c>
      <c r="K319" s="11" t="str">
        <f>IFERROR(__xludf.DUMMYFUNCTION("""COMPUTED_VALUE"""),"SWITCH 48 PORTAS GERENCIAVEL")</f>
        <v>SWITCH 48 PORTAS GERENCIAVEL</v>
      </c>
      <c r="L319" s="11" t="str">
        <f>IFERROR(__xludf.DUMMYFUNCTION("""COMPUTED_VALUE"""),"ACESS POINT")</f>
        <v>ACESS POINT</v>
      </c>
      <c r="M319" s="11" t="str">
        <f>IFERROR(__xludf.DUMMYFUNCTION("""COMPUTED_VALUE"""),"No break 700 VA.")</f>
        <v>No break 700 VA.</v>
      </c>
      <c r="N319" s="11" t="str">
        <f>IFERROR(__xludf.DUMMYFUNCTION("""COMPUTED_VALUE"""),"TV 65 polegadas ")</f>
        <v>TV 65 polegadas </v>
      </c>
      <c r="O319" s="11" t="str">
        <f>IFERROR(__xludf.DUMMYFUNCTION("""COMPUTED_VALUE"""),"TV 50 POLEGADAS")</f>
        <v>TV 50 POLEGADAS</v>
      </c>
      <c r="P319" s="11" t="str">
        <f>IFERROR(__xludf.DUMMYFUNCTION("""COMPUTED_VALUE"""),"TV 40 POLEGADAS")</f>
        <v>TV 40 POLEGADAS</v>
      </c>
      <c r="Q319" s="11" t="str">
        <f>IFERROR(__xludf.DUMMYFUNCTION("""COMPUTED_VALUE"""),"SWITCH 16 PORTAS")</f>
        <v>SWITCH 16 PORTAS</v>
      </c>
      <c r="R319" s="11" t="str">
        <f>IFERROR(__xludf.DUMMYFUNCTION("""COMPUTED_VALUE"""),"SWITCH 8 PORTAS ")</f>
        <v>SWITCH 8 PORTAS </v>
      </c>
    </row>
    <row r="320">
      <c r="A320" s="11" t="str">
        <f>IFERROR(__xludf.DUMMYFUNCTION("TRANSPOSE(FILTER(ITENS!$D:$D, ITENS!$A:$A = SERVICOS!$A321))"),"NOTEBOOK TIPO I")</f>
        <v>NOTEBOOK TIPO I</v>
      </c>
      <c r="B320" s="11" t="str">
        <f>IFERROR(__xludf.DUMMYFUNCTION("""COMPUTED_VALUE"""),"NOTEBOOK TIPO II")</f>
        <v>NOTEBOOK TIPO II</v>
      </c>
      <c r="C320" s="11" t="str">
        <f>IFERROR(__xludf.DUMMYFUNCTION("""COMPUTED_VALUE"""),"NOTEBOOK TIPO III")</f>
        <v>NOTEBOOK TIPO III</v>
      </c>
      <c r="D320" s="11" t="str">
        <f>IFERROR(__xludf.DUMMYFUNCTION("""COMPUTED_VALUE"""),"MICRO TIPO I")</f>
        <v>MICRO TIPO I</v>
      </c>
      <c r="E320" s="11" t="str">
        <f>IFERROR(__xludf.DUMMYFUNCTION("""COMPUTED_VALUE"""),"MICRO TIPO II ")</f>
        <v>MICRO TIPO II </v>
      </c>
      <c r="F320" s="11" t="str">
        <f>IFERROR(__xludf.DUMMYFUNCTION("""COMPUTED_VALUE"""),"MICRO TIPO III")</f>
        <v>MICRO TIPO III</v>
      </c>
      <c r="G320" s="11" t="str">
        <f>IFERROR(__xludf.DUMMYFUNCTION("""COMPUTED_VALUE"""),"IMPRESSORA MULTIFUNCIONAL MONOCROMÁTICO LASER –  PÁGINAS A4 ")</f>
        <v>IMPRESSORA MULTIFUNCIONAL MONOCROMÁTICO LASER –  PÁGINAS A4 </v>
      </c>
      <c r="H320" s="11" t="str">
        <f>IFERROR(__xludf.DUMMYFUNCTION("""COMPUTED_VALUE"""),"IMPRESSORA MONOCROMÁTICO LASER –  PÁGINAS A4 ")</f>
        <v>IMPRESSORA MONOCROMÁTICO LASER –  PÁGINAS A4 </v>
      </c>
      <c r="I320" s="11" t="str">
        <f>IFERROR(__xludf.DUMMYFUNCTION("""COMPUTED_VALUE"""),"IMPRESSORA MULTIFUNCIONAL POLICROMÁTICO LASER –  PÁGINAS A3")</f>
        <v>IMPRESSORA MULTIFUNCIONAL POLICROMÁTICO LASER –  PÁGINAS A3</v>
      </c>
      <c r="J320" s="11" t="str">
        <f>IFERROR(__xludf.DUMMYFUNCTION("""COMPUTED_VALUE"""),"IMPRESSORA MULTIFUNCIONAL JATO DE TINTA - PÁGINAS A4")</f>
        <v>IMPRESSORA MULTIFUNCIONAL JATO DE TINTA - PÁGINAS A4</v>
      </c>
      <c r="K320" s="11" t="str">
        <f>IFERROR(__xludf.DUMMYFUNCTION("""COMPUTED_VALUE"""),"SWITCH 48 PORTAS GERENCIAVEL")</f>
        <v>SWITCH 48 PORTAS GERENCIAVEL</v>
      </c>
      <c r="L320" s="11" t="str">
        <f>IFERROR(__xludf.DUMMYFUNCTION("""COMPUTED_VALUE"""),"ACESS POINT")</f>
        <v>ACESS POINT</v>
      </c>
      <c r="M320" s="11" t="str">
        <f>IFERROR(__xludf.DUMMYFUNCTION("""COMPUTED_VALUE"""),"No break 700 VA.")</f>
        <v>No break 700 VA.</v>
      </c>
      <c r="N320" s="11" t="str">
        <f>IFERROR(__xludf.DUMMYFUNCTION("""COMPUTED_VALUE"""),"TV 65 polegadas ")</f>
        <v>TV 65 polegadas </v>
      </c>
      <c r="O320" s="11" t="str">
        <f>IFERROR(__xludf.DUMMYFUNCTION("""COMPUTED_VALUE"""),"TV 50 POLEGADAS")</f>
        <v>TV 50 POLEGADAS</v>
      </c>
      <c r="P320" s="11" t="str">
        <f>IFERROR(__xludf.DUMMYFUNCTION("""COMPUTED_VALUE"""),"TV 40 POLEGADAS")</f>
        <v>TV 40 POLEGADAS</v>
      </c>
      <c r="Q320" s="11" t="str">
        <f>IFERROR(__xludf.DUMMYFUNCTION("""COMPUTED_VALUE"""),"SWITCH 16 PORTAS")</f>
        <v>SWITCH 16 PORTAS</v>
      </c>
      <c r="R320" s="11" t="str">
        <f>IFERROR(__xludf.DUMMYFUNCTION("""COMPUTED_VALUE"""),"SWITCH 8 PORTAS ")</f>
        <v>SWITCH 8 PORTAS </v>
      </c>
    </row>
    <row r="321">
      <c r="A321" s="11" t="str">
        <f>IFERROR(__xludf.DUMMYFUNCTION("TRANSPOSE(FILTER(ITENS!$D:$D, ITENS!$A:$A = SERVICOS!$A322))"),"NOTEBOOK TIPO I")</f>
        <v>NOTEBOOK TIPO I</v>
      </c>
      <c r="B321" s="11" t="str">
        <f>IFERROR(__xludf.DUMMYFUNCTION("""COMPUTED_VALUE"""),"NOTEBOOK TIPO II")</f>
        <v>NOTEBOOK TIPO II</v>
      </c>
      <c r="C321" s="11" t="str">
        <f>IFERROR(__xludf.DUMMYFUNCTION("""COMPUTED_VALUE"""),"NOTEBOOK TIPO III")</f>
        <v>NOTEBOOK TIPO III</v>
      </c>
      <c r="D321" s="11" t="str">
        <f>IFERROR(__xludf.DUMMYFUNCTION("""COMPUTED_VALUE"""),"MICRO TIPO I")</f>
        <v>MICRO TIPO I</v>
      </c>
      <c r="E321" s="11" t="str">
        <f>IFERROR(__xludf.DUMMYFUNCTION("""COMPUTED_VALUE"""),"MICRO TIPO II ")</f>
        <v>MICRO TIPO II </v>
      </c>
      <c r="F321" s="11" t="str">
        <f>IFERROR(__xludf.DUMMYFUNCTION("""COMPUTED_VALUE"""),"MICRO TIPO III")</f>
        <v>MICRO TIPO III</v>
      </c>
      <c r="G321" s="11" t="str">
        <f>IFERROR(__xludf.DUMMYFUNCTION("""COMPUTED_VALUE"""),"IMPRESSORA MULTIFUNCIONAL MONOCROMÁTICO LASER –  PÁGINAS A4 ")</f>
        <v>IMPRESSORA MULTIFUNCIONAL MONOCROMÁTICO LASER –  PÁGINAS A4 </v>
      </c>
      <c r="H321" s="11" t="str">
        <f>IFERROR(__xludf.DUMMYFUNCTION("""COMPUTED_VALUE"""),"IMPRESSORA MONOCROMÁTICO LASER –  PÁGINAS A4 ")</f>
        <v>IMPRESSORA MONOCROMÁTICO LASER –  PÁGINAS A4 </v>
      </c>
      <c r="I321" s="11" t="str">
        <f>IFERROR(__xludf.DUMMYFUNCTION("""COMPUTED_VALUE"""),"IMPRESSORA MULTIFUNCIONAL POLICROMÁTICO LASER –  PÁGINAS A3")</f>
        <v>IMPRESSORA MULTIFUNCIONAL POLICROMÁTICO LASER –  PÁGINAS A3</v>
      </c>
      <c r="J321" s="11" t="str">
        <f>IFERROR(__xludf.DUMMYFUNCTION("""COMPUTED_VALUE"""),"IMPRESSORA MULTIFUNCIONAL JATO DE TINTA - PÁGINAS A4")</f>
        <v>IMPRESSORA MULTIFUNCIONAL JATO DE TINTA - PÁGINAS A4</v>
      </c>
      <c r="K321" s="11" t="str">
        <f>IFERROR(__xludf.DUMMYFUNCTION("""COMPUTED_VALUE"""),"SWITCH 48 PORTAS GERENCIAVEL")</f>
        <v>SWITCH 48 PORTAS GERENCIAVEL</v>
      </c>
      <c r="L321" s="11" t="str">
        <f>IFERROR(__xludf.DUMMYFUNCTION("""COMPUTED_VALUE"""),"ACESS POINT")</f>
        <v>ACESS POINT</v>
      </c>
      <c r="M321" s="11" t="str">
        <f>IFERROR(__xludf.DUMMYFUNCTION("""COMPUTED_VALUE"""),"No break 700 VA.")</f>
        <v>No break 700 VA.</v>
      </c>
      <c r="N321" s="11" t="str">
        <f>IFERROR(__xludf.DUMMYFUNCTION("""COMPUTED_VALUE"""),"TV 65 polegadas ")</f>
        <v>TV 65 polegadas </v>
      </c>
      <c r="O321" s="11" t="str">
        <f>IFERROR(__xludf.DUMMYFUNCTION("""COMPUTED_VALUE"""),"TV 50 POLEGADAS")</f>
        <v>TV 50 POLEGADAS</v>
      </c>
      <c r="P321" s="11" t="str">
        <f>IFERROR(__xludf.DUMMYFUNCTION("""COMPUTED_VALUE"""),"TV 40 POLEGADAS")</f>
        <v>TV 40 POLEGADAS</v>
      </c>
      <c r="Q321" s="11" t="str">
        <f>IFERROR(__xludf.DUMMYFUNCTION("""COMPUTED_VALUE"""),"SWITCH 16 PORTAS")</f>
        <v>SWITCH 16 PORTAS</v>
      </c>
      <c r="R321" s="11" t="str">
        <f>IFERROR(__xludf.DUMMYFUNCTION("""COMPUTED_VALUE"""),"SWITCH 8 PORTAS ")</f>
        <v>SWITCH 8 PORTAS </v>
      </c>
    </row>
    <row r="322">
      <c r="A322" s="11" t="str">
        <f>IFERROR(__xludf.DUMMYFUNCTION("TRANSPOSE(FILTER(ITENS!$D:$D, ITENS!$A:$A = SERVICOS!$A323))"),"MULTIFUNCIONAL COPIADORA, IMPRESSORA,
SCANNER ")</f>
        <v>MULTIFUNCIONAL COPIADORA, IMPRESSORA,
SCANNER </v>
      </c>
      <c r="B322" s="11" t="str">
        <f>IFERROR(__xludf.DUMMYFUNCTION("""COMPUTED_VALUE"""),"MULTIFUNCIONAL JATO DE TINTA COLORIDO ")</f>
        <v>MULTIFUNCIONAL JATO DE TINTA COLORIDO </v>
      </c>
    </row>
    <row r="323">
      <c r="A323" s="11" t="str">
        <f>IFERROR(__xludf.DUMMYFUNCTION("TRANSPOSE(FILTER(ITENS!$D:$D, ITENS!$A:$A = SERVICOS!$A324))"),"NOTEBOOK TIPO I")</f>
        <v>NOTEBOOK TIPO I</v>
      </c>
      <c r="B323" s="11" t="str">
        <f>IFERROR(__xludf.DUMMYFUNCTION("""COMPUTED_VALUE"""),"NOTEBOOK TIPO II")</f>
        <v>NOTEBOOK TIPO II</v>
      </c>
      <c r="C323" s="11" t="str">
        <f>IFERROR(__xludf.DUMMYFUNCTION("""COMPUTED_VALUE"""),"NOTEBOOK TIPO III")</f>
        <v>NOTEBOOK TIPO III</v>
      </c>
      <c r="D323" s="11" t="str">
        <f>IFERROR(__xludf.DUMMYFUNCTION("""COMPUTED_VALUE"""),"MICRO TIPO I")</f>
        <v>MICRO TIPO I</v>
      </c>
      <c r="E323" s="11" t="str">
        <f>IFERROR(__xludf.DUMMYFUNCTION("""COMPUTED_VALUE"""),"MICRO TIPO II ")</f>
        <v>MICRO TIPO II </v>
      </c>
      <c r="F323" s="11" t="str">
        <f>IFERROR(__xludf.DUMMYFUNCTION("""COMPUTED_VALUE"""),"MICRO TIPO III")</f>
        <v>MICRO TIPO III</v>
      </c>
      <c r="G323" s="11" t="str">
        <f>IFERROR(__xludf.DUMMYFUNCTION("""COMPUTED_VALUE"""),"IMPRESSORA MULTIFUNCIONAL MONOCROMÁTICO LASER –  PÁGINAS A4 ")</f>
        <v>IMPRESSORA MULTIFUNCIONAL MONOCROMÁTICO LASER –  PÁGINAS A4 </v>
      </c>
      <c r="H323" s="11" t="str">
        <f>IFERROR(__xludf.DUMMYFUNCTION("""COMPUTED_VALUE"""),"IMPRESSORA MONOCROMÁTICO LASER –  PÁGINAS A4 ")</f>
        <v>IMPRESSORA MONOCROMÁTICO LASER –  PÁGINAS A4 </v>
      </c>
      <c r="I323" s="11" t="str">
        <f>IFERROR(__xludf.DUMMYFUNCTION("""COMPUTED_VALUE"""),"IMPRESSORA MULTIFUNCIONAL JATO DE TINTA - PÁGINAS A4")</f>
        <v>IMPRESSORA MULTIFUNCIONAL JATO DE TINTA - PÁGINAS A4</v>
      </c>
      <c r="J323" s="11" t="str">
        <f>IFERROR(__xludf.DUMMYFUNCTION("""COMPUTED_VALUE"""),"SWITCH 16 PORTAS")</f>
        <v>SWITCH 16 PORTAS</v>
      </c>
      <c r="K323" s="11" t="str">
        <f>IFERROR(__xludf.DUMMYFUNCTION("""COMPUTED_VALUE"""),"No break 700 VA.")</f>
        <v>No break 700 VA.</v>
      </c>
    </row>
    <row r="324">
      <c r="A324" s="11" t="str">
        <f>IFERROR(__xludf.DUMMYFUNCTION("TRANSPOSE(FILTER(ITENS!$D:$D, ITENS!$A:$A = SERVICOS!$A325))"),"NOTEBOOK TIPO I")</f>
        <v>NOTEBOOK TIPO I</v>
      </c>
      <c r="B324" s="11" t="str">
        <f>IFERROR(__xludf.DUMMYFUNCTION("""COMPUTED_VALUE"""),"NOTEBOOK TIPO II")</f>
        <v>NOTEBOOK TIPO II</v>
      </c>
      <c r="C324" s="11" t="str">
        <f>IFERROR(__xludf.DUMMYFUNCTION("""COMPUTED_VALUE"""),"NOTEBOOK TIPO III")</f>
        <v>NOTEBOOK TIPO III</v>
      </c>
      <c r="D324" s="11" t="str">
        <f>IFERROR(__xludf.DUMMYFUNCTION("""COMPUTED_VALUE"""),"MICRO TIPO I")</f>
        <v>MICRO TIPO I</v>
      </c>
      <c r="E324" s="11" t="str">
        <f>IFERROR(__xludf.DUMMYFUNCTION("""COMPUTED_VALUE"""),"MICRO TIPO II ")</f>
        <v>MICRO TIPO II </v>
      </c>
      <c r="F324" s="11" t="str">
        <f>IFERROR(__xludf.DUMMYFUNCTION("""COMPUTED_VALUE"""),"MICRO TIPO III")</f>
        <v>MICRO TIPO III</v>
      </c>
      <c r="G324" s="11" t="str">
        <f>IFERROR(__xludf.DUMMYFUNCTION("""COMPUTED_VALUE"""),"IMPRESSORA MULTIFUNCIONAL MONOCROMÁTICO LASER –  PÁGINAS A4 ")</f>
        <v>IMPRESSORA MULTIFUNCIONAL MONOCROMÁTICO LASER –  PÁGINAS A4 </v>
      </c>
      <c r="H324" s="11" t="str">
        <f>IFERROR(__xludf.DUMMYFUNCTION("""COMPUTED_VALUE"""),"IMPRESSORA MONOCROMÁTICO LASER –  PÁGINAS A4 ")</f>
        <v>IMPRESSORA MONOCROMÁTICO LASER –  PÁGINAS A4 </v>
      </c>
      <c r="I324" s="11" t="str">
        <f>IFERROR(__xludf.DUMMYFUNCTION("""COMPUTED_VALUE"""),"IMPRESSORA MULTIFUNCIONAL JATO DE TINTA - PÁGINAS A4")</f>
        <v>IMPRESSORA MULTIFUNCIONAL JATO DE TINTA - PÁGINAS A4</v>
      </c>
      <c r="J324" s="11" t="str">
        <f>IFERROR(__xludf.DUMMYFUNCTION("""COMPUTED_VALUE"""),"SWITCH 16 PORTAS")</f>
        <v>SWITCH 16 PORTAS</v>
      </c>
      <c r="K324" s="11" t="str">
        <f>IFERROR(__xludf.DUMMYFUNCTION("""COMPUTED_VALUE"""),"No break 700 VA.")</f>
        <v>No break 700 VA.</v>
      </c>
    </row>
    <row r="325">
      <c r="A325" s="11" t="str">
        <f>IFERROR(__xludf.DUMMYFUNCTION("TRANSPOSE(FILTER(ITENS!$D:$D, ITENS!$A:$A = SERVICOS!$A326))"),"NOTEBOOK TIPO I")</f>
        <v>NOTEBOOK TIPO I</v>
      </c>
      <c r="B325" s="11" t="str">
        <f>IFERROR(__xludf.DUMMYFUNCTION("""COMPUTED_VALUE"""),"NOTEBOOK TIPO II")</f>
        <v>NOTEBOOK TIPO II</v>
      </c>
      <c r="C325" s="11" t="str">
        <f>IFERROR(__xludf.DUMMYFUNCTION("""COMPUTED_VALUE"""),"NOTEBOOK TIPO III")</f>
        <v>NOTEBOOK TIPO III</v>
      </c>
      <c r="D325" s="11" t="str">
        <f>IFERROR(__xludf.DUMMYFUNCTION("""COMPUTED_VALUE"""),"MICRO TIPO I")</f>
        <v>MICRO TIPO I</v>
      </c>
      <c r="E325" s="11" t="str">
        <f>IFERROR(__xludf.DUMMYFUNCTION("""COMPUTED_VALUE"""),"MICRO TIPO II ")</f>
        <v>MICRO TIPO II </v>
      </c>
      <c r="F325" s="11" t="str">
        <f>IFERROR(__xludf.DUMMYFUNCTION("""COMPUTED_VALUE"""),"MICRO TIPO III")</f>
        <v>MICRO TIPO III</v>
      </c>
      <c r="G325" s="11" t="str">
        <f>IFERROR(__xludf.DUMMYFUNCTION("""COMPUTED_VALUE"""),"IMPRESSORA MULTIFUNCIONAL MONOCROMÁTICO LASER –  PÁGINAS A4 ")</f>
        <v>IMPRESSORA MULTIFUNCIONAL MONOCROMÁTICO LASER –  PÁGINAS A4 </v>
      </c>
      <c r="H325" s="11" t="str">
        <f>IFERROR(__xludf.DUMMYFUNCTION("""COMPUTED_VALUE"""),"IMPRESSORA MONOCROMÁTICO LASER –  PÁGINAS A4 ")</f>
        <v>IMPRESSORA MONOCROMÁTICO LASER –  PÁGINAS A4 </v>
      </c>
      <c r="I325" s="11" t="str">
        <f>IFERROR(__xludf.DUMMYFUNCTION("""COMPUTED_VALUE"""),"IMPRESSORA MULTIFUNCIONAL JATO DE TINTA - PÁGINAS A4")</f>
        <v>IMPRESSORA MULTIFUNCIONAL JATO DE TINTA - PÁGINAS A4</v>
      </c>
      <c r="J325" s="11" t="str">
        <f>IFERROR(__xludf.DUMMYFUNCTION("""COMPUTED_VALUE"""),"SWITCH 16 PORTAS")</f>
        <v>SWITCH 16 PORTAS</v>
      </c>
      <c r="K325" s="11" t="str">
        <f>IFERROR(__xludf.DUMMYFUNCTION("""COMPUTED_VALUE"""),"No break 700 VA.")</f>
        <v>No break 700 VA.</v>
      </c>
    </row>
    <row r="326">
      <c r="A326" s="11" t="str">
        <f>IFERROR(__xludf.DUMMYFUNCTION("TRANSPOSE(FILTER(ITENS!$D:$D, ITENS!$A:$A = SERVICOS!$A327))"),"NOTEBOOK TIPO I")</f>
        <v>NOTEBOOK TIPO I</v>
      </c>
      <c r="B326" s="11" t="str">
        <f>IFERROR(__xludf.DUMMYFUNCTION("""COMPUTED_VALUE"""),"NOTEBOOK TIPO II")</f>
        <v>NOTEBOOK TIPO II</v>
      </c>
      <c r="C326" s="11" t="str">
        <f>IFERROR(__xludf.DUMMYFUNCTION("""COMPUTED_VALUE"""),"NOTEBOOK TIPO III")</f>
        <v>NOTEBOOK TIPO III</v>
      </c>
      <c r="D326" s="11" t="str">
        <f>IFERROR(__xludf.DUMMYFUNCTION("""COMPUTED_VALUE"""),"MICRO TIPO I")</f>
        <v>MICRO TIPO I</v>
      </c>
      <c r="E326" s="11" t="str">
        <f>IFERROR(__xludf.DUMMYFUNCTION("""COMPUTED_VALUE"""),"MICRO TIPO II ")</f>
        <v>MICRO TIPO II </v>
      </c>
      <c r="F326" s="11" t="str">
        <f>IFERROR(__xludf.DUMMYFUNCTION("""COMPUTED_VALUE"""),"MICRO TIPO III")</f>
        <v>MICRO TIPO III</v>
      </c>
      <c r="G326" s="11" t="str">
        <f>IFERROR(__xludf.DUMMYFUNCTION("""COMPUTED_VALUE"""),"IMPRESSORA MULTIFUNCIONAL MONOCROMÁTICO LASER –  PÁGINAS A4 ")</f>
        <v>IMPRESSORA MULTIFUNCIONAL MONOCROMÁTICO LASER –  PÁGINAS A4 </v>
      </c>
      <c r="H326" s="11" t="str">
        <f>IFERROR(__xludf.DUMMYFUNCTION("""COMPUTED_VALUE"""),"IMPRESSORA MONOCROMÁTICO LASER –  PÁGINAS A4 ")</f>
        <v>IMPRESSORA MONOCROMÁTICO LASER –  PÁGINAS A4 </v>
      </c>
      <c r="I326" s="11" t="str">
        <f>IFERROR(__xludf.DUMMYFUNCTION("""COMPUTED_VALUE"""),"IMPRESSORA MULTIFUNCIONAL JATO DE TINTA - PÁGINAS A4")</f>
        <v>IMPRESSORA MULTIFUNCIONAL JATO DE TINTA - PÁGINAS A4</v>
      </c>
      <c r="J326" s="11" t="str">
        <f>IFERROR(__xludf.DUMMYFUNCTION("""COMPUTED_VALUE"""),"SWITCH 16 PORTAS")</f>
        <v>SWITCH 16 PORTAS</v>
      </c>
      <c r="K326" s="11" t="str">
        <f>IFERROR(__xludf.DUMMYFUNCTION("""COMPUTED_VALUE"""),"No break 700 VA.")</f>
        <v>No break 700 VA.</v>
      </c>
    </row>
    <row r="327">
      <c r="A327" s="11" t="str">
        <f>IFERROR(__xludf.DUMMYFUNCTION("TRANSPOSE(FILTER(ITENS!$D:$D, ITENS!$A:$A = SERVICOS!$A328))"),"NOTEBOOK TIPO I")</f>
        <v>NOTEBOOK TIPO I</v>
      </c>
      <c r="B327" s="11" t="str">
        <f>IFERROR(__xludf.DUMMYFUNCTION("""COMPUTED_VALUE"""),"NOTEBOOK TIPO II")</f>
        <v>NOTEBOOK TIPO II</v>
      </c>
      <c r="C327" s="11" t="str">
        <f>IFERROR(__xludf.DUMMYFUNCTION("""COMPUTED_VALUE"""),"NOTEBOOK TIPO III")</f>
        <v>NOTEBOOK TIPO III</v>
      </c>
      <c r="D327" s="11" t="str">
        <f>IFERROR(__xludf.DUMMYFUNCTION("""COMPUTED_VALUE"""),"MICRO TIPO I")</f>
        <v>MICRO TIPO I</v>
      </c>
      <c r="E327" s="11" t="str">
        <f>IFERROR(__xludf.DUMMYFUNCTION("""COMPUTED_VALUE"""),"MICRO TIPO II ")</f>
        <v>MICRO TIPO II </v>
      </c>
      <c r="F327" s="11" t="str">
        <f>IFERROR(__xludf.DUMMYFUNCTION("""COMPUTED_VALUE"""),"MICRO TIPO III")</f>
        <v>MICRO TIPO III</v>
      </c>
      <c r="G327" s="11" t="str">
        <f>IFERROR(__xludf.DUMMYFUNCTION("""COMPUTED_VALUE"""),"IMPRESSORA MULTIFUNCIONAL MONOCROMÁTICO LASER –  PÁGINAS A4 ")</f>
        <v>IMPRESSORA MULTIFUNCIONAL MONOCROMÁTICO LASER –  PÁGINAS A4 </v>
      </c>
      <c r="H327" s="11" t="str">
        <f>IFERROR(__xludf.DUMMYFUNCTION("""COMPUTED_VALUE"""),"IMPRESSORA MONOCROMÁTICO LASER –  PÁGINAS A4 ")</f>
        <v>IMPRESSORA MONOCROMÁTICO LASER –  PÁGINAS A4 </v>
      </c>
      <c r="I327" s="11" t="str">
        <f>IFERROR(__xludf.DUMMYFUNCTION("""COMPUTED_VALUE"""),"IMPRESSORA MULTIFUNCIONAL JATO DE TINTA - PÁGINAS A4")</f>
        <v>IMPRESSORA MULTIFUNCIONAL JATO DE TINTA - PÁGINAS A4</v>
      </c>
      <c r="J327" s="11" t="str">
        <f>IFERROR(__xludf.DUMMYFUNCTION("""COMPUTED_VALUE"""),"SWITCH 16 PORTAS")</f>
        <v>SWITCH 16 PORTAS</v>
      </c>
      <c r="K327" s="11" t="str">
        <f>IFERROR(__xludf.DUMMYFUNCTION("""COMPUTED_VALUE"""),"No break 700 VA.")</f>
        <v>No break 700 VA.</v>
      </c>
    </row>
    <row r="328">
      <c r="A328" s="11" t="str">
        <f>IFERROR(__xludf.DUMMYFUNCTION("TRANSPOSE(FILTER(ITENS!$D:$D, ITENS!$A:$A = SERVICOS!$A329))"),"NOTEBOOK TIPO I")</f>
        <v>NOTEBOOK TIPO I</v>
      </c>
      <c r="B328" s="11" t="str">
        <f>IFERROR(__xludf.DUMMYFUNCTION("""COMPUTED_VALUE"""),"NOTEBOOK TIPO II")</f>
        <v>NOTEBOOK TIPO II</v>
      </c>
      <c r="C328" s="11" t="str">
        <f>IFERROR(__xludf.DUMMYFUNCTION("""COMPUTED_VALUE"""),"NOTEBOOK TIPO III")</f>
        <v>NOTEBOOK TIPO III</v>
      </c>
      <c r="D328" s="11" t="str">
        <f>IFERROR(__xludf.DUMMYFUNCTION("""COMPUTED_VALUE"""),"MICRO TIPO I")</f>
        <v>MICRO TIPO I</v>
      </c>
      <c r="E328" s="11" t="str">
        <f>IFERROR(__xludf.DUMMYFUNCTION("""COMPUTED_VALUE"""),"MICRO TIPO II ")</f>
        <v>MICRO TIPO II </v>
      </c>
      <c r="F328" s="11" t="str">
        <f>IFERROR(__xludf.DUMMYFUNCTION("""COMPUTED_VALUE"""),"MICRO TIPO III")</f>
        <v>MICRO TIPO III</v>
      </c>
      <c r="G328" s="11" t="str">
        <f>IFERROR(__xludf.DUMMYFUNCTION("""COMPUTED_VALUE"""),"IMPRESSORA MULTIFUNCIONAL MONOCROMÁTICO LASER –  PÁGINAS A4 ")</f>
        <v>IMPRESSORA MULTIFUNCIONAL MONOCROMÁTICO LASER –  PÁGINAS A4 </v>
      </c>
      <c r="H328" s="11" t="str">
        <f>IFERROR(__xludf.DUMMYFUNCTION("""COMPUTED_VALUE"""),"IMPRESSORA MONOCROMÁTICO LASER –  PÁGINAS A4 ")</f>
        <v>IMPRESSORA MONOCROMÁTICO LASER –  PÁGINAS A4 </v>
      </c>
      <c r="I328" s="11" t="str">
        <f>IFERROR(__xludf.DUMMYFUNCTION("""COMPUTED_VALUE"""),"IMPRESSORA MULTIFUNCIONAL JATO DE TINTA - PÁGINAS A4")</f>
        <v>IMPRESSORA MULTIFUNCIONAL JATO DE TINTA - PÁGINAS A4</v>
      </c>
      <c r="J328" s="11" t="str">
        <f>IFERROR(__xludf.DUMMYFUNCTION("""COMPUTED_VALUE"""),"SWITCH 16 PORTAS")</f>
        <v>SWITCH 16 PORTAS</v>
      </c>
      <c r="K328" s="11" t="str">
        <f>IFERROR(__xludf.DUMMYFUNCTION("""COMPUTED_VALUE"""),"No break 700 VA.")</f>
        <v>No break 700 VA.</v>
      </c>
    </row>
    <row r="329">
      <c r="A329" s="11" t="str">
        <f>IFERROR(__xludf.DUMMYFUNCTION("TRANSPOSE(FILTER(ITENS!$D:$D, ITENS!$A:$A = SERVICOS!$A330))"),"NOTEBOOK TIPO I")</f>
        <v>NOTEBOOK TIPO I</v>
      </c>
      <c r="B329" s="11" t="str">
        <f>IFERROR(__xludf.DUMMYFUNCTION("""COMPUTED_VALUE"""),"NOTEBOOK TIPO II")</f>
        <v>NOTEBOOK TIPO II</v>
      </c>
      <c r="C329" s="11" t="str">
        <f>IFERROR(__xludf.DUMMYFUNCTION("""COMPUTED_VALUE"""),"NOTEBOOK TIPO III")</f>
        <v>NOTEBOOK TIPO III</v>
      </c>
      <c r="D329" s="11" t="str">
        <f>IFERROR(__xludf.DUMMYFUNCTION("""COMPUTED_VALUE"""),"MICRO TIPO I")</f>
        <v>MICRO TIPO I</v>
      </c>
      <c r="E329" s="11" t="str">
        <f>IFERROR(__xludf.DUMMYFUNCTION("""COMPUTED_VALUE"""),"MICRO TIPO II ")</f>
        <v>MICRO TIPO II </v>
      </c>
      <c r="F329" s="11" t="str">
        <f>IFERROR(__xludf.DUMMYFUNCTION("""COMPUTED_VALUE"""),"MICRO TIPO III")</f>
        <v>MICRO TIPO III</v>
      </c>
      <c r="G329" s="11" t="str">
        <f>IFERROR(__xludf.DUMMYFUNCTION("""COMPUTED_VALUE"""),"IMPRESSORA MULTIFUNCIONAL MONOCROMÁTICO LASER –  PÁGINAS A4 ")</f>
        <v>IMPRESSORA MULTIFUNCIONAL MONOCROMÁTICO LASER –  PÁGINAS A4 </v>
      </c>
      <c r="H329" s="11" t="str">
        <f>IFERROR(__xludf.DUMMYFUNCTION("""COMPUTED_VALUE"""),"IMPRESSORA MONOCROMÁTICO LASER –  PÁGINAS A4 ")</f>
        <v>IMPRESSORA MONOCROMÁTICO LASER –  PÁGINAS A4 </v>
      </c>
      <c r="I329" s="11" t="str">
        <f>IFERROR(__xludf.DUMMYFUNCTION("""COMPUTED_VALUE"""),"IMPRESSORA MULTIFUNCIONAL JATO DE TINTA - PÁGINAS A4")</f>
        <v>IMPRESSORA MULTIFUNCIONAL JATO DE TINTA - PÁGINAS A4</v>
      </c>
      <c r="J329" s="11" t="str">
        <f>IFERROR(__xludf.DUMMYFUNCTION("""COMPUTED_VALUE"""),"SWITCH 16 PORTAS")</f>
        <v>SWITCH 16 PORTAS</v>
      </c>
      <c r="K329" s="11" t="str">
        <f>IFERROR(__xludf.DUMMYFUNCTION("""COMPUTED_VALUE"""),"No break 700 VA.")</f>
        <v>No break 700 VA.</v>
      </c>
    </row>
    <row r="330">
      <c r="A330" s="11" t="str">
        <f>IFERROR(__xludf.DUMMYFUNCTION("TRANSPOSE(FILTER(ITENS!$D:$D, ITENS!$A:$A = SERVICOS!$A331))"),"NOTEBOOK TIPO I")</f>
        <v>NOTEBOOK TIPO I</v>
      </c>
      <c r="B330" s="11" t="str">
        <f>IFERROR(__xludf.DUMMYFUNCTION("""COMPUTED_VALUE"""),"NOTEBOOK TIPO II")</f>
        <v>NOTEBOOK TIPO II</v>
      </c>
      <c r="C330" s="11" t="str">
        <f>IFERROR(__xludf.DUMMYFUNCTION("""COMPUTED_VALUE"""),"NOTEBOOK TIPO III")</f>
        <v>NOTEBOOK TIPO III</v>
      </c>
      <c r="D330" s="11" t="str">
        <f>IFERROR(__xludf.DUMMYFUNCTION("""COMPUTED_VALUE"""),"MICRO TIPO I")</f>
        <v>MICRO TIPO I</v>
      </c>
      <c r="E330" s="11" t="str">
        <f>IFERROR(__xludf.DUMMYFUNCTION("""COMPUTED_VALUE"""),"MICRO TIPO II ")</f>
        <v>MICRO TIPO II </v>
      </c>
      <c r="F330" s="11" t="str">
        <f>IFERROR(__xludf.DUMMYFUNCTION("""COMPUTED_VALUE"""),"MICRO TIPO III")</f>
        <v>MICRO TIPO III</v>
      </c>
      <c r="G330" s="11" t="str">
        <f>IFERROR(__xludf.DUMMYFUNCTION("""COMPUTED_VALUE"""),"IMPRESSORA MULTIFUNCIONAL MONOCROMÁTICO LASER –  PÁGINAS A4 ")</f>
        <v>IMPRESSORA MULTIFUNCIONAL MONOCROMÁTICO LASER –  PÁGINAS A4 </v>
      </c>
      <c r="H330" s="11" t="str">
        <f>IFERROR(__xludf.DUMMYFUNCTION("""COMPUTED_VALUE"""),"IMPRESSORA MONOCROMÁTICO LASER –  PÁGINAS A4 ")</f>
        <v>IMPRESSORA MONOCROMÁTICO LASER –  PÁGINAS A4 </v>
      </c>
      <c r="I330" s="11" t="str">
        <f>IFERROR(__xludf.DUMMYFUNCTION("""COMPUTED_VALUE"""),"IMPRESSORA MULTIFUNCIONAL JATO DE TINTA - PÁGINAS A4")</f>
        <v>IMPRESSORA MULTIFUNCIONAL JATO DE TINTA - PÁGINAS A4</v>
      </c>
      <c r="J330" s="11" t="str">
        <f>IFERROR(__xludf.DUMMYFUNCTION("""COMPUTED_VALUE"""),"SWITCH 16 PORTAS")</f>
        <v>SWITCH 16 PORTAS</v>
      </c>
      <c r="K330" s="11" t="str">
        <f>IFERROR(__xludf.DUMMYFUNCTION("""COMPUTED_VALUE"""),"No break 700 VA.")</f>
        <v>No break 700 VA.</v>
      </c>
    </row>
    <row r="331">
      <c r="A331" s="11" t="str">
        <f>IFERROR(__xludf.DUMMYFUNCTION("TRANSPOSE(FILTER(ITENS!$D:$D, ITENS!$A:$A = SERVICOS!$A332))"),"NOTEBOOK TIPO I")</f>
        <v>NOTEBOOK TIPO I</v>
      </c>
      <c r="B331" s="11" t="str">
        <f>IFERROR(__xludf.DUMMYFUNCTION("""COMPUTED_VALUE"""),"NOTEBOOK TIPO II")</f>
        <v>NOTEBOOK TIPO II</v>
      </c>
      <c r="C331" s="11" t="str">
        <f>IFERROR(__xludf.DUMMYFUNCTION("""COMPUTED_VALUE"""),"NOTEBOOK TIPO III")</f>
        <v>NOTEBOOK TIPO III</v>
      </c>
      <c r="D331" s="11" t="str">
        <f>IFERROR(__xludf.DUMMYFUNCTION("""COMPUTED_VALUE"""),"MICRO TIPO I")</f>
        <v>MICRO TIPO I</v>
      </c>
      <c r="E331" s="11" t="str">
        <f>IFERROR(__xludf.DUMMYFUNCTION("""COMPUTED_VALUE"""),"MICRO TIPO II ")</f>
        <v>MICRO TIPO II </v>
      </c>
      <c r="F331" s="11" t="str">
        <f>IFERROR(__xludf.DUMMYFUNCTION("""COMPUTED_VALUE"""),"MICRO TIPO III")</f>
        <v>MICRO TIPO III</v>
      </c>
      <c r="G331" s="11" t="str">
        <f>IFERROR(__xludf.DUMMYFUNCTION("""COMPUTED_VALUE"""),"IMPRESSORA MULTIFUNCIONAL MONOCROMÁTICO LASER –  PÁGINAS A4 ")</f>
        <v>IMPRESSORA MULTIFUNCIONAL MONOCROMÁTICO LASER –  PÁGINAS A4 </v>
      </c>
      <c r="H331" s="11" t="str">
        <f>IFERROR(__xludf.DUMMYFUNCTION("""COMPUTED_VALUE"""),"IMPRESSORA MONOCROMÁTICO LASER –  PÁGINAS A4 ")</f>
        <v>IMPRESSORA MONOCROMÁTICO LASER –  PÁGINAS A4 </v>
      </c>
      <c r="I331" s="11" t="str">
        <f>IFERROR(__xludf.DUMMYFUNCTION("""COMPUTED_VALUE"""),"IMPRESSORA MULTIFUNCIONAL JATO DE TINTA - PÁGINAS A4")</f>
        <v>IMPRESSORA MULTIFUNCIONAL JATO DE TINTA - PÁGINAS A4</v>
      </c>
      <c r="J331" s="11" t="str">
        <f>IFERROR(__xludf.DUMMYFUNCTION("""COMPUTED_VALUE"""),"SWITCH 16 PORTAS")</f>
        <v>SWITCH 16 PORTAS</v>
      </c>
      <c r="K331" s="11" t="str">
        <f>IFERROR(__xludf.DUMMYFUNCTION("""COMPUTED_VALUE"""),"No break 700 VA.")</f>
        <v>No break 700 VA.</v>
      </c>
    </row>
    <row r="332">
      <c r="A332" s="11" t="str">
        <f>IFERROR(__xludf.DUMMYFUNCTION("TRANSPOSE(FILTER(ITENS!$D:$D, ITENS!$A:$A = SERVICOS!$A333))"),"NOTEBOOK TIPO I")</f>
        <v>NOTEBOOK TIPO I</v>
      </c>
      <c r="B332" s="11" t="str">
        <f>IFERROR(__xludf.DUMMYFUNCTION("""COMPUTED_VALUE"""),"NOTEBOOK TIPO II")</f>
        <v>NOTEBOOK TIPO II</v>
      </c>
      <c r="C332" s="11" t="str">
        <f>IFERROR(__xludf.DUMMYFUNCTION("""COMPUTED_VALUE"""),"NOTEBOOK TIPO III")</f>
        <v>NOTEBOOK TIPO III</v>
      </c>
      <c r="D332" s="11" t="str">
        <f>IFERROR(__xludf.DUMMYFUNCTION("""COMPUTED_VALUE"""),"MICRO TIPO I")</f>
        <v>MICRO TIPO I</v>
      </c>
      <c r="E332" s="11" t="str">
        <f>IFERROR(__xludf.DUMMYFUNCTION("""COMPUTED_VALUE"""),"MICRO TIPO II ")</f>
        <v>MICRO TIPO II </v>
      </c>
      <c r="F332" s="11" t="str">
        <f>IFERROR(__xludf.DUMMYFUNCTION("""COMPUTED_VALUE"""),"MICRO TIPO III")</f>
        <v>MICRO TIPO III</v>
      </c>
      <c r="G332" s="11" t="str">
        <f>IFERROR(__xludf.DUMMYFUNCTION("""COMPUTED_VALUE"""),"IMPRESSORA MULTIFUNCIONAL MONOCROMÁTICO LASER –  PÁGINAS A4 ")</f>
        <v>IMPRESSORA MULTIFUNCIONAL MONOCROMÁTICO LASER –  PÁGINAS A4 </v>
      </c>
      <c r="H332" s="11" t="str">
        <f>IFERROR(__xludf.DUMMYFUNCTION("""COMPUTED_VALUE"""),"IMPRESSORA MONOCROMÁTICO LASER –  PÁGINAS A4 ")</f>
        <v>IMPRESSORA MONOCROMÁTICO LASER –  PÁGINAS A4 </v>
      </c>
      <c r="I332" s="11" t="str">
        <f>IFERROR(__xludf.DUMMYFUNCTION("""COMPUTED_VALUE"""),"IMPRESSORA MULTIFUNCIONAL JATO DE TINTA - PÁGINAS A4")</f>
        <v>IMPRESSORA MULTIFUNCIONAL JATO DE TINTA - PÁGINAS A4</v>
      </c>
      <c r="J332" s="11" t="str">
        <f>IFERROR(__xludf.DUMMYFUNCTION("""COMPUTED_VALUE"""),"SWITCH 16 PORTAS")</f>
        <v>SWITCH 16 PORTAS</v>
      </c>
      <c r="K332" s="11" t="str">
        <f>IFERROR(__xludf.DUMMYFUNCTION("""COMPUTED_VALUE"""),"No break 700 VA.")</f>
        <v>No break 700 VA.</v>
      </c>
    </row>
    <row r="333">
      <c r="A333" s="11" t="str">
        <f>IFERROR(__xludf.DUMMYFUNCTION("TRANSPOSE(FILTER(ITENS!$D:$D, ITENS!$A:$A = SERVICOS!$A334))"),"NOTEBOOK TIPO I")</f>
        <v>NOTEBOOK TIPO I</v>
      </c>
      <c r="B333" s="11" t="str">
        <f>IFERROR(__xludf.DUMMYFUNCTION("""COMPUTED_VALUE"""),"NOTEBOOK TIPO II")</f>
        <v>NOTEBOOK TIPO II</v>
      </c>
      <c r="C333" s="11" t="str">
        <f>IFERROR(__xludf.DUMMYFUNCTION("""COMPUTED_VALUE"""),"NOTEBOOK TIPO III")</f>
        <v>NOTEBOOK TIPO III</v>
      </c>
      <c r="D333" s="11" t="str">
        <f>IFERROR(__xludf.DUMMYFUNCTION("""COMPUTED_VALUE"""),"MICRO TIPO I")</f>
        <v>MICRO TIPO I</v>
      </c>
      <c r="E333" s="11" t="str">
        <f>IFERROR(__xludf.DUMMYFUNCTION("""COMPUTED_VALUE"""),"MICRO TIPO II ")</f>
        <v>MICRO TIPO II </v>
      </c>
      <c r="F333" s="11" t="str">
        <f>IFERROR(__xludf.DUMMYFUNCTION("""COMPUTED_VALUE"""),"MICRO TIPO III")</f>
        <v>MICRO TIPO III</v>
      </c>
      <c r="G333" s="11" t="str">
        <f>IFERROR(__xludf.DUMMYFUNCTION("""COMPUTED_VALUE"""),"IMPRESSORA MULTIFUNCIONAL MONOCROMÁTICO LASER –  PÁGINAS A4 ")</f>
        <v>IMPRESSORA MULTIFUNCIONAL MONOCROMÁTICO LASER –  PÁGINAS A4 </v>
      </c>
      <c r="H333" s="11" t="str">
        <f>IFERROR(__xludf.DUMMYFUNCTION("""COMPUTED_VALUE"""),"IMPRESSORA MONOCROMÁTICO LASER –  PÁGINAS A4 ")</f>
        <v>IMPRESSORA MONOCROMÁTICO LASER –  PÁGINAS A4 </v>
      </c>
      <c r="I333" s="11" t="str">
        <f>IFERROR(__xludf.DUMMYFUNCTION("""COMPUTED_VALUE"""),"IMPRESSORA MULTIFUNCIONAL JATO DE TINTA - PÁGINAS A4")</f>
        <v>IMPRESSORA MULTIFUNCIONAL JATO DE TINTA - PÁGINAS A4</v>
      </c>
      <c r="J333" s="11" t="str">
        <f>IFERROR(__xludf.DUMMYFUNCTION("""COMPUTED_VALUE"""),"SWITCH 16 PORTAS")</f>
        <v>SWITCH 16 PORTAS</v>
      </c>
      <c r="K333" s="11" t="str">
        <f>IFERROR(__xludf.DUMMYFUNCTION("""COMPUTED_VALUE"""),"No break 700 VA.")</f>
        <v>No break 700 VA.</v>
      </c>
    </row>
    <row r="334">
      <c r="A334" s="11" t="str">
        <f>IFERROR(__xludf.DUMMYFUNCTION("TRANSPOSE(FILTER(ITENS!$D:$D, ITENS!$A:$A = SERVICOS!$A335))"),"NOTEBOOK TIPO I")</f>
        <v>NOTEBOOK TIPO I</v>
      </c>
      <c r="B334" s="11" t="str">
        <f>IFERROR(__xludf.DUMMYFUNCTION("""COMPUTED_VALUE"""),"NOTEBOOK TIPO II")</f>
        <v>NOTEBOOK TIPO II</v>
      </c>
      <c r="C334" s="11" t="str">
        <f>IFERROR(__xludf.DUMMYFUNCTION("""COMPUTED_VALUE"""),"NOTEBOOK TIPO III")</f>
        <v>NOTEBOOK TIPO III</v>
      </c>
      <c r="D334" s="11" t="str">
        <f>IFERROR(__xludf.DUMMYFUNCTION("""COMPUTED_VALUE"""),"MICRO TIPO I")</f>
        <v>MICRO TIPO I</v>
      </c>
      <c r="E334" s="11" t="str">
        <f>IFERROR(__xludf.DUMMYFUNCTION("""COMPUTED_VALUE"""),"MICRO TIPO II ")</f>
        <v>MICRO TIPO II </v>
      </c>
      <c r="F334" s="11" t="str">
        <f>IFERROR(__xludf.DUMMYFUNCTION("""COMPUTED_VALUE"""),"MICRO TIPO III")</f>
        <v>MICRO TIPO III</v>
      </c>
      <c r="G334" s="11" t="str">
        <f>IFERROR(__xludf.DUMMYFUNCTION("""COMPUTED_VALUE"""),"IMPRESSORA MULTIFUNCIONAL MONOCROMÁTICO LASER –  PÁGINAS A4 ")</f>
        <v>IMPRESSORA MULTIFUNCIONAL MONOCROMÁTICO LASER –  PÁGINAS A4 </v>
      </c>
      <c r="H334" s="11" t="str">
        <f>IFERROR(__xludf.DUMMYFUNCTION("""COMPUTED_VALUE"""),"IMPRESSORA MONOCROMÁTICO LASER –  PÁGINAS A4 ")</f>
        <v>IMPRESSORA MONOCROMÁTICO LASER –  PÁGINAS A4 </v>
      </c>
      <c r="I334" s="11" t="str">
        <f>IFERROR(__xludf.DUMMYFUNCTION("""COMPUTED_VALUE"""),"IMPRESSORA MULTIFUNCIONAL JATO DE TINTA - PÁGINAS A4")</f>
        <v>IMPRESSORA MULTIFUNCIONAL JATO DE TINTA - PÁGINAS A4</v>
      </c>
      <c r="J334" s="11" t="str">
        <f>IFERROR(__xludf.DUMMYFUNCTION("""COMPUTED_VALUE"""),"SWITCH 16 PORTAS")</f>
        <v>SWITCH 16 PORTAS</v>
      </c>
      <c r="K334" s="11" t="str">
        <f>IFERROR(__xludf.DUMMYFUNCTION("""COMPUTED_VALUE"""),"No break 700 VA.")</f>
        <v>No break 700 VA.</v>
      </c>
    </row>
    <row r="335">
      <c r="A335" s="11" t="str">
        <f>IFERROR(__xludf.DUMMYFUNCTION("TRANSPOSE(FILTER(ITENS!$D:$D, ITENS!$A:$A = SERVICOS!$A336))"),"NOTEBOOK TIPO I")</f>
        <v>NOTEBOOK TIPO I</v>
      </c>
      <c r="B335" s="11" t="str">
        <f>IFERROR(__xludf.DUMMYFUNCTION("""COMPUTED_VALUE"""),"NOTEBOOK TIPO II")</f>
        <v>NOTEBOOK TIPO II</v>
      </c>
      <c r="C335" s="11" t="str">
        <f>IFERROR(__xludf.DUMMYFUNCTION("""COMPUTED_VALUE"""),"NOTEBOOK TIPO III")</f>
        <v>NOTEBOOK TIPO III</v>
      </c>
      <c r="D335" s="11" t="str">
        <f>IFERROR(__xludf.DUMMYFUNCTION("""COMPUTED_VALUE"""),"MICRO TIPO I")</f>
        <v>MICRO TIPO I</v>
      </c>
      <c r="E335" s="11" t="str">
        <f>IFERROR(__xludf.DUMMYFUNCTION("""COMPUTED_VALUE"""),"MICRO TIPO II ")</f>
        <v>MICRO TIPO II </v>
      </c>
      <c r="F335" s="11" t="str">
        <f>IFERROR(__xludf.DUMMYFUNCTION("""COMPUTED_VALUE"""),"MICRO TIPO III")</f>
        <v>MICRO TIPO III</v>
      </c>
      <c r="G335" s="11" t="str">
        <f>IFERROR(__xludf.DUMMYFUNCTION("""COMPUTED_VALUE"""),"IMPRESSORA MULTIFUNCIONAL MONOCROMÁTICO LASER –  PÁGINAS A4 ")</f>
        <v>IMPRESSORA MULTIFUNCIONAL MONOCROMÁTICO LASER –  PÁGINAS A4 </v>
      </c>
      <c r="H335" s="11" t="str">
        <f>IFERROR(__xludf.DUMMYFUNCTION("""COMPUTED_VALUE"""),"IMPRESSORA MONOCROMÁTICO LASER –  PÁGINAS A4 ")</f>
        <v>IMPRESSORA MONOCROMÁTICO LASER –  PÁGINAS A4 </v>
      </c>
      <c r="I335" s="11" t="str">
        <f>IFERROR(__xludf.DUMMYFUNCTION("""COMPUTED_VALUE"""),"IMPRESSORA MULTIFUNCIONAL JATO DE TINTA - PÁGINAS A4")</f>
        <v>IMPRESSORA MULTIFUNCIONAL JATO DE TINTA - PÁGINAS A4</v>
      </c>
      <c r="J335" s="11" t="str">
        <f>IFERROR(__xludf.DUMMYFUNCTION("""COMPUTED_VALUE"""),"SWITCH 16 PORTAS")</f>
        <v>SWITCH 16 PORTAS</v>
      </c>
      <c r="K335" s="11" t="str">
        <f>IFERROR(__xludf.DUMMYFUNCTION("""COMPUTED_VALUE"""),"No break 700 VA.")</f>
        <v>No break 700 VA.</v>
      </c>
    </row>
    <row r="336">
      <c r="A336" s="11" t="str">
        <f>IFERROR(__xludf.DUMMYFUNCTION("TRANSPOSE(FILTER(ITENS!$D:$D, ITENS!$A:$A = SERVICOS!$A337))"),"NOTEBOOK TIPO I")</f>
        <v>NOTEBOOK TIPO I</v>
      </c>
      <c r="B336" s="11" t="str">
        <f>IFERROR(__xludf.DUMMYFUNCTION("""COMPUTED_VALUE"""),"NOTEBOOK TIPO II")</f>
        <v>NOTEBOOK TIPO II</v>
      </c>
      <c r="C336" s="11" t="str">
        <f>IFERROR(__xludf.DUMMYFUNCTION("""COMPUTED_VALUE"""),"NOTEBOOK TIPO III")</f>
        <v>NOTEBOOK TIPO III</v>
      </c>
      <c r="D336" s="11" t="str">
        <f>IFERROR(__xludf.DUMMYFUNCTION("""COMPUTED_VALUE"""),"MICRO TIPO I")</f>
        <v>MICRO TIPO I</v>
      </c>
      <c r="E336" s="11" t="str">
        <f>IFERROR(__xludf.DUMMYFUNCTION("""COMPUTED_VALUE"""),"MICRO TIPO II ")</f>
        <v>MICRO TIPO II </v>
      </c>
      <c r="F336" s="11" t="str">
        <f>IFERROR(__xludf.DUMMYFUNCTION("""COMPUTED_VALUE"""),"MICRO TIPO III")</f>
        <v>MICRO TIPO III</v>
      </c>
      <c r="G336" s="11" t="str">
        <f>IFERROR(__xludf.DUMMYFUNCTION("""COMPUTED_VALUE"""),"IMPRESSORA MULTIFUNCIONAL MONOCROMÁTICO LASER –  PÁGINAS A4 ")</f>
        <v>IMPRESSORA MULTIFUNCIONAL MONOCROMÁTICO LASER –  PÁGINAS A4 </v>
      </c>
      <c r="H336" s="11" t="str">
        <f>IFERROR(__xludf.DUMMYFUNCTION("""COMPUTED_VALUE"""),"IMPRESSORA MONOCROMÁTICO LASER –  PÁGINAS A4 ")</f>
        <v>IMPRESSORA MONOCROMÁTICO LASER –  PÁGINAS A4 </v>
      </c>
      <c r="I336" s="11" t="str">
        <f>IFERROR(__xludf.DUMMYFUNCTION("""COMPUTED_VALUE"""),"IMPRESSORA MULTIFUNCIONAL JATO DE TINTA - PÁGINAS A4")</f>
        <v>IMPRESSORA MULTIFUNCIONAL JATO DE TINTA - PÁGINAS A4</v>
      </c>
      <c r="J336" s="11" t="str">
        <f>IFERROR(__xludf.DUMMYFUNCTION("""COMPUTED_VALUE"""),"SWITCH 16 PORTAS")</f>
        <v>SWITCH 16 PORTAS</v>
      </c>
      <c r="K336" s="11" t="str">
        <f>IFERROR(__xludf.DUMMYFUNCTION("""COMPUTED_VALUE"""),"No break 700 VA.")</f>
        <v>No break 700 VA.</v>
      </c>
    </row>
    <row r="337">
      <c r="A337" s="11" t="str">
        <f>IFERROR(__xludf.DUMMYFUNCTION("TRANSPOSE(FILTER(ITENS!$D:$D, ITENS!$A:$A = SERVICOS!$A338))"),"NOTEBOOK TIPO I")</f>
        <v>NOTEBOOK TIPO I</v>
      </c>
      <c r="B337" s="11" t="str">
        <f>IFERROR(__xludf.DUMMYFUNCTION("""COMPUTED_VALUE"""),"NOTEBOOK TIPO II")</f>
        <v>NOTEBOOK TIPO II</v>
      </c>
      <c r="C337" s="11" t="str">
        <f>IFERROR(__xludf.DUMMYFUNCTION("""COMPUTED_VALUE"""),"NOTEBOOK TIPO III")</f>
        <v>NOTEBOOK TIPO III</v>
      </c>
      <c r="D337" s="11" t="str">
        <f>IFERROR(__xludf.DUMMYFUNCTION("""COMPUTED_VALUE"""),"MICRO TIPO I")</f>
        <v>MICRO TIPO I</v>
      </c>
      <c r="E337" s="11" t="str">
        <f>IFERROR(__xludf.DUMMYFUNCTION("""COMPUTED_VALUE"""),"MICRO TIPO II ")</f>
        <v>MICRO TIPO II </v>
      </c>
      <c r="F337" s="11" t="str">
        <f>IFERROR(__xludf.DUMMYFUNCTION("""COMPUTED_VALUE"""),"MICRO TIPO III")</f>
        <v>MICRO TIPO III</v>
      </c>
      <c r="G337" s="11" t="str">
        <f>IFERROR(__xludf.DUMMYFUNCTION("""COMPUTED_VALUE"""),"IMPRESSORA MULTIFUNCIONAL MONOCROMÁTICO LASER –  PÁGINAS A4 ")</f>
        <v>IMPRESSORA MULTIFUNCIONAL MONOCROMÁTICO LASER –  PÁGINAS A4 </v>
      </c>
      <c r="H337" s="11" t="str">
        <f>IFERROR(__xludf.DUMMYFUNCTION("""COMPUTED_VALUE"""),"IMPRESSORA MONOCROMÁTICO LASER –  PÁGINAS A4 ")</f>
        <v>IMPRESSORA MONOCROMÁTICO LASER –  PÁGINAS A4 </v>
      </c>
      <c r="I337" s="11" t="str">
        <f>IFERROR(__xludf.DUMMYFUNCTION("""COMPUTED_VALUE"""),"IMPRESSORA MULTIFUNCIONAL JATO DE TINTA - PÁGINAS A4")</f>
        <v>IMPRESSORA MULTIFUNCIONAL JATO DE TINTA - PÁGINAS A4</v>
      </c>
      <c r="J337" s="11" t="str">
        <f>IFERROR(__xludf.DUMMYFUNCTION("""COMPUTED_VALUE"""),"SWITCH 16 PORTAS")</f>
        <v>SWITCH 16 PORTAS</v>
      </c>
      <c r="K337" s="11" t="str">
        <f>IFERROR(__xludf.DUMMYFUNCTION("""COMPUTED_VALUE"""),"No break 700 VA.")</f>
        <v>No break 700 VA.</v>
      </c>
    </row>
    <row r="338">
      <c r="A338" s="11" t="str">
        <f>IFERROR(__xludf.DUMMYFUNCTION("TRANSPOSE(FILTER(ITENS!$D:$D, ITENS!$A:$A = SERVICOS!$A339))"),"NOTEBOOK TIPO I")</f>
        <v>NOTEBOOK TIPO I</v>
      </c>
      <c r="B338" s="11" t="str">
        <f>IFERROR(__xludf.DUMMYFUNCTION("""COMPUTED_VALUE"""),"NOTEBOOK TIPO II")</f>
        <v>NOTEBOOK TIPO II</v>
      </c>
      <c r="C338" s="11" t="str">
        <f>IFERROR(__xludf.DUMMYFUNCTION("""COMPUTED_VALUE"""),"NOTEBOOK TIPO III")</f>
        <v>NOTEBOOK TIPO III</v>
      </c>
      <c r="D338" s="11" t="str">
        <f>IFERROR(__xludf.DUMMYFUNCTION("""COMPUTED_VALUE"""),"MICRO TIPO I")</f>
        <v>MICRO TIPO I</v>
      </c>
      <c r="E338" s="11" t="str">
        <f>IFERROR(__xludf.DUMMYFUNCTION("""COMPUTED_VALUE"""),"MICRO TIPO II ")</f>
        <v>MICRO TIPO II </v>
      </c>
      <c r="F338" s="11" t="str">
        <f>IFERROR(__xludf.DUMMYFUNCTION("""COMPUTED_VALUE"""),"MICRO TIPO III")</f>
        <v>MICRO TIPO III</v>
      </c>
      <c r="G338" s="11" t="str">
        <f>IFERROR(__xludf.DUMMYFUNCTION("""COMPUTED_VALUE"""),"IMPRESSORA MULTIFUNCIONAL MONOCROMÁTICO LASER –  PÁGINAS A4 ")</f>
        <v>IMPRESSORA MULTIFUNCIONAL MONOCROMÁTICO LASER –  PÁGINAS A4 </v>
      </c>
      <c r="H338" s="11" t="str">
        <f>IFERROR(__xludf.DUMMYFUNCTION("""COMPUTED_VALUE"""),"IMPRESSORA MONOCROMÁTICO LASER –  PÁGINAS A4 ")</f>
        <v>IMPRESSORA MONOCROMÁTICO LASER –  PÁGINAS A4 </v>
      </c>
      <c r="I338" s="11" t="str">
        <f>IFERROR(__xludf.DUMMYFUNCTION("""COMPUTED_VALUE"""),"IMPRESSORA MULTIFUNCIONAL JATO DE TINTA - PÁGINAS A4")</f>
        <v>IMPRESSORA MULTIFUNCIONAL JATO DE TINTA - PÁGINAS A4</v>
      </c>
      <c r="J338" s="11" t="str">
        <f>IFERROR(__xludf.DUMMYFUNCTION("""COMPUTED_VALUE"""),"SWITCH 16 PORTAS")</f>
        <v>SWITCH 16 PORTAS</v>
      </c>
      <c r="K338" s="11" t="str">
        <f>IFERROR(__xludf.DUMMYFUNCTION("""COMPUTED_VALUE"""),"No break 700 VA.")</f>
        <v>No break 700 VA.</v>
      </c>
    </row>
    <row r="339">
      <c r="A339" s="11" t="str">
        <f>IFERROR(__xludf.DUMMYFUNCTION("TRANSPOSE(FILTER(ITENS!$D:$D, ITENS!$A:$A = SERVICOS!$A340))"),"NOTEBOOK TIPO I")</f>
        <v>NOTEBOOK TIPO I</v>
      </c>
      <c r="B339" s="11" t="str">
        <f>IFERROR(__xludf.DUMMYFUNCTION("""COMPUTED_VALUE"""),"NOTEBOOK TIPO II")</f>
        <v>NOTEBOOK TIPO II</v>
      </c>
      <c r="C339" s="11" t="str">
        <f>IFERROR(__xludf.DUMMYFUNCTION("""COMPUTED_VALUE"""),"NOTEBOOK TIPO III")</f>
        <v>NOTEBOOK TIPO III</v>
      </c>
      <c r="D339" s="11" t="str">
        <f>IFERROR(__xludf.DUMMYFUNCTION("""COMPUTED_VALUE"""),"MICRO TIPO I")</f>
        <v>MICRO TIPO I</v>
      </c>
      <c r="E339" s="11" t="str">
        <f>IFERROR(__xludf.DUMMYFUNCTION("""COMPUTED_VALUE"""),"MICRO TIPO II ")</f>
        <v>MICRO TIPO II </v>
      </c>
      <c r="F339" s="11" t="str">
        <f>IFERROR(__xludf.DUMMYFUNCTION("""COMPUTED_VALUE"""),"MICRO TIPO III")</f>
        <v>MICRO TIPO III</v>
      </c>
      <c r="G339" s="11" t="str">
        <f>IFERROR(__xludf.DUMMYFUNCTION("""COMPUTED_VALUE"""),"IMPRESSORA MULTIFUNCIONAL MONOCROMÁTICO LASER –  PÁGINAS A4 ")</f>
        <v>IMPRESSORA MULTIFUNCIONAL MONOCROMÁTICO LASER –  PÁGINAS A4 </v>
      </c>
      <c r="H339" s="11" t="str">
        <f>IFERROR(__xludf.DUMMYFUNCTION("""COMPUTED_VALUE"""),"IMPRESSORA MONOCROMÁTICO LASER –  PÁGINAS A4 ")</f>
        <v>IMPRESSORA MONOCROMÁTICO LASER –  PÁGINAS A4 </v>
      </c>
      <c r="I339" s="11" t="str">
        <f>IFERROR(__xludf.DUMMYFUNCTION("""COMPUTED_VALUE"""),"IMPRESSORA MULTIFUNCIONAL JATO DE TINTA - PÁGINAS A4")</f>
        <v>IMPRESSORA MULTIFUNCIONAL JATO DE TINTA - PÁGINAS A4</v>
      </c>
      <c r="J339" s="11" t="str">
        <f>IFERROR(__xludf.DUMMYFUNCTION("""COMPUTED_VALUE"""),"SWITCH 16 PORTAS")</f>
        <v>SWITCH 16 PORTAS</v>
      </c>
      <c r="K339" s="11" t="str">
        <f>IFERROR(__xludf.DUMMYFUNCTION("""COMPUTED_VALUE"""),"No break 700 VA.")</f>
        <v>No break 700 VA.</v>
      </c>
    </row>
    <row r="340">
      <c r="A340" s="11" t="str">
        <f>IFERROR(__xludf.DUMMYFUNCTION("TRANSPOSE(FILTER(ITENS!$D:$D, ITENS!$A:$A = SERVICOS!$A341))"),"NOTEBOOK TIPO I")</f>
        <v>NOTEBOOK TIPO I</v>
      </c>
      <c r="B340" s="11" t="str">
        <f>IFERROR(__xludf.DUMMYFUNCTION("""COMPUTED_VALUE"""),"NOTEBOOK TIPO II")</f>
        <v>NOTEBOOK TIPO II</v>
      </c>
      <c r="C340" s="11" t="str">
        <f>IFERROR(__xludf.DUMMYFUNCTION("""COMPUTED_VALUE"""),"NOTEBOOK TIPO III")</f>
        <v>NOTEBOOK TIPO III</v>
      </c>
      <c r="D340" s="11" t="str">
        <f>IFERROR(__xludf.DUMMYFUNCTION("""COMPUTED_VALUE"""),"MICRO TIPO I")</f>
        <v>MICRO TIPO I</v>
      </c>
      <c r="E340" s="11" t="str">
        <f>IFERROR(__xludf.DUMMYFUNCTION("""COMPUTED_VALUE"""),"MICRO TIPO II ")</f>
        <v>MICRO TIPO II </v>
      </c>
      <c r="F340" s="11" t="str">
        <f>IFERROR(__xludf.DUMMYFUNCTION("""COMPUTED_VALUE"""),"MICRO TIPO III")</f>
        <v>MICRO TIPO III</v>
      </c>
      <c r="G340" s="11" t="str">
        <f>IFERROR(__xludf.DUMMYFUNCTION("""COMPUTED_VALUE"""),"IMPRESSORA MULTIFUNCIONAL MONOCROMÁTICO LASER –  PÁGINAS A4 ")</f>
        <v>IMPRESSORA MULTIFUNCIONAL MONOCROMÁTICO LASER –  PÁGINAS A4 </v>
      </c>
      <c r="H340" s="11" t="str">
        <f>IFERROR(__xludf.DUMMYFUNCTION("""COMPUTED_VALUE"""),"IMPRESSORA MONOCROMÁTICO LASER –  PÁGINAS A4 ")</f>
        <v>IMPRESSORA MONOCROMÁTICO LASER –  PÁGINAS A4 </v>
      </c>
      <c r="I340" s="11" t="str">
        <f>IFERROR(__xludf.DUMMYFUNCTION("""COMPUTED_VALUE"""),"IMPRESSORA MULTIFUNCIONAL JATO DE TINTA - PÁGINAS A4")</f>
        <v>IMPRESSORA MULTIFUNCIONAL JATO DE TINTA - PÁGINAS A4</v>
      </c>
      <c r="J340" s="11" t="str">
        <f>IFERROR(__xludf.DUMMYFUNCTION("""COMPUTED_VALUE"""),"SWITCH 16 PORTAS")</f>
        <v>SWITCH 16 PORTAS</v>
      </c>
      <c r="K340" s="11" t="str">
        <f>IFERROR(__xludf.DUMMYFUNCTION("""COMPUTED_VALUE"""),"No break 700 VA.")</f>
        <v>No break 700 VA.</v>
      </c>
    </row>
    <row r="341">
      <c r="A341" s="11" t="str">
        <f>IFERROR(__xludf.DUMMYFUNCTION("TRANSPOSE(FILTER(ITENS!$D:$D, ITENS!$A:$A = SERVICOS!$A342))"),"NOTEBOOK TIPO II")</f>
        <v>NOTEBOOK TIPO II</v>
      </c>
      <c r="B341" s="11" t="str">
        <f>IFERROR(__xludf.DUMMYFUNCTION("""COMPUTED_VALUE"""),"NOTEBOOK TIPO III")</f>
        <v>NOTEBOOK TIPO III</v>
      </c>
      <c r="C341" s="11" t="str">
        <f>IFERROR(__xludf.DUMMYFUNCTION("""COMPUTED_VALUE"""),"MICRO TIPO I")</f>
        <v>MICRO TIPO I</v>
      </c>
      <c r="D341" s="11" t="str">
        <f>IFERROR(__xludf.DUMMYFUNCTION("""COMPUTED_VALUE"""),"MICRO TIPO II ")</f>
        <v>MICRO TIPO II </v>
      </c>
      <c r="E341" s="11" t="str">
        <f>IFERROR(__xludf.DUMMYFUNCTION("""COMPUTED_VALUE"""),"MICRO TIPO III")</f>
        <v>MICRO TIPO III</v>
      </c>
      <c r="F341" s="11" t="str">
        <f>IFERROR(__xludf.DUMMYFUNCTION("""COMPUTED_VALUE"""),"IMPRESSORA MULTIFUNCIONAL MONOCROMÁTICO LASER –  PÁGINAS A4 ")</f>
        <v>IMPRESSORA MULTIFUNCIONAL MONOCROMÁTICO LASER –  PÁGINAS A4 </v>
      </c>
      <c r="G341" s="11" t="str">
        <f>IFERROR(__xludf.DUMMYFUNCTION("""COMPUTED_VALUE"""),"IMPRESSORA MONOCROMÁTICO LASER –  PÁGINAS A4 ")</f>
        <v>IMPRESSORA MONOCROMÁTICO LASER –  PÁGINAS A4 </v>
      </c>
      <c r="H341" s="11" t="str">
        <f>IFERROR(__xludf.DUMMYFUNCTION("""COMPUTED_VALUE"""),"IMPRESSORA MULTIFUNCIONAL JATO DE TINTA - PÁGINAS A4")</f>
        <v>IMPRESSORA MULTIFUNCIONAL JATO DE TINTA - PÁGINAS A4</v>
      </c>
      <c r="I341" s="11" t="str">
        <f>IFERROR(__xludf.DUMMYFUNCTION("""COMPUTED_VALUE"""),"SWITCH 16 PORTAS")</f>
        <v>SWITCH 16 PORTAS</v>
      </c>
      <c r="J341" s="11" t="str">
        <f>IFERROR(__xludf.DUMMYFUNCTION("""COMPUTED_VALUE"""),"No break 700 VA.")</f>
        <v>No break 700 VA.</v>
      </c>
      <c r="K341" s="11" t="str">
        <f>IFERROR(__xludf.DUMMYFUNCTION("""COMPUTED_VALUE"""),"ACESS POINT")</f>
        <v>ACESS POINT</v>
      </c>
    </row>
    <row r="342">
      <c r="A342" s="11" t="str">
        <f>IFERROR(__xludf.DUMMYFUNCTION("TRANSPOSE(FILTER(ITENS!$D:$D, ITENS!$A:$A = SERVICOS!$A343))"),"NOTEBOOK TIPO II")</f>
        <v>NOTEBOOK TIPO II</v>
      </c>
      <c r="B342" s="11" t="str">
        <f>IFERROR(__xludf.DUMMYFUNCTION("""COMPUTED_VALUE"""),"NOTEBOOK TIPO III")</f>
        <v>NOTEBOOK TIPO III</v>
      </c>
      <c r="C342" s="11" t="str">
        <f>IFERROR(__xludf.DUMMYFUNCTION("""COMPUTED_VALUE"""),"MICRO TIPO I")</f>
        <v>MICRO TIPO I</v>
      </c>
      <c r="D342" s="11" t="str">
        <f>IFERROR(__xludf.DUMMYFUNCTION("""COMPUTED_VALUE"""),"MICRO TIPO II ")</f>
        <v>MICRO TIPO II </v>
      </c>
      <c r="E342" s="11" t="str">
        <f>IFERROR(__xludf.DUMMYFUNCTION("""COMPUTED_VALUE"""),"MICRO TIPO III")</f>
        <v>MICRO TIPO III</v>
      </c>
      <c r="F342" s="11" t="str">
        <f>IFERROR(__xludf.DUMMYFUNCTION("""COMPUTED_VALUE"""),"IMPRESSORA MULTIFUNCIONAL MONOCROMÁTICO LASER –  PÁGINAS A4 ")</f>
        <v>IMPRESSORA MULTIFUNCIONAL MONOCROMÁTICO LASER –  PÁGINAS A4 </v>
      </c>
      <c r="G342" s="11" t="str">
        <f>IFERROR(__xludf.DUMMYFUNCTION("""COMPUTED_VALUE"""),"IMPRESSORA MONOCROMÁTICO LASER –  PÁGINAS A4 ")</f>
        <v>IMPRESSORA MONOCROMÁTICO LASER –  PÁGINAS A4 </v>
      </c>
      <c r="H342" s="11" t="str">
        <f>IFERROR(__xludf.DUMMYFUNCTION("""COMPUTED_VALUE"""),"IMPRESSORA MULTIFUNCIONAL JATO DE TINTA - PÁGINAS A4")</f>
        <v>IMPRESSORA MULTIFUNCIONAL JATO DE TINTA - PÁGINAS A4</v>
      </c>
      <c r="I342" s="11" t="str">
        <f>IFERROR(__xludf.DUMMYFUNCTION("""COMPUTED_VALUE"""),"SWITCH 16 PORTAS")</f>
        <v>SWITCH 16 PORTAS</v>
      </c>
      <c r="J342" s="11" t="str">
        <f>IFERROR(__xludf.DUMMYFUNCTION("""COMPUTED_VALUE"""),"No break 700 VA.")</f>
        <v>No break 700 VA.</v>
      </c>
      <c r="K342" s="11" t="str">
        <f>IFERROR(__xludf.DUMMYFUNCTION("""COMPUTED_VALUE"""),"ACESS POINT")</f>
        <v>ACESS POINT</v>
      </c>
    </row>
    <row r="343">
      <c r="A343" s="11" t="str">
        <f>IFERROR(__xludf.DUMMYFUNCTION("TRANSPOSE(FILTER(ITENS!$D:$D, ITENS!$A:$A = SERVICOS!$A344))"),"NOTEBOOK TIPO II")</f>
        <v>NOTEBOOK TIPO II</v>
      </c>
      <c r="B343" s="11" t="str">
        <f>IFERROR(__xludf.DUMMYFUNCTION("""COMPUTED_VALUE"""),"NOTEBOOK TIPO III")</f>
        <v>NOTEBOOK TIPO III</v>
      </c>
      <c r="C343" s="11" t="str">
        <f>IFERROR(__xludf.DUMMYFUNCTION("""COMPUTED_VALUE"""),"MICRO TIPO I")</f>
        <v>MICRO TIPO I</v>
      </c>
      <c r="D343" s="11" t="str">
        <f>IFERROR(__xludf.DUMMYFUNCTION("""COMPUTED_VALUE"""),"MICRO TIPO II ")</f>
        <v>MICRO TIPO II </v>
      </c>
      <c r="E343" s="11" t="str">
        <f>IFERROR(__xludf.DUMMYFUNCTION("""COMPUTED_VALUE"""),"MICRO TIPO III")</f>
        <v>MICRO TIPO III</v>
      </c>
      <c r="F343" s="11" t="str">
        <f>IFERROR(__xludf.DUMMYFUNCTION("""COMPUTED_VALUE"""),"IMPRESSORA MULTIFUNCIONAL MONOCROMÁTICO LASER –  PÁGINAS A4 ")</f>
        <v>IMPRESSORA MULTIFUNCIONAL MONOCROMÁTICO LASER –  PÁGINAS A4 </v>
      </c>
      <c r="G343" s="11" t="str">
        <f>IFERROR(__xludf.DUMMYFUNCTION("""COMPUTED_VALUE"""),"IMPRESSORA MONOCROMÁTICO LASER –  PÁGINAS A4 ")</f>
        <v>IMPRESSORA MONOCROMÁTICO LASER –  PÁGINAS A4 </v>
      </c>
      <c r="H343" s="11" t="str">
        <f>IFERROR(__xludf.DUMMYFUNCTION("""COMPUTED_VALUE"""),"IMPRESSORA MULTIFUNCIONAL JATO DE TINTA - PÁGINAS A4")</f>
        <v>IMPRESSORA MULTIFUNCIONAL JATO DE TINTA - PÁGINAS A4</v>
      </c>
      <c r="I343" s="11" t="str">
        <f>IFERROR(__xludf.DUMMYFUNCTION("""COMPUTED_VALUE"""),"SWITCH 16 PORTAS")</f>
        <v>SWITCH 16 PORTAS</v>
      </c>
      <c r="J343" s="11" t="str">
        <f>IFERROR(__xludf.DUMMYFUNCTION("""COMPUTED_VALUE"""),"No break 700 VA.")</f>
        <v>No break 700 VA.</v>
      </c>
      <c r="K343" s="11" t="str">
        <f>IFERROR(__xludf.DUMMYFUNCTION("""COMPUTED_VALUE"""),"ACESS POINT")</f>
        <v>ACESS POINT</v>
      </c>
    </row>
    <row r="344">
      <c r="A344" s="11" t="str">
        <f>IFERROR(__xludf.DUMMYFUNCTION("TRANSPOSE(FILTER(ITENS!$D:$D, ITENS!$A:$A = SERVICOS!$A345))"),"NOTEBOOK TIPO II")</f>
        <v>NOTEBOOK TIPO II</v>
      </c>
      <c r="B344" s="11" t="str">
        <f>IFERROR(__xludf.DUMMYFUNCTION("""COMPUTED_VALUE"""),"NOTEBOOK TIPO III")</f>
        <v>NOTEBOOK TIPO III</v>
      </c>
      <c r="C344" s="11" t="str">
        <f>IFERROR(__xludf.DUMMYFUNCTION("""COMPUTED_VALUE"""),"MICRO TIPO I")</f>
        <v>MICRO TIPO I</v>
      </c>
      <c r="D344" s="11" t="str">
        <f>IFERROR(__xludf.DUMMYFUNCTION("""COMPUTED_VALUE"""),"MICRO TIPO II ")</f>
        <v>MICRO TIPO II </v>
      </c>
      <c r="E344" s="11" t="str">
        <f>IFERROR(__xludf.DUMMYFUNCTION("""COMPUTED_VALUE"""),"MICRO TIPO III")</f>
        <v>MICRO TIPO III</v>
      </c>
      <c r="F344" s="11" t="str">
        <f>IFERROR(__xludf.DUMMYFUNCTION("""COMPUTED_VALUE"""),"IMPRESSORA MULTIFUNCIONAL MONOCROMÁTICO LASER –  PÁGINAS A4 ")</f>
        <v>IMPRESSORA MULTIFUNCIONAL MONOCROMÁTICO LASER –  PÁGINAS A4 </v>
      </c>
      <c r="G344" s="11" t="str">
        <f>IFERROR(__xludf.DUMMYFUNCTION("""COMPUTED_VALUE"""),"IMPRESSORA MONOCROMÁTICO LASER –  PÁGINAS A4 ")</f>
        <v>IMPRESSORA MONOCROMÁTICO LASER –  PÁGINAS A4 </v>
      </c>
      <c r="H344" s="11" t="str">
        <f>IFERROR(__xludf.DUMMYFUNCTION("""COMPUTED_VALUE"""),"IMPRESSORA MULTIFUNCIONAL JATO DE TINTA - PÁGINAS A4")</f>
        <v>IMPRESSORA MULTIFUNCIONAL JATO DE TINTA - PÁGINAS A4</v>
      </c>
      <c r="I344" s="11" t="str">
        <f>IFERROR(__xludf.DUMMYFUNCTION("""COMPUTED_VALUE"""),"SWITCH 16 PORTAS")</f>
        <v>SWITCH 16 PORTAS</v>
      </c>
      <c r="J344" s="11" t="str">
        <f>IFERROR(__xludf.DUMMYFUNCTION("""COMPUTED_VALUE"""),"No break 700 VA.")</f>
        <v>No break 700 VA.</v>
      </c>
      <c r="K344" s="11" t="str">
        <f>IFERROR(__xludf.DUMMYFUNCTION("""COMPUTED_VALUE"""),"ACESS POINT")</f>
        <v>ACESS POINT</v>
      </c>
    </row>
    <row r="345">
      <c r="A345" s="11" t="str">
        <f>IFERROR(__xludf.DUMMYFUNCTION("TRANSPOSE(FILTER(ITENS!$D:$D, ITENS!$A:$A = SERVICOS!$A346))"),"NOTEBOOK TIPO II")</f>
        <v>NOTEBOOK TIPO II</v>
      </c>
      <c r="B345" s="11" t="str">
        <f>IFERROR(__xludf.DUMMYFUNCTION("""COMPUTED_VALUE"""),"NOTEBOOK TIPO III")</f>
        <v>NOTEBOOK TIPO III</v>
      </c>
      <c r="C345" s="11" t="str">
        <f>IFERROR(__xludf.DUMMYFUNCTION("""COMPUTED_VALUE"""),"MICRO TIPO I")</f>
        <v>MICRO TIPO I</v>
      </c>
      <c r="D345" s="11" t="str">
        <f>IFERROR(__xludf.DUMMYFUNCTION("""COMPUTED_VALUE"""),"MICRO TIPO II ")</f>
        <v>MICRO TIPO II </v>
      </c>
      <c r="E345" s="11" t="str">
        <f>IFERROR(__xludf.DUMMYFUNCTION("""COMPUTED_VALUE"""),"MICRO TIPO III")</f>
        <v>MICRO TIPO III</v>
      </c>
      <c r="F345" s="11" t="str">
        <f>IFERROR(__xludf.DUMMYFUNCTION("""COMPUTED_VALUE"""),"IMPRESSORA MULTIFUNCIONAL MONOCROMÁTICO LASER –  PÁGINAS A4 ")</f>
        <v>IMPRESSORA MULTIFUNCIONAL MONOCROMÁTICO LASER –  PÁGINAS A4 </v>
      </c>
      <c r="G345" s="11" t="str">
        <f>IFERROR(__xludf.DUMMYFUNCTION("""COMPUTED_VALUE"""),"IMPRESSORA MONOCROMÁTICO LASER –  PÁGINAS A4 ")</f>
        <v>IMPRESSORA MONOCROMÁTICO LASER –  PÁGINAS A4 </v>
      </c>
      <c r="H345" s="11" t="str">
        <f>IFERROR(__xludf.DUMMYFUNCTION("""COMPUTED_VALUE"""),"IMPRESSORA MULTIFUNCIONAL JATO DE TINTA - PÁGINAS A4")</f>
        <v>IMPRESSORA MULTIFUNCIONAL JATO DE TINTA - PÁGINAS A4</v>
      </c>
      <c r="I345" s="11" t="str">
        <f>IFERROR(__xludf.DUMMYFUNCTION("""COMPUTED_VALUE"""),"SWITCH 16 PORTAS")</f>
        <v>SWITCH 16 PORTAS</v>
      </c>
      <c r="J345" s="11" t="str">
        <f>IFERROR(__xludf.DUMMYFUNCTION("""COMPUTED_VALUE"""),"No break 700 VA.")</f>
        <v>No break 700 VA.</v>
      </c>
      <c r="K345" s="11" t="str">
        <f>IFERROR(__xludf.DUMMYFUNCTION("""COMPUTED_VALUE"""),"ACESS POINT")</f>
        <v>ACESS POINT</v>
      </c>
    </row>
    <row r="346">
      <c r="A346" s="11" t="str">
        <f>IFERROR(__xludf.DUMMYFUNCTION("TRANSPOSE(FILTER(ITENS!$D:$D, ITENS!$A:$A = SERVICOS!$A347))"),"NOTEBOOK TIPO II")</f>
        <v>NOTEBOOK TIPO II</v>
      </c>
      <c r="B346" s="11" t="str">
        <f>IFERROR(__xludf.DUMMYFUNCTION("""COMPUTED_VALUE"""),"NOTEBOOK TIPO III")</f>
        <v>NOTEBOOK TIPO III</v>
      </c>
      <c r="C346" s="11" t="str">
        <f>IFERROR(__xludf.DUMMYFUNCTION("""COMPUTED_VALUE"""),"MICRO TIPO I")</f>
        <v>MICRO TIPO I</v>
      </c>
      <c r="D346" s="11" t="str">
        <f>IFERROR(__xludf.DUMMYFUNCTION("""COMPUTED_VALUE"""),"MICRO TIPO II ")</f>
        <v>MICRO TIPO II </v>
      </c>
      <c r="E346" s="11" t="str">
        <f>IFERROR(__xludf.DUMMYFUNCTION("""COMPUTED_VALUE"""),"MICRO TIPO III")</f>
        <v>MICRO TIPO III</v>
      </c>
      <c r="F346" s="11" t="str">
        <f>IFERROR(__xludf.DUMMYFUNCTION("""COMPUTED_VALUE"""),"IMPRESSORA MULTIFUNCIONAL MONOCROMÁTICO LASER –  PÁGINAS A4 ")</f>
        <v>IMPRESSORA MULTIFUNCIONAL MONOCROMÁTICO LASER –  PÁGINAS A4 </v>
      </c>
      <c r="G346" s="11" t="str">
        <f>IFERROR(__xludf.DUMMYFUNCTION("""COMPUTED_VALUE"""),"IMPRESSORA MONOCROMÁTICO LASER –  PÁGINAS A4 ")</f>
        <v>IMPRESSORA MONOCROMÁTICO LASER –  PÁGINAS A4 </v>
      </c>
      <c r="H346" s="11" t="str">
        <f>IFERROR(__xludf.DUMMYFUNCTION("""COMPUTED_VALUE"""),"IMPRESSORA MULTIFUNCIONAL JATO DE TINTA - PÁGINAS A4")</f>
        <v>IMPRESSORA MULTIFUNCIONAL JATO DE TINTA - PÁGINAS A4</v>
      </c>
      <c r="I346" s="11" t="str">
        <f>IFERROR(__xludf.DUMMYFUNCTION("""COMPUTED_VALUE"""),"SWITCH 16 PORTAS")</f>
        <v>SWITCH 16 PORTAS</v>
      </c>
      <c r="J346" s="11" t="str">
        <f>IFERROR(__xludf.DUMMYFUNCTION("""COMPUTED_VALUE"""),"No break 700 VA.")</f>
        <v>No break 700 VA.</v>
      </c>
      <c r="K346" s="11" t="str">
        <f>IFERROR(__xludf.DUMMYFUNCTION("""COMPUTED_VALUE"""),"ACESS POINT")</f>
        <v>ACESS POINT</v>
      </c>
    </row>
    <row r="347">
      <c r="A347" s="11" t="str">
        <f>IFERROR(__xludf.DUMMYFUNCTION("TRANSPOSE(FILTER(ITENS!$D:$D, ITENS!$A:$A = SERVICOS!$A348))"),"NOTEBOOK TIPO II")</f>
        <v>NOTEBOOK TIPO II</v>
      </c>
      <c r="B347" s="11" t="str">
        <f>IFERROR(__xludf.DUMMYFUNCTION("""COMPUTED_VALUE"""),"NOTEBOOK TIPO III")</f>
        <v>NOTEBOOK TIPO III</v>
      </c>
      <c r="C347" s="11" t="str">
        <f>IFERROR(__xludf.DUMMYFUNCTION("""COMPUTED_VALUE"""),"MICRO TIPO I")</f>
        <v>MICRO TIPO I</v>
      </c>
      <c r="D347" s="11" t="str">
        <f>IFERROR(__xludf.DUMMYFUNCTION("""COMPUTED_VALUE"""),"MICRO TIPO II ")</f>
        <v>MICRO TIPO II </v>
      </c>
      <c r="E347" s="11" t="str">
        <f>IFERROR(__xludf.DUMMYFUNCTION("""COMPUTED_VALUE"""),"MICRO TIPO III")</f>
        <v>MICRO TIPO III</v>
      </c>
      <c r="F347" s="11" t="str">
        <f>IFERROR(__xludf.DUMMYFUNCTION("""COMPUTED_VALUE"""),"IMPRESSORA MULTIFUNCIONAL MONOCROMÁTICO LASER –  PÁGINAS A4 ")</f>
        <v>IMPRESSORA MULTIFUNCIONAL MONOCROMÁTICO LASER –  PÁGINAS A4 </v>
      </c>
      <c r="G347" s="11" t="str">
        <f>IFERROR(__xludf.DUMMYFUNCTION("""COMPUTED_VALUE"""),"IMPRESSORA MONOCROMÁTICO LASER –  PÁGINAS A4 ")</f>
        <v>IMPRESSORA MONOCROMÁTICO LASER –  PÁGINAS A4 </v>
      </c>
      <c r="H347" s="11" t="str">
        <f>IFERROR(__xludf.DUMMYFUNCTION("""COMPUTED_VALUE"""),"IMPRESSORA MULTIFUNCIONAL JATO DE TINTA - PÁGINAS A4")</f>
        <v>IMPRESSORA MULTIFUNCIONAL JATO DE TINTA - PÁGINAS A4</v>
      </c>
      <c r="I347" s="11" t="str">
        <f>IFERROR(__xludf.DUMMYFUNCTION("""COMPUTED_VALUE"""),"SWITCH 16 PORTAS")</f>
        <v>SWITCH 16 PORTAS</v>
      </c>
      <c r="J347" s="11" t="str">
        <f>IFERROR(__xludf.DUMMYFUNCTION("""COMPUTED_VALUE"""),"No break 700 VA.")</f>
        <v>No break 700 VA.</v>
      </c>
      <c r="K347" s="11" t="str">
        <f>IFERROR(__xludf.DUMMYFUNCTION("""COMPUTED_VALUE"""),"ACESS POINT")</f>
        <v>ACESS POINT</v>
      </c>
    </row>
    <row r="348">
      <c r="A348" s="11" t="str">
        <f>IFERROR(__xludf.DUMMYFUNCTION("TRANSPOSE(FILTER(ITENS!$D:$D, ITENS!$A:$A = SERVICOS!$A349))"),"NOTEBOOK TIPO II")</f>
        <v>NOTEBOOK TIPO II</v>
      </c>
      <c r="B348" s="11" t="str">
        <f>IFERROR(__xludf.DUMMYFUNCTION("""COMPUTED_VALUE"""),"NOTEBOOK TIPO III")</f>
        <v>NOTEBOOK TIPO III</v>
      </c>
      <c r="C348" s="11" t="str">
        <f>IFERROR(__xludf.DUMMYFUNCTION("""COMPUTED_VALUE"""),"MICRO TIPO I")</f>
        <v>MICRO TIPO I</v>
      </c>
      <c r="D348" s="11" t="str">
        <f>IFERROR(__xludf.DUMMYFUNCTION("""COMPUTED_VALUE"""),"MICRO TIPO II ")</f>
        <v>MICRO TIPO II </v>
      </c>
      <c r="E348" s="11" t="str">
        <f>IFERROR(__xludf.DUMMYFUNCTION("""COMPUTED_VALUE"""),"MICRO TIPO III")</f>
        <v>MICRO TIPO III</v>
      </c>
      <c r="F348" s="11" t="str">
        <f>IFERROR(__xludf.DUMMYFUNCTION("""COMPUTED_VALUE"""),"IMPRESSORA MULTIFUNCIONAL MONOCROMÁTICO LASER –  PÁGINAS A4 ")</f>
        <v>IMPRESSORA MULTIFUNCIONAL MONOCROMÁTICO LASER –  PÁGINAS A4 </v>
      </c>
      <c r="G348" s="11" t="str">
        <f>IFERROR(__xludf.DUMMYFUNCTION("""COMPUTED_VALUE"""),"IMPRESSORA MONOCROMÁTICO LASER –  PÁGINAS A4 ")</f>
        <v>IMPRESSORA MONOCROMÁTICO LASER –  PÁGINAS A4 </v>
      </c>
      <c r="H348" s="11" t="str">
        <f>IFERROR(__xludf.DUMMYFUNCTION("""COMPUTED_VALUE"""),"IMPRESSORA MULTIFUNCIONAL JATO DE TINTA - PÁGINAS A4")</f>
        <v>IMPRESSORA MULTIFUNCIONAL JATO DE TINTA - PÁGINAS A4</v>
      </c>
      <c r="I348" s="11" t="str">
        <f>IFERROR(__xludf.DUMMYFUNCTION("""COMPUTED_VALUE"""),"SWITCH 16 PORTAS")</f>
        <v>SWITCH 16 PORTAS</v>
      </c>
      <c r="J348" s="11" t="str">
        <f>IFERROR(__xludf.DUMMYFUNCTION("""COMPUTED_VALUE"""),"No break 700 VA.")</f>
        <v>No break 700 VA.</v>
      </c>
      <c r="K348" s="11" t="str">
        <f>IFERROR(__xludf.DUMMYFUNCTION("""COMPUTED_VALUE"""),"ACESS POINT")</f>
        <v>ACESS POINT</v>
      </c>
    </row>
    <row r="349">
      <c r="A349" s="11" t="str">
        <f>IFERROR(__xludf.DUMMYFUNCTION("TRANSPOSE(FILTER(ITENS!$D:$D, ITENS!$A:$A = SERVICOS!$A350))"),"NOTEBOOK TIPO II")</f>
        <v>NOTEBOOK TIPO II</v>
      </c>
      <c r="B349" s="11" t="str">
        <f>IFERROR(__xludf.DUMMYFUNCTION("""COMPUTED_VALUE"""),"NOTEBOOK TIPO III")</f>
        <v>NOTEBOOK TIPO III</v>
      </c>
      <c r="C349" s="11" t="str">
        <f>IFERROR(__xludf.DUMMYFUNCTION("""COMPUTED_VALUE"""),"MICRO TIPO I")</f>
        <v>MICRO TIPO I</v>
      </c>
      <c r="D349" s="11" t="str">
        <f>IFERROR(__xludf.DUMMYFUNCTION("""COMPUTED_VALUE"""),"MICRO TIPO II ")</f>
        <v>MICRO TIPO II </v>
      </c>
      <c r="E349" s="11" t="str">
        <f>IFERROR(__xludf.DUMMYFUNCTION("""COMPUTED_VALUE"""),"MICRO TIPO III")</f>
        <v>MICRO TIPO III</v>
      </c>
      <c r="F349" s="11" t="str">
        <f>IFERROR(__xludf.DUMMYFUNCTION("""COMPUTED_VALUE"""),"IMPRESSORA MULTIFUNCIONAL MONOCROMÁTICO LASER –  PÁGINAS A4 ")</f>
        <v>IMPRESSORA MULTIFUNCIONAL MONOCROMÁTICO LASER –  PÁGINAS A4 </v>
      </c>
      <c r="G349" s="11" t="str">
        <f>IFERROR(__xludf.DUMMYFUNCTION("""COMPUTED_VALUE"""),"IMPRESSORA MONOCROMÁTICO LASER –  PÁGINAS A4 ")</f>
        <v>IMPRESSORA MONOCROMÁTICO LASER –  PÁGINAS A4 </v>
      </c>
      <c r="H349" s="11" t="str">
        <f>IFERROR(__xludf.DUMMYFUNCTION("""COMPUTED_VALUE"""),"IMPRESSORA MULTIFUNCIONAL JATO DE TINTA - PÁGINAS A4")</f>
        <v>IMPRESSORA MULTIFUNCIONAL JATO DE TINTA - PÁGINAS A4</v>
      </c>
      <c r="I349" s="11" t="str">
        <f>IFERROR(__xludf.DUMMYFUNCTION("""COMPUTED_VALUE"""),"SWITCH 16 PORTAS")</f>
        <v>SWITCH 16 PORTAS</v>
      </c>
      <c r="J349" s="11" t="str">
        <f>IFERROR(__xludf.DUMMYFUNCTION("""COMPUTED_VALUE"""),"No break 700 VA.")</f>
        <v>No break 700 VA.</v>
      </c>
      <c r="K349" s="11" t="str">
        <f>IFERROR(__xludf.DUMMYFUNCTION("""COMPUTED_VALUE"""),"ACESS POINT")</f>
        <v>ACESS POINT</v>
      </c>
    </row>
    <row r="350">
      <c r="A350" s="11" t="str">
        <f>IFERROR(__xludf.DUMMYFUNCTION("TRANSPOSE(FILTER(ITENS!$D:$D, ITENS!$A:$A = SERVICOS!$A351))"),"NOTEBOOK TIPO II")</f>
        <v>NOTEBOOK TIPO II</v>
      </c>
      <c r="B350" s="11" t="str">
        <f>IFERROR(__xludf.DUMMYFUNCTION("""COMPUTED_VALUE"""),"NOTEBOOK TIPO III")</f>
        <v>NOTEBOOK TIPO III</v>
      </c>
      <c r="C350" s="11" t="str">
        <f>IFERROR(__xludf.DUMMYFUNCTION("""COMPUTED_VALUE"""),"MICRO TIPO I")</f>
        <v>MICRO TIPO I</v>
      </c>
      <c r="D350" s="11" t="str">
        <f>IFERROR(__xludf.DUMMYFUNCTION("""COMPUTED_VALUE"""),"MICRO TIPO II ")</f>
        <v>MICRO TIPO II </v>
      </c>
      <c r="E350" s="11" t="str">
        <f>IFERROR(__xludf.DUMMYFUNCTION("""COMPUTED_VALUE"""),"MICRO TIPO III")</f>
        <v>MICRO TIPO III</v>
      </c>
      <c r="F350" s="11" t="str">
        <f>IFERROR(__xludf.DUMMYFUNCTION("""COMPUTED_VALUE"""),"IMPRESSORA MULTIFUNCIONAL MONOCROMÁTICO LASER –  PÁGINAS A4 ")</f>
        <v>IMPRESSORA MULTIFUNCIONAL MONOCROMÁTICO LASER –  PÁGINAS A4 </v>
      </c>
      <c r="G350" s="11" t="str">
        <f>IFERROR(__xludf.DUMMYFUNCTION("""COMPUTED_VALUE"""),"IMPRESSORA MONOCROMÁTICO LASER –  PÁGINAS A4 ")</f>
        <v>IMPRESSORA MONOCROMÁTICO LASER –  PÁGINAS A4 </v>
      </c>
      <c r="H350" s="11" t="str">
        <f>IFERROR(__xludf.DUMMYFUNCTION("""COMPUTED_VALUE"""),"IMPRESSORA MULTIFUNCIONAL JATO DE TINTA - PÁGINAS A4")</f>
        <v>IMPRESSORA MULTIFUNCIONAL JATO DE TINTA - PÁGINAS A4</v>
      </c>
      <c r="I350" s="11" t="str">
        <f>IFERROR(__xludf.DUMMYFUNCTION("""COMPUTED_VALUE"""),"SWITCH 16 PORTAS")</f>
        <v>SWITCH 16 PORTAS</v>
      </c>
      <c r="J350" s="11" t="str">
        <f>IFERROR(__xludf.DUMMYFUNCTION("""COMPUTED_VALUE"""),"No break 700 VA.")</f>
        <v>No break 700 VA.</v>
      </c>
      <c r="K350" s="11" t="str">
        <f>IFERROR(__xludf.DUMMYFUNCTION("""COMPUTED_VALUE"""),"ACESS POINT")</f>
        <v>ACESS POINT</v>
      </c>
    </row>
    <row r="351">
      <c r="A351" s="11" t="str">
        <f>IFERROR(__xludf.DUMMYFUNCTION("TRANSPOSE(FILTER(ITENS!$D:$D, ITENS!$A:$A = SERVICOS!$A352))"),"NOTEBOOK TIPO II")</f>
        <v>NOTEBOOK TIPO II</v>
      </c>
      <c r="B351" s="11" t="str">
        <f>IFERROR(__xludf.DUMMYFUNCTION("""COMPUTED_VALUE"""),"NOTEBOOK TIPO III")</f>
        <v>NOTEBOOK TIPO III</v>
      </c>
      <c r="C351" s="11" t="str">
        <f>IFERROR(__xludf.DUMMYFUNCTION("""COMPUTED_VALUE"""),"MICRO TIPO I")</f>
        <v>MICRO TIPO I</v>
      </c>
      <c r="D351" s="11" t="str">
        <f>IFERROR(__xludf.DUMMYFUNCTION("""COMPUTED_VALUE"""),"MICRO TIPO II ")</f>
        <v>MICRO TIPO II </v>
      </c>
      <c r="E351" s="11" t="str">
        <f>IFERROR(__xludf.DUMMYFUNCTION("""COMPUTED_VALUE"""),"MICRO TIPO III")</f>
        <v>MICRO TIPO III</v>
      </c>
      <c r="F351" s="11" t="str">
        <f>IFERROR(__xludf.DUMMYFUNCTION("""COMPUTED_VALUE"""),"IMPRESSORA MULTIFUNCIONAL MONOCROMÁTICO LASER –  PÁGINAS A4 ")</f>
        <v>IMPRESSORA MULTIFUNCIONAL MONOCROMÁTICO LASER –  PÁGINAS A4 </v>
      </c>
      <c r="G351" s="11" t="str">
        <f>IFERROR(__xludf.DUMMYFUNCTION("""COMPUTED_VALUE"""),"IMPRESSORA MONOCROMÁTICO LASER –  PÁGINAS A4 ")</f>
        <v>IMPRESSORA MONOCROMÁTICO LASER –  PÁGINAS A4 </v>
      </c>
      <c r="H351" s="11" t="str">
        <f>IFERROR(__xludf.DUMMYFUNCTION("""COMPUTED_VALUE"""),"IMPRESSORA MULTIFUNCIONAL JATO DE TINTA - PÁGINAS A4")</f>
        <v>IMPRESSORA MULTIFUNCIONAL JATO DE TINTA - PÁGINAS A4</v>
      </c>
      <c r="I351" s="11" t="str">
        <f>IFERROR(__xludf.DUMMYFUNCTION("""COMPUTED_VALUE"""),"SWITCH 16 PORTAS")</f>
        <v>SWITCH 16 PORTAS</v>
      </c>
      <c r="J351" s="11" t="str">
        <f>IFERROR(__xludf.DUMMYFUNCTION("""COMPUTED_VALUE"""),"No break 700 VA.")</f>
        <v>No break 700 VA.</v>
      </c>
      <c r="K351" s="11" t="str">
        <f>IFERROR(__xludf.DUMMYFUNCTION("""COMPUTED_VALUE"""),"ACESS POINT")</f>
        <v>ACESS POINT</v>
      </c>
    </row>
    <row r="352">
      <c r="A352" s="11" t="str">
        <f>IFERROR(__xludf.DUMMYFUNCTION("TRANSPOSE(FILTER(ITENS!$D:$D, ITENS!$A:$A = SERVICOS!$A353))"),"NOTEBOOK TIPO II")</f>
        <v>NOTEBOOK TIPO II</v>
      </c>
      <c r="B352" s="11" t="str">
        <f>IFERROR(__xludf.DUMMYFUNCTION("""COMPUTED_VALUE"""),"NOTEBOOK TIPO III")</f>
        <v>NOTEBOOK TIPO III</v>
      </c>
      <c r="C352" s="11" t="str">
        <f>IFERROR(__xludf.DUMMYFUNCTION("""COMPUTED_VALUE"""),"MICRO TIPO I")</f>
        <v>MICRO TIPO I</v>
      </c>
      <c r="D352" s="11" t="str">
        <f>IFERROR(__xludf.DUMMYFUNCTION("""COMPUTED_VALUE"""),"MICRO TIPO II ")</f>
        <v>MICRO TIPO II </v>
      </c>
      <c r="E352" s="11" t="str">
        <f>IFERROR(__xludf.DUMMYFUNCTION("""COMPUTED_VALUE"""),"MICRO TIPO III")</f>
        <v>MICRO TIPO III</v>
      </c>
      <c r="F352" s="11" t="str">
        <f>IFERROR(__xludf.DUMMYFUNCTION("""COMPUTED_VALUE"""),"IMPRESSORA MULTIFUNCIONAL MONOCROMÁTICO LASER –  PÁGINAS A4 ")</f>
        <v>IMPRESSORA MULTIFUNCIONAL MONOCROMÁTICO LASER –  PÁGINAS A4 </v>
      </c>
      <c r="G352" s="11" t="str">
        <f>IFERROR(__xludf.DUMMYFUNCTION("""COMPUTED_VALUE"""),"IMPRESSORA MONOCROMÁTICO LASER –  PÁGINAS A4 ")</f>
        <v>IMPRESSORA MONOCROMÁTICO LASER –  PÁGINAS A4 </v>
      </c>
      <c r="H352" s="11" t="str">
        <f>IFERROR(__xludf.DUMMYFUNCTION("""COMPUTED_VALUE"""),"IMPRESSORA MULTIFUNCIONAL JATO DE TINTA - PÁGINAS A4")</f>
        <v>IMPRESSORA MULTIFUNCIONAL JATO DE TINTA - PÁGINAS A4</v>
      </c>
      <c r="I352" s="11" t="str">
        <f>IFERROR(__xludf.DUMMYFUNCTION("""COMPUTED_VALUE"""),"SWITCH 16 PORTAS")</f>
        <v>SWITCH 16 PORTAS</v>
      </c>
      <c r="J352" s="11" t="str">
        <f>IFERROR(__xludf.DUMMYFUNCTION("""COMPUTED_VALUE"""),"No break 700 VA.")</f>
        <v>No break 700 VA.</v>
      </c>
      <c r="K352" s="11" t="str">
        <f>IFERROR(__xludf.DUMMYFUNCTION("""COMPUTED_VALUE"""),"ACESS POINT")</f>
        <v>ACESS POINT</v>
      </c>
    </row>
    <row r="353">
      <c r="A353" s="11" t="str">
        <f>IFERROR(__xludf.DUMMYFUNCTION("TRANSPOSE(FILTER(ITENS!$D:$D, ITENS!$A:$A = SERVICOS!$A354))"),"NOTEBOOK TIPO II")</f>
        <v>NOTEBOOK TIPO II</v>
      </c>
      <c r="B353" s="11" t="str">
        <f>IFERROR(__xludf.DUMMYFUNCTION("""COMPUTED_VALUE"""),"NOTEBOOK TIPO III")</f>
        <v>NOTEBOOK TIPO III</v>
      </c>
      <c r="C353" s="11" t="str">
        <f>IFERROR(__xludf.DUMMYFUNCTION("""COMPUTED_VALUE"""),"MICRO TIPO I")</f>
        <v>MICRO TIPO I</v>
      </c>
      <c r="D353" s="11" t="str">
        <f>IFERROR(__xludf.DUMMYFUNCTION("""COMPUTED_VALUE"""),"MICRO TIPO II ")</f>
        <v>MICRO TIPO II </v>
      </c>
      <c r="E353" s="11" t="str">
        <f>IFERROR(__xludf.DUMMYFUNCTION("""COMPUTED_VALUE"""),"MICRO TIPO III")</f>
        <v>MICRO TIPO III</v>
      </c>
      <c r="F353" s="11" t="str">
        <f>IFERROR(__xludf.DUMMYFUNCTION("""COMPUTED_VALUE"""),"IMPRESSORA MULTIFUNCIONAL MONOCROMÁTICO LASER –  PÁGINAS A4 ")</f>
        <v>IMPRESSORA MULTIFUNCIONAL MONOCROMÁTICO LASER –  PÁGINAS A4 </v>
      </c>
      <c r="G353" s="11" t="str">
        <f>IFERROR(__xludf.DUMMYFUNCTION("""COMPUTED_VALUE"""),"IMPRESSORA MONOCROMÁTICO LASER –  PÁGINAS A4 ")</f>
        <v>IMPRESSORA MONOCROMÁTICO LASER –  PÁGINAS A4 </v>
      </c>
      <c r="H353" s="11" t="str">
        <f>IFERROR(__xludf.DUMMYFUNCTION("""COMPUTED_VALUE"""),"IMPRESSORA MULTIFUNCIONAL JATO DE TINTA - PÁGINAS A4")</f>
        <v>IMPRESSORA MULTIFUNCIONAL JATO DE TINTA - PÁGINAS A4</v>
      </c>
      <c r="I353" s="11" t="str">
        <f>IFERROR(__xludf.DUMMYFUNCTION("""COMPUTED_VALUE"""),"SWITCH 16 PORTAS")</f>
        <v>SWITCH 16 PORTAS</v>
      </c>
      <c r="J353" s="11" t="str">
        <f>IFERROR(__xludf.DUMMYFUNCTION("""COMPUTED_VALUE"""),"No break 700 VA.")</f>
        <v>No break 700 VA.</v>
      </c>
      <c r="K353" s="11" t="str">
        <f>IFERROR(__xludf.DUMMYFUNCTION("""COMPUTED_VALUE"""),"ACESS POINT")</f>
        <v>ACESS POINT</v>
      </c>
    </row>
    <row r="354">
      <c r="A354" s="11" t="str">
        <f>IFERROR(__xludf.DUMMYFUNCTION("TRANSPOSE(FILTER(ITENS!$D:$D, ITENS!$A:$A = SERVICOS!$A355))"),"NOTEBOOK TIPO II")</f>
        <v>NOTEBOOK TIPO II</v>
      </c>
      <c r="B354" s="11" t="str">
        <f>IFERROR(__xludf.DUMMYFUNCTION("""COMPUTED_VALUE"""),"NOTEBOOK TIPO III")</f>
        <v>NOTEBOOK TIPO III</v>
      </c>
      <c r="C354" s="11" t="str">
        <f>IFERROR(__xludf.DUMMYFUNCTION("""COMPUTED_VALUE"""),"MICRO TIPO I")</f>
        <v>MICRO TIPO I</v>
      </c>
      <c r="D354" s="11" t="str">
        <f>IFERROR(__xludf.DUMMYFUNCTION("""COMPUTED_VALUE"""),"MICRO TIPO II ")</f>
        <v>MICRO TIPO II </v>
      </c>
      <c r="E354" s="11" t="str">
        <f>IFERROR(__xludf.DUMMYFUNCTION("""COMPUTED_VALUE"""),"MICRO TIPO III")</f>
        <v>MICRO TIPO III</v>
      </c>
      <c r="F354" s="11" t="str">
        <f>IFERROR(__xludf.DUMMYFUNCTION("""COMPUTED_VALUE"""),"IMPRESSORA MULTIFUNCIONAL MONOCROMÁTICO LASER –  PÁGINAS A4 ")</f>
        <v>IMPRESSORA MULTIFUNCIONAL MONOCROMÁTICO LASER –  PÁGINAS A4 </v>
      </c>
      <c r="G354" s="11" t="str">
        <f>IFERROR(__xludf.DUMMYFUNCTION("""COMPUTED_VALUE"""),"IMPRESSORA MONOCROMÁTICO LASER –  PÁGINAS A4 ")</f>
        <v>IMPRESSORA MONOCROMÁTICO LASER –  PÁGINAS A4 </v>
      </c>
      <c r="H354" s="11" t="str">
        <f>IFERROR(__xludf.DUMMYFUNCTION("""COMPUTED_VALUE"""),"IMPRESSORA MULTIFUNCIONAL JATO DE TINTA - PÁGINAS A4")</f>
        <v>IMPRESSORA MULTIFUNCIONAL JATO DE TINTA - PÁGINAS A4</v>
      </c>
      <c r="I354" s="11" t="str">
        <f>IFERROR(__xludf.DUMMYFUNCTION("""COMPUTED_VALUE"""),"SWITCH 16 PORTAS")</f>
        <v>SWITCH 16 PORTAS</v>
      </c>
      <c r="J354" s="11" t="str">
        <f>IFERROR(__xludf.DUMMYFUNCTION("""COMPUTED_VALUE"""),"No break 700 VA.")</f>
        <v>No break 700 VA.</v>
      </c>
      <c r="K354" s="11" t="str">
        <f>IFERROR(__xludf.DUMMYFUNCTION("""COMPUTED_VALUE"""),"ACESS POINT")</f>
        <v>ACESS POINT</v>
      </c>
    </row>
    <row r="355">
      <c r="A355" s="11" t="str">
        <f>IFERROR(__xludf.DUMMYFUNCTION("TRANSPOSE(FILTER(ITENS!$D:$D, ITENS!$A:$A = SERVICOS!$A356))"),"NOTEBOOK TIPO II")</f>
        <v>NOTEBOOK TIPO II</v>
      </c>
      <c r="B355" s="11" t="str">
        <f>IFERROR(__xludf.DUMMYFUNCTION("""COMPUTED_VALUE"""),"NOTEBOOK TIPO III")</f>
        <v>NOTEBOOK TIPO III</v>
      </c>
      <c r="C355" s="11" t="str">
        <f>IFERROR(__xludf.DUMMYFUNCTION("""COMPUTED_VALUE"""),"MICRO TIPO I")</f>
        <v>MICRO TIPO I</v>
      </c>
      <c r="D355" s="11" t="str">
        <f>IFERROR(__xludf.DUMMYFUNCTION("""COMPUTED_VALUE"""),"MICRO TIPO II ")</f>
        <v>MICRO TIPO II </v>
      </c>
      <c r="E355" s="11" t="str">
        <f>IFERROR(__xludf.DUMMYFUNCTION("""COMPUTED_VALUE"""),"MICRO TIPO III")</f>
        <v>MICRO TIPO III</v>
      </c>
      <c r="F355" s="11" t="str">
        <f>IFERROR(__xludf.DUMMYFUNCTION("""COMPUTED_VALUE"""),"IMPRESSORA MULTIFUNCIONAL MONOCROMÁTICO LASER –  PÁGINAS A4 ")</f>
        <v>IMPRESSORA MULTIFUNCIONAL MONOCROMÁTICO LASER –  PÁGINAS A4 </v>
      </c>
      <c r="G355" s="11" t="str">
        <f>IFERROR(__xludf.DUMMYFUNCTION("""COMPUTED_VALUE"""),"IMPRESSORA MONOCROMÁTICO LASER –  PÁGINAS A4 ")</f>
        <v>IMPRESSORA MONOCROMÁTICO LASER –  PÁGINAS A4 </v>
      </c>
      <c r="H355" s="11" t="str">
        <f>IFERROR(__xludf.DUMMYFUNCTION("""COMPUTED_VALUE"""),"IMPRESSORA MULTIFUNCIONAL JATO DE TINTA - PÁGINAS A4")</f>
        <v>IMPRESSORA MULTIFUNCIONAL JATO DE TINTA - PÁGINAS A4</v>
      </c>
      <c r="I355" s="11" t="str">
        <f>IFERROR(__xludf.DUMMYFUNCTION("""COMPUTED_VALUE"""),"SWITCH 16 PORTAS")</f>
        <v>SWITCH 16 PORTAS</v>
      </c>
      <c r="J355" s="11" t="str">
        <f>IFERROR(__xludf.DUMMYFUNCTION("""COMPUTED_VALUE"""),"No break 700 VA.")</f>
        <v>No break 700 VA.</v>
      </c>
      <c r="K355" s="11" t="str">
        <f>IFERROR(__xludf.DUMMYFUNCTION("""COMPUTED_VALUE"""),"ACESS POINT")</f>
        <v>ACESS POINT</v>
      </c>
    </row>
    <row r="356">
      <c r="A356" s="11" t="str">
        <f>IFERROR(__xludf.DUMMYFUNCTION("TRANSPOSE(FILTER(ITENS!$D:$D, ITENS!$A:$A = SERVICOS!$A357))"),"NOTEBOOK TIPO II")</f>
        <v>NOTEBOOK TIPO II</v>
      </c>
      <c r="B356" s="11" t="str">
        <f>IFERROR(__xludf.DUMMYFUNCTION("""COMPUTED_VALUE"""),"NOTEBOOK TIPO III")</f>
        <v>NOTEBOOK TIPO III</v>
      </c>
      <c r="C356" s="11" t="str">
        <f>IFERROR(__xludf.DUMMYFUNCTION("""COMPUTED_VALUE"""),"MICRO TIPO I")</f>
        <v>MICRO TIPO I</v>
      </c>
      <c r="D356" s="11" t="str">
        <f>IFERROR(__xludf.DUMMYFUNCTION("""COMPUTED_VALUE"""),"MICRO TIPO II ")</f>
        <v>MICRO TIPO II </v>
      </c>
      <c r="E356" s="11" t="str">
        <f>IFERROR(__xludf.DUMMYFUNCTION("""COMPUTED_VALUE"""),"MICRO TIPO III")</f>
        <v>MICRO TIPO III</v>
      </c>
      <c r="F356" s="11" t="str">
        <f>IFERROR(__xludf.DUMMYFUNCTION("""COMPUTED_VALUE"""),"IMPRESSORA MULTIFUNCIONAL MONOCROMÁTICO LASER –  PÁGINAS A4 ")</f>
        <v>IMPRESSORA MULTIFUNCIONAL MONOCROMÁTICO LASER –  PÁGINAS A4 </v>
      </c>
      <c r="G356" s="11" t="str">
        <f>IFERROR(__xludf.DUMMYFUNCTION("""COMPUTED_VALUE"""),"IMPRESSORA MONOCROMÁTICO LASER –  PÁGINAS A4 ")</f>
        <v>IMPRESSORA MONOCROMÁTICO LASER –  PÁGINAS A4 </v>
      </c>
      <c r="H356" s="11" t="str">
        <f>IFERROR(__xludf.DUMMYFUNCTION("""COMPUTED_VALUE"""),"IMPRESSORA MULTIFUNCIONAL JATO DE TINTA - PÁGINAS A4")</f>
        <v>IMPRESSORA MULTIFUNCIONAL JATO DE TINTA - PÁGINAS A4</v>
      </c>
      <c r="I356" s="11" t="str">
        <f>IFERROR(__xludf.DUMMYFUNCTION("""COMPUTED_VALUE"""),"SWITCH 16 PORTAS")</f>
        <v>SWITCH 16 PORTAS</v>
      </c>
      <c r="J356" s="11" t="str">
        <f>IFERROR(__xludf.DUMMYFUNCTION("""COMPUTED_VALUE"""),"No break 700 VA.")</f>
        <v>No break 700 VA.</v>
      </c>
      <c r="K356" s="11" t="str">
        <f>IFERROR(__xludf.DUMMYFUNCTION("""COMPUTED_VALUE"""),"ACESS POINT")</f>
        <v>ACESS POINT</v>
      </c>
    </row>
    <row r="357">
      <c r="A357" s="11" t="str">
        <f>IFERROR(__xludf.DUMMYFUNCTION("TRANSPOSE(FILTER(ITENS!$D:$D, ITENS!$A:$A = SERVICOS!$A358))"),"NOTEBOOK TIPO II")</f>
        <v>NOTEBOOK TIPO II</v>
      </c>
      <c r="B357" s="11" t="str">
        <f>IFERROR(__xludf.DUMMYFUNCTION("""COMPUTED_VALUE"""),"NOTEBOOK TIPO III")</f>
        <v>NOTEBOOK TIPO III</v>
      </c>
      <c r="C357" s="11" t="str">
        <f>IFERROR(__xludf.DUMMYFUNCTION("""COMPUTED_VALUE"""),"MICRO TIPO I")</f>
        <v>MICRO TIPO I</v>
      </c>
      <c r="D357" s="11" t="str">
        <f>IFERROR(__xludf.DUMMYFUNCTION("""COMPUTED_VALUE"""),"MICRO TIPO II ")</f>
        <v>MICRO TIPO II </v>
      </c>
      <c r="E357" s="11" t="str">
        <f>IFERROR(__xludf.DUMMYFUNCTION("""COMPUTED_VALUE"""),"MICRO TIPO III")</f>
        <v>MICRO TIPO III</v>
      </c>
      <c r="F357" s="11" t="str">
        <f>IFERROR(__xludf.DUMMYFUNCTION("""COMPUTED_VALUE"""),"IMPRESSORA MULTIFUNCIONAL MONOCROMÁTICO LASER –  PÁGINAS A4 ")</f>
        <v>IMPRESSORA MULTIFUNCIONAL MONOCROMÁTICO LASER –  PÁGINAS A4 </v>
      </c>
      <c r="G357" s="11" t="str">
        <f>IFERROR(__xludf.DUMMYFUNCTION("""COMPUTED_VALUE"""),"IMPRESSORA MONOCROMÁTICO LASER –  PÁGINAS A4 ")</f>
        <v>IMPRESSORA MONOCROMÁTICO LASER –  PÁGINAS A4 </v>
      </c>
      <c r="H357" s="11" t="str">
        <f>IFERROR(__xludf.DUMMYFUNCTION("""COMPUTED_VALUE"""),"IMPRESSORA MULTIFUNCIONAL JATO DE TINTA - PÁGINAS A4")</f>
        <v>IMPRESSORA MULTIFUNCIONAL JATO DE TINTA - PÁGINAS A4</v>
      </c>
      <c r="I357" s="11" t="str">
        <f>IFERROR(__xludf.DUMMYFUNCTION("""COMPUTED_VALUE"""),"SWITCH 16 PORTAS")</f>
        <v>SWITCH 16 PORTAS</v>
      </c>
      <c r="J357" s="11" t="str">
        <f>IFERROR(__xludf.DUMMYFUNCTION("""COMPUTED_VALUE"""),"No break 700 VA.")</f>
        <v>No break 700 VA.</v>
      </c>
      <c r="K357" s="11" t="str">
        <f>IFERROR(__xludf.DUMMYFUNCTION("""COMPUTED_VALUE"""),"ACESS POINT")</f>
        <v>ACESS POINT</v>
      </c>
    </row>
    <row r="358">
      <c r="A358" s="11" t="str">
        <f>IFERROR(__xludf.DUMMYFUNCTION("TRANSPOSE(FILTER(ITENS!$D:$D, ITENS!$A:$A = SERVICOS!$A359))"),"NOTEBOOK TIPO II")</f>
        <v>NOTEBOOK TIPO II</v>
      </c>
      <c r="B358" s="11" t="str">
        <f>IFERROR(__xludf.DUMMYFUNCTION("""COMPUTED_VALUE"""),"NOTEBOOK TIPO III")</f>
        <v>NOTEBOOK TIPO III</v>
      </c>
      <c r="C358" s="11" t="str">
        <f>IFERROR(__xludf.DUMMYFUNCTION("""COMPUTED_VALUE"""),"MICRO TIPO I")</f>
        <v>MICRO TIPO I</v>
      </c>
      <c r="D358" s="11" t="str">
        <f>IFERROR(__xludf.DUMMYFUNCTION("""COMPUTED_VALUE"""),"MICRO TIPO II ")</f>
        <v>MICRO TIPO II </v>
      </c>
      <c r="E358" s="11" t="str">
        <f>IFERROR(__xludf.DUMMYFUNCTION("""COMPUTED_VALUE"""),"MICRO TIPO III")</f>
        <v>MICRO TIPO III</v>
      </c>
      <c r="F358" s="11" t="str">
        <f>IFERROR(__xludf.DUMMYFUNCTION("""COMPUTED_VALUE"""),"IMPRESSORA MULTIFUNCIONAL MONOCROMÁTICO LASER –  PÁGINAS A4 ")</f>
        <v>IMPRESSORA MULTIFUNCIONAL MONOCROMÁTICO LASER –  PÁGINAS A4 </v>
      </c>
      <c r="G358" s="11" t="str">
        <f>IFERROR(__xludf.DUMMYFUNCTION("""COMPUTED_VALUE"""),"IMPRESSORA MONOCROMÁTICO LASER –  PÁGINAS A4 ")</f>
        <v>IMPRESSORA MONOCROMÁTICO LASER –  PÁGINAS A4 </v>
      </c>
      <c r="H358" s="11" t="str">
        <f>IFERROR(__xludf.DUMMYFUNCTION("""COMPUTED_VALUE"""),"IMPRESSORA MULTIFUNCIONAL JATO DE TINTA - PÁGINAS A4")</f>
        <v>IMPRESSORA MULTIFUNCIONAL JATO DE TINTA - PÁGINAS A4</v>
      </c>
      <c r="I358" s="11" t="str">
        <f>IFERROR(__xludf.DUMMYFUNCTION("""COMPUTED_VALUE"""),"SWITCH 16 PORTAS")</f>
        <v>SWITCH 16 PORTAS</v>
      </c>
      <c r="J358" s="11" t="str">
        <f>IFERROR(__xludf.DUMMYFUNCTION("""COMPUTED_VALUE"""),"No break 700 VA.")</f>
        <v>No break 700 VA.</v>
      </c>
      <c r="K358" s="11" t="str">
        <f>IFERROR(__xludf.DUMMYFUNCTION("""COMPUTED_VALUE"""),"ACESS POINT")</f>
        <v>ACESS POINT</v>
      </c>
    </row>
    <row r="359">
      <c r="A359" s="11" t="str">
        <f>IFERROR(__xludf.DUMMYFUNCTION("TRANSPOSE(FILTER(ITENS!$D:$D, ITENS!$A:$A = SERVICOS!$A360))"),"NOTEBOOK TIPO II")</f>
        <v>NOTEBOOK TIPO II</v>
      </c>
      <c r="B359" s="11" t="str">
        <f>IFERROR(__xludf.DUMMYFUNCTION("""COMPUTED_VALUE"""),"NOTEBOOK TIPO III")</f>
        <v>NOTEBOOK TIPO III</v>
      </c>
      <c r="C359" s="11" t="str">
        <f>IFERROR(__xludf.DUMMYFUNCTION("""COMPUTED_VALUE"""),"No Break 1200 VA")</f>
        <v>No Break 1200 VA</v>
      </c>
      <c r="D359" s="11" t="str">
        <f>IFERROR(__xludf.DUMMYFUNCTION("""COMPUTED_VALUE"""),"MICRO TIPO II ")</f>
        <v>MICRO TIPO II </v>
      </c>
      <c r="E359" s="11" t="str">
        <f>IFERROR(__xludf.DUMMYFUNCTION("""COMPUTED_VALUE"""),"MICRO TIPO III")</f>
        <v>MICRO TIPO III</v>
      </c>
      <c r="F359" s="11" t="str">
        <f>IFERROR(__xludf.DUMMYFUNCTION("""COMPUTED_VALUE"""),"IMPRESSORA MULTIFUNCIONAL MONOCROMÁTICO LASER –  PÁGINAS A4 ")</f>
        <v>IMPRESSORA MULTIFUNCIONAL MONOCROMÁTICO LASER –  PÁGINAS A4 </v>
      </c>
      <c r="G359" s="11" t="str">
        <f>IFERROR(__xludf.DUMMYFUNCTION("""COMPUTED_VALUE"""),"IMPRESSORA MONOCROMÁTICO LASER –  PÁGINAS A4 ")</f>
        <v>IMPRESSORA MONOCROMÁTICO LASER –  PÁGINAS A4 </v>
      </c>
      <c r="H359" s="11" t="str">
        <f>IFERROR(__xludf.DUMMYFUNCTION("""COMPUTED_VALUE"""),"IMPRESSORA MULTIFUNCIONAL JATO DE TINTA - PÁGINAS A4")</f>
        <v>IMPRESSORA MULTIFUNCIONAL JATO DE TINTA - PÁGINAS A4</v>
      </c>
      <c r="I359" s="11" t="str">
        <f>IFERROR(__xludf.DUMMYFUNCTION("""COMPUTED_VALUE"""),"No break 700 VA.")</f>
        <v>No break 700 VA.</v>
      </c>
    </row>
    <row r="360">
      <c r="A360" s="11" t="str">
        <f>IFERROR(__xludf.DUMMYFUNCTION("TRANSPOSE(FILTER(ITENS!$D:$D, ITENS!$A:$A = SERVICOS!$A361))"),"NOTEBOOK TIPO II")</f>
        <v>NOTEBOOK TIPO II</v>
      </c>
      <c r="B360" s="11" t="str">
        <f>IFERROR(__xludf.DUMMYFUNCTION("""COMPUTED_VALUE"""),"NOTEBOOK TIPO III")</f>
        <v>NOTEBOOK TIPO III</v>
      </c>
      <c r="C360" s="11" t="str">
        <f>IFERROR(__xludf.DUMMYFUNCTION("""COMPUTED_VALUE"""),"No Break 1200 VA")</f>
        <v>No Break 1200 VA</v>
      </c>
      <c r="D360" s="11" t="str">
        <f>IFERROR(__xludf.DUMMYFUNCTION("""COMPUTED_VALUE"""),"MICRO TIPO II ")</f>
        <v>MICRO TIPO II </v>
      </c>
      <c r="E360" s="11" t="str">
        <f>IFERROR(__xludf.DUMMYFUNCTION("""COMPUTED_VALUE"""),"MICRO TIPO III")</f>
        <v>MICRO TIPO III</v>
      </c>
      <c r="F360" s="11" t="str">
        <f>IFERROR(__xludf.DUMMYFUNCTION("""COMPUTED_VALUE"""),"IMPRESSORA MULTIFUNCIONAL MONOCROMÁTICO LASER –  PÁGINAS A4 ")</f>
        <v>IMPRESSORA MULTIFUNCIONAL MONOCROMÁTICO LASER –  PÁGINAS A4 </v>
      </c>
      <c r="G360" s="11" t="str">
        <f>IFERROR(__xludf.DUMMYFUNCTION("""COMPUTED_VALUE"""),"IMPRESSORA MONOCROMÁTICO LASER –  PÁGINAS A4 ")</f>
        <v>IMPRESSORA MONOCROMÁTICO LASER –  PÁGINAS A4 </v>
      </c>
      <c r="H360" s="11" t="str">
        <f>IFERROR(__xludf.DUMMYFUNCTION("""COMPUTED_VALUE"""),"IMPRESSORA MULTIFUNCIONAL JATO DE TINTA - PÁGINAS A4")</f>
        <v>IMPRESSORA MULTIFUNCIONAL JATO DE TINTA - PÁGINAS A4</v>
      </c>
      <c r="I360" s="11" t="str">
        <f>IFERROR(__xludf.DUMMYFUNCTION("""COMPUTED_VALUE"""),"No break 700 VA.")</f>
        <v>No break 700 VA.</v>
      </c>
    </row>
    <row r="361">
      <c r="A361" s="11" t="str">
        <f>IFERROR(__xludf.DUMMYFUNCTION("TRANSPOSE(FILTER(ITENS!$D:$D, ITENS!$A:$A = SERVICOS!$A362))"),"NOTEBOOK TIPO II")</f>
        <v>NOTEBOOK TIPO II</v>
      </c>
      <c r="B361" s="11" t="str">
        <f>IFERROR(__xludf.DUMMYFUNCTION("""COMPUTED_VALUE"""),"NOTEBOOK TIPO III")</f>
        <v>NOTEBOOK TIPO III</v>
      </c>
      <c r="C361" s="11" t="str">
        <f>IFERROR(__xludf.DUMMYFUNCTION("""COMPUTED_VALUE"""),"No Break 1200 VA")</f>
        <v>No Break 1200 VA</v>
      </c>
      <c r="D361" s="11" t="str">
        <f>IFERROR(__xludf.DUMMYFUNCTION("""COMPUTED_VALUE"""),"MICRO TIPO II ")</f>
        <v>MICRO TIPO II </v>
      </c>
      <c r="E361" s="11" t="str">
        <f>IFERROR(__xludf.DUMMYFUNCTION("""COMPUTED_VALUE"""),"MICRO TIPO III")</f>
        <v>MICRO TIPO III</v>
      </c>
      <c r="F361" s="11" t="str">
        <f>IFERROR(__xludf.DUMMYFUNCTION("""COMPUTED_VALUE"""),"IMPRESSORA MULTIFUNCIONAL MONOCROMÁTICO LASER –  PÁGINAS A4 ")</f>
        <v>IMPRESSORA MULTIFUNCIONAL MONOCROMÁTICO LASER –  PÁGINAS A4 </v>
      </c>
      <c r="G361" s="11" t="str">
        <f>IFERROR(__xludf.DUMMYFUNCTION("""COMPUTED_VALUE"""),"IMPRESSORA MONOCROMÁTICO LASER –  PÁGINAS A4 ")</f>
        <v>IMPRESSORA MONOCROMÁTICO LASER –  PÁGINAS A4 </v>
      </c>
      <c r="H361" s="11" t="str">
        <f>IFERROR(__xludf.DUMMYFUNCTION("""COMPUTED_VALUE"""),"IMPRESSORA MULTIFUNCIONAL JATO DE TINTA - PÁGINAS A4")</f>
        <v>IMPRESSORA MULTIFUNCIONAL JATO DE TINTA - PÁGINAS A4</v>
      </c>
      <c r="I361" s="11" t="str">
        <f>IFERROR(__xludf.DUMMYFUNCTION("""COMPUTED_VALUE"""),"No break 700 VA.")</f>
        <v>No break 700 VA.</v>
      </c>
    </row>
    <row r="362">
      <c r="A362" s="11" t="str">
        <f>IFERROR(__xludf.DUMMYFUNCTION("TRANSPOSE(FILTER(ITENS!$D:$D, ITENS!$A:$A = SERVICOS!$A363))"),"NOTEBOOK TIPO II")</f>
        <v>NOTEBOOK TIPO II</v>
      </c>
      <c r="B362" s="11" t="str">
        <f>IFERROR(__xludf.DUMMYFUNCTION("""COMPUTED_VALUE"""),"NOTEBOOK TIPO III")</f>
        <v>NOTEBOOK TIPO III</v>
      </c>
      <c r="C362" s="11" t="str">
        <f>IFERROR(__xludf.DUMMYFUNCTION("""COMPUTED_VALUE"""),"No Break 1200 VA")</f>
        <v>No Break 1200 VA</v>
      </c>
      <c r="D362" s="11" t="str">
        <f>IFERROR(__xludf.DUMMYFUNCTION("""COMPUTED_VALUE"""),"MICRO TIPO II ")</f>
        <v>MICRO TIPO II </v>
      </c>
      <c r="E362" s="11" t="str">
        <f>IFERROR(__xludf.DUMMYFUNCTION("""COMPUTED_VALUE"""),"MICRO TIPO III")</f>
        <v>MICRO TIPO III</v>
      </c>
      <c r="F362" s="11" t="str">
        <f>IFERROR(__xludf.DUMMYFUNCTION("""COMPUTED_VALUE"""),"IMPRESSORA MULTIFUNCIONAL MONOCROMÁTICO LASER –  PÁGINAS A4 ")</f>
        <v>IMPRESSORA MULTIFUNCIONAL MONOCROMÁTICO LASER –  PÁGINAS A4 </v>
      </c>
      <c r="G362" s="11" t="str">
        <f>IFERROR(__xludf.DUMMYFUNCTION("""COMPUTED_VALUE"""),"IMPRESSORA MONOCROMÁTICO LASER –  PÁGINAS A4 ")</f>
        <v>IMPRESSORA MONOCROMÁTICO LASER –  PÁGINAS A4 </v>
      </c>
      <c r="H362" s="11" t="str">
        <f>IFERROR(__xludf.DUMMYFUNCTION("""COMPUTED_VALUE"""),"IMPRESSORA MULTIFUNCIONAL JATO DE TINTA - PÁGINAS A4")</f>
        <v>IMPRESSORA MULTIFUNCIONAL JATO DE TINTA - PÁGINAS A4</v>
      </c>
      <c r="I362" s="11" t="str">
        <f>IFERROR(__xludf.DUMMYFUNCTION("""COMPUTED_VALUE"""),"No break 700 VA.")</f>
        <v>No break 700 VA.</v>
      </c>
    </row>
    <row r="363">
      <c r="A363" s="11" t="str">
        <f>IFERROR(__xludf.DUMMYFUNCTION("TRANSPOSE(FILTER(ITENS!$D:$D, ITENS!$A:$A = SERVICOS!$A364))"),"NOTEBOOK TIPO II")</f>
        <v>NOTEBOOK TIPO II</v>
      </c>
      <c r="B363" s="11" t="str">
        <f>IFERROR(__xludf.DUMMYFUNCTION("""COMPUTED_VALUE"""),"NOTEBOOK TIPO III")</f>
        <v>NOTEBOOK TIPO III</v>
      </c>
      <c r="C363" s="11" t="str">
        <f>IFERROR(__xludf.DUMMYFUNCTION("""COMPUTED_VALUE"""),"No Break 1200 VA")</f>
        <v>No Break 1200 VA</v>
      </c>
      <c r="D363" s="11" t="str">
        <f>IFERROR(__xludf.DUMMYFUNCTION("""COMPUTED_VALUE"""),"MICRO TIPO II ")</f>
        <v>MICRO TIPO II </v>
      </c>
      <c r="E363" s="11" t="str">
        <f>IFERROR(__xludf.DUMMYFUNCTION("""COMPUTED_VALUE"""),"MICRO TIPO III")</f>
        <v>MICRO TIPO III</v>
      </c>
      <c r="F363" s="11" t="str">
        <f>IFERROR(__xludf.DUMMYFUNCTION("""COMPUTED_VALUE"""),"IMPRESSORA MULTIFUNCIONAL MONOCROMÁTICO LASER –  PÁGINAS A4 ")</f>
        <v>IMPRESSORA MULTIFUNCIONAL MONOCROMÁTICO LASER –  PÁGINAS A4 </v>
      </c>
      <c r="G363" s="11" t="str">
        <f>IFERROR(__xludf.DUMMYFUNCTION("""COMPUTED_VALUE"""),"IMPRESSORA MONOCROMÁTICO LASER –  PÁGINAS A4 ")</f>
        <v>IMPRESSORA MONOCROMÁTICO LASER –  PÁGINAS A4 </v>
      </c>
      <c r="H363" s="11" t="str">
        <f>IFERROR(__xludf.DUMMYFUNCTION("""COMPUTED_VALUE"""),"IMPRESSORA MULTIFUNCIONAL JATO DE TINTA - PÁGINAS A4")</f>
        <v>IMPRESSORA MULTIFUNCIONAL JATO DE TINTA - PÁGINAS A4</v>
      </c>
      <c r="I363" s="11" t="str">
        <f>IFERROR(__xludf.DUMMYFUNCTION("""COMPUTED_VALUE"""),"No break 700 VA.")</f>
        <v>No break 700 VA.</v>
      </c>
    </row>
    <row r="364">
      <c r="A364" s="11" t="str">
        <f>IFERROR(__xludf.DUMMYFUNCTION("TRANSPOSE(FILTER(ITENS!$D:$D, ITENS!$A:$A = SERVICOS!$A365))"),"NOTEBOOK TIPO II")</f>
        <v>NOTEBOOK TIPO II</v>
      </c>
      <c r="B364" s="11" t="str">
        <f>IFERROR(__xludf.DUMMYFUNCTION("""COMPUTED_VALUE"""),"NOTEBOOK TIPO III")</f>
        <v>NOTEBOOK TIPO III</v>
      </c>
      <c r="C364" s="11" t="str">
        <f>IFERROR(__xludf.DUMMYFUNCTION("""COMPUTED_VALUE"""),"No Break 1200 VA")</f>
        <v>No Break 1200 VA</v>
      </c>
      <c r="D364" s="11" t="str">
        <f>IFERROR(__xludf.DUMMYFUNCTION("""COMPUTED_VALUE"""),"MICRO TIPO II ")</f>
        <v>MICRO TIPO II </v>
      </c>
      <c r="E364" s="11" t="str">
        <f>IFERROR(__xludf.DUMMYFUNCTION("""COMPUTED_VALUE"""),"MICRO TIPO III")</f>
        <v>MICRO TIPO III</v>
      </c>
      <c r="F364" s="11" t="str">
        <f>IFERROR(__xludf.DUMMYFUNCTION("""COMPUTED_VALUE"""),"IMPRESSORA MULTIFUNCIONAL MONOCROMÁTICO LASER –  PÁGINAS A4 ")</f>
        <v>IMPRESSORA MULTIFUNCIONAL MONOCROMÁTICO LASER –  PÁGINAS A4 </v>
      </c>
      <c r="G364" s="11" t="str">
        <f>IFERROR(__xludf.DUMMYFUNCTION("""COMPUTED_VALUE"""),"IMPRESSORA MONOCROMÁTICO LASER –  PÁGINAS A4 ")</f>
        <v>IMPRESSORA MONOCROMÁTICO LASER –  PÁGINAS A4 </v>
      </c>
      <c r="H364" s="11" t="str">
        <f>IFERROR(__xludf.DUMMYFUNCTION("""COMPUTED_VALUE"""),"IMPRESSORA MULTIFUNCIONAL JATO DE TINTA - PÁGINAS A4")</f>
        <v>IMPRESSORA MULTIFUNCIONAL JATO DE TINTA - PÁGINAS A4</v>
      </c>
      <c r="I364" s="11" t="str">
        <f>IFERROR(__xludf.DUMMYFUNCTION("""COMPUTED_VALUE"""),"No break 700 VA.")</f>
        <v>No break 700 VA.</v>
      </c>
    </row>
    <row r="365">
      <c r="A365" s="11" t="str">
        <f>IFERROR(__xludf.DUMMYFUNCTION("TRANSPOSE(FILTER(ITENS!$D:$D, ITENS!$A:$A = SERVICOS!$A366))"),"NOTEBOOK TIPO II")</f>
        <v>NOTEBOOK TIPO II</v>
      </c>
      <c r="B365" s="11" t="str">
        <f>IFERROR(__xludf.DUMMYFUNCTION("""COMPUTED_VALUE"""),"NOTEBOOK TIPO III")</f>
        <v>NOTEBOOK TIPO III</v>
      </c>
      <c r="C365" s="11" t="str">
        <f>IFERROR(__xludf.DUMMYFUNCTION("""COMPUTED_VALUE"""),"No Break 1200 VA")</f>
        <v>No Break 1200 VA</v>
      </c>
      <c r="D365" s="11" t="str">
        <f>IFERROR(__xludf.DUMMYFUNCTION("""COMPUTED_VALUE"""),"MICRO TIPO II ")</f>
        <v>MICRO TIPO II </v>
      </c>
      <c r="E365" s="11" t="str">
        <f>IFERROR(__xludf.DUMMYFUNCTION("""COMPUTED_VALUE"""),"MICRO TIPO III")</f>
        <v>MICRO TIPO III</v>
      </c>
      <c r="F365" s="11" t="str">
        <f>IFERROR(__xludf.DUMMYFUNCTION("""COMPUTED_VALUE"""),"IMPRESSORA MULTIFUNCIONAL MONOCROMÁTICO LASER –  PÁGINAS A4 ")</f>
        <v>IMPRESSORA MULTIFUNCIONAL MONOCROMÁTICO LASER –  PÁGINAS A4 </v>
      </c>
      <c r="G365" s="11" t="str">
        <f>IFERROR(__xludf.DUMMYFUNCTION("""COMPUTED_VALUE"""),"IMPRESSORA MONOCROMÁTICO LASER –  PÁGINAS A4 ")</f>
        <v>IMPRESSORA MONOCROMÁTICO LASER –  PÁGINAS A4 </v>
      </c>
      <c r="H365" s="11" t="str">
        <f>IFERROR(__xludf.DUMMYFUNCTION("""COMPUTED_VALUE"""),"IMPRESSORA MULTIFUNCIONAL JATO DE TINTA - PÁGINAS A4")</f>
        <v>IMPRESSORA MULTIFUNCIONAL JATO DE TINTA - PÁGINAS A4</v>
      </c>
      <c r="I365" s="11" t="str">
        <f>IFERROR(__xludf.DUMMYFUNCTION("""COMPUTED_VALUE"""),"No break 700 VA.")</f>
        <v>No break 700 VA.</v>
      </c>
    </row>
    <row r="366">
      <c r="A366" s="11" t="str">
        <f>IFERROR(__xludf.DUMMYFUNCTION("TRANSPOSE(FILTER(ITENS!$D:$D, ITENS!$A:$A = SERVICOS!$A367))"),"NOTEBOOK TIPO II")</f>
        <v>NOTEBOOK TIPO II</v>
      </c>
      <c r="B366" s="11" t="str">
        <f>IFERROR(__xludf.DUMMYFUNCTION("""COMPUTED_VALUE"""),"NOTEBOOK TIPO III")</f>
        <v>NOTEBOOK TIPO III</v>
      </c>
      <c r="C366" s="11" t="str">
        <f>IFERROR(__xludf.DUMMYFUNCTION("""COMPUTED_VALUE"""),"No Break 1200 VA")</f>
        <v>No Break 1200 VA</v>
      </c>
      <c r="D366" s="11" t="str">
        <f>IFERROR(__xludf.DUMMYFUNCTION("""COMPUTED_VALUE"""),"MICRO TIPO II ")</f>
        <v>MICRO TIPO II </v>
      </c>
      <c r="E366" s="11" t="str">
        <f>IFERROR(__xludf.DUMMYFUNCTION("""COMPUTED_VALUE"""),"MICRO TIPO III")</f>
        <v>MICRO TIPO III</v>
      </c>
      <c r="F366" s="11" t="str">
        <f>IFERROR(__xludf.DUMMYFUNCTION("""COMPUTED_VALUE"""),"IMPRESSORA MULTIFUNCIONAL MONOCROMÁTICO LASER –  PÁGINAS A4 ")</f>
        <v>IMPRESSORA MULTIFUNCIONAL MONOCROMÁTICO LASER –  PÁGINAS A4 </v>
      </c>
      <c r="G366" s="11" t="str">
        <f>IFERROR(__xludf.DUMMYFUNCTION("""COMPUTED_VALUE"""),"IMPRESSORA MONOCROMÁTICO LASER –  PÁGINAS A4 ")</f>
        <v>IMPRESSORA MONOCROMÁTICO LASER –  PÁGINAS A4 </v>
      </c>
      <c r="H366" s="11" t="str">
        <f>IFERROR(__xludf.DUMMYFUNCTION("""COMPUTED_VALUE"""),"IMPRESSORA MULTIFUNCIONAL JATO DE TINTA - PÁGINAS A4")</f>
        <v>IMPRESSORA MULTIFUNCIONAL JATO DE TINTA - PÁGINAS A4</v>
      </c>
      <c r="I366" s="11" t="str">
        <f>IFERROR(__xludf.DUMMYFUNCTION("""COMPUTED_VALUE"""),"No break 700 VA.")</f>
        <v>No break 700 VA.</v>
      </c>
    </row>
    <row r="367">
      <c r="A367" s="11" t="str">
        <f>IFERROR(__xludf.DUMMYFUNCTION("TRANSPOSE(FILTER(ITENS!$D:$D, ITENS!$A:$A = SERVICOS!$A368))"),"NOTEBOOK TIPO II")</f>
        <v>NOTEBOOK TIPO II</v>
      </c>
      <c r="B367" s="11" t="str">
        <f>IFERROR(__xludf.DUMMYFUNCTION("""COMPUTED_VALUE"""),"NOTEBOOK TIPO III")</f>
        <v>NOTEBOOK TIPO III</v>
      </c>
      <c r="C367" s="11" t="str">
        <f>IFERROR(__xludf.DUMMYFUNCTION("""COMPUTED_VALUE"""),"No Break 1200 VA")</f>
        <v>No Break 1200 VA</v>
      </c>
      <c r="D367" s="11" t="str">
        <f>IFERROR(__xludf.DUMMYFUNCTION("""COMPUTED_VALUE"""),"MICRO TIPO II ")</f>
        <v>MICRO TIPO II </v>
      </c>
      <c r="E367" s="11" t="str">
        <f>IFERROR(__xludf.DUMMYFUNCTION("""COMPUTED_VALUE"""),"MICRO TIPO III")</f>
        <v>MICRO TIPO III</v>
      </c>
      <c r="F367" s="11" t="str">
        <f>IFERROR(__xludf.DUMMYFUNCTION("""COMPUTED_VALUE"""),"IMPRESSORA MULTIFUNCIONAL MONOCROMÁTICO LASER –  PÁGINAS A4 ")</f>
        <v>IMPRESSORA MULTIFUNCIONAL MONOCROMÁTICO LASER –  PÁGINAS A4 </v>
      </c>
      <c r="G367" s="11" t="str">
        <f>IFERROR(__xludf.DUMMYFUNCTION("""COMPUTED_VALUE"""),"IMPRESSORA MONOCROMÁTICO LASER –  PÁGINAS A4 ")</f>
        <v>IMPRESSORA MONOCROMÁTICO LASER –  PÁGINAS A4 </v>
      </c>
      <c r="H367" s="11" t="str">
        <f>IFERROR(__xludf.DUMMYFUNCTION("""COMPUTED_VALUE"""),"IMPRESSORA MULTIFUNCIONAL JATO DE TINTA - PÁGINAS A4")</f>
        <v>IMPRESSORA MULTIFUNCIONAL JATO DE TINTA - PÁGINAS A4</v>
      </c>
      <c r="I367" s="11" t="str">
        <f>IFERROR(__xludf.DUMMYFUNCTION("""COMPUTED_VALUE"""),"No break 700 VA.")</f>
        <v>No break 700 VA.</v>
      </c>
    </row>
    <row r="368">
      <c r="A368" s="11" t="str">
        <f>IFERROR(__xludf.DUMMYFUNCTION("TRANSPOSE(FILTER(ITENS!$D:$D, ITENS!$A:$A = SERVICOS!$A369))"),"NOTEBOOK TIPO II")</f>
        <v>NOTEBOOK TIPO II</v>
      </c>
      <c r="B368" s="11" t="str">
        <f>IFERROR(__xludf.DUMMYFUNCTION("""COMPUTED_VALUE"""),"NOTEBOOK TIPO III")</f>
        <v>NOTEBOOK TIPO III</v>
      </c>
      <c r="C368" s="11" t="str">
        <f>IFERROR(__xludf.DUMMYFUNCTION("""COMPUTED_VALUE"""),"No Break 1200 VA")</f>
        <v>No Break 1200 VA</v>
      </c>
      <c r="D368" s="11" t="str">
        <f>IFERROR(__xludf.DUMMYFUNCTION("""COMPUTED_VALUE"""),"MICRO TIPO II ")</f>
        <v>MICRO TIPO II </v>
      </c>
      <c r="E368" s="11" t="str">
        <f>IFERROR(__xludf.DUMMYFUNCTION("""COMPUTED_VALUE"""),"MICRO TIPO III")</f>
        <v>MICRO TIPO III</v>
      </c>
      <c r="F368" s="11" t="str">
        <f>IFERROR(__xludf.DUMMYFUNCTION("""COMPUTED_VALUE"""),"IMPRESSORA MULTIFUNCIONAL MONOCROMÁTICO LASER –  PÁGINAS A4 ")</f>
        <v>IMPRESSORA MULTIFUNCIONAL MONOCROMÁTICO LASER –  PÁGINAS A4 </v>
      </c>
      <c r="G368" s="11" t="str">
        <f>IFERROR(__xludf.DUMMYFUNCTION("""COMPUTED_VALUE"""),"IMPRESSORA MONOCROMÁTICO LASER –  PÁGINAS A4 ")</f>
        <v>IMPRESSORA MONOCROMÁTICO LASER –  PÁGINAS A4 </v>
      </c>
      <c r="H368" s="11" t="str">
        <f>IFERROR(__xludf.DUMMYFUNCTION("""COMPUTED_VALUE"""),"IMPRESSORA MULTIFUNCIONAL JATO DE TINTA - PÁGINAS A4")</f>
        <v>IMPRESSORA MULTIFUNCIONAL JATO DE TINTA - PÁGINAS A4</v>
      </c>
      <c r="I368" s="11" t="str">
        <f>IFERROR(__xludf.DUMMYFUNCTION("""COMPUTED_VALUE"""),"No break 700 VA.")</f>
        <v>No break 700 VA.</v>
      </c>
    </row>
    <row r="369">
      <c r="A369" s="11" t="str">
        <f>IFERROR(__xludf.DUMMYFUNCTION("TRANSPOSE(FILTER(ITENS!$D:$D, ITENS!$A:$A = SERVICOS!$A370))"),"NOTEBOOK TIPO II")</f>
        <v>NOTEBOOK TIPO II</v>
      </c>
      <c r="B369" s="11" t="str">
        <f>IFERROR(__xludf.DUMMYFUNCTION("""COMPUTED_VALUE"""),"NOTEBOOK TIPO III")</f>
        <v>NOTEBOOK TIPO III</v>
      </c>
      <c r="C369" s="11" t="str">
        <f>IFERROR(__xludf.DUMMYFUNCTION("""COMPUTED_VALUE"""),"No Break 1200 VA")</f>
        <v>No Break 1200 VA</v>
      </c>
      <c r="D369" s="11" t="str">
        <f>IFERROR(__xludf.DUMMYFUNCTION("""COMPUTED_VALUE"""),"MICRO TIPO II ")</f>
        <v>MICRO TIPO II </v>
      </c>
      <c r="E369" s="11" t="str">
        <f>IFERROR(__xludf.DUMMYFUNCTION("""COMPUTED_VALUE"""),"MICRO TIPO III")</f>
        <v>MICRO TIPO III</v>
      </c>
      <c r="F369" s="11" t="str">
        <f>IFERROR(__xludf.DUMMYFUNCTION("""COMPUTED_VALUE"""),"IMPRESSORA MULTIFUNCIONAL MONOCROMÁTICO LASER –  PÁGINAS A4 ")</f>
        <v>IMPRESSORA MULTIFUNCIONAL MONOCROMÁTICO LASER –  PÁGINAS A4 </v>
      </c>
      <c r="G369" s="11" t="str">
        <f>IFERROR(__xludf.DUMMYFUNCTION("""COMPUTED_VALUE"""),"IMPRESSORA MONOCROMÁTICO LASER –  PÁGINAS A4 ")</f>
        <v>IMPRESSORA MONOCROMÁTICO LASER –  PÁGINAS A4 </v>
      </c>
      <c r="H369" s="11" t="str">
        <f>IFERROR(__xludf.DUMMYFUNCTION("""COMPUTED_VALUE"""),"IMPRESSORA MULTIFUNCIONAL JATO DE TINTA - PÁGINAS A4")</f>
        <v>IMPRESSORA MULTIFUNCIONAL JATO DE TINTA - PÁGINAS A4</v>
      </c>
      <c r="I369" s="11" t="str">
        <f>IFERROR(__xludf.DUMMYFUNCTION("""COMPUTED_VALUE"""),"No break 700 VA.")</f>
        <v>No break 700 VA.</v>
      </c>
    </row>
    <row r="370">
      <c r="A370" s="11" t="str">
        <f>IFERROR(__xludf.DUMMYFUNCTION("TRANSPOSE(FILTER(ITENS!$D:$D, ITENS!$A:$A = SERVICOS!$A371))"),"NOTEBOOK TIPO II")</f>
        <v>NOTEBOOK TIPO II</v>
      </c>
      <c r="B370" s="11" t="str">
        <f>IFERROR(__xludf.DUMMYFUNCTION("""COMPUTED_VALUE"""),"NOTEBOOK TIPO III")</f>
        <v>NOTEBOOK TIPO III</v>
      </c>
      <c r="C370" s="11" t="str">
        <f>IFERROR(__xludf.DUMMYFUNCTION("""COMPUTED_VALUE"""),"No Break 1200 VA")</f>
        <v>No Break 1200 VA</v>
      </c>
      <c r="D370" s="11" t="str">
        <f>IFERROR(__xludf.DUMMYFUNCTION("""COMPUTED_VALUE"""),"MICRO TIPO II ")</f>
        <v>MICRO TIPO II </v>
      </c>
      <c r="E370" s="11" t="str">
        <f>IFERROR(__xludf.DUMMYFUNCTION("""COMPUTED_VALUE"""),"MICRO TIPO III")</f>
        <v>MICRO TIPO III</v>
      </c>
      <c r="F370" s="11" t="str">
        <f>IFERROR(__xludf.DUMMYFUNCTION("""COMPUTED_VALUE"""),"IMPRESSORA MULTIFUNCIONAL MONOCROMÁTICO LASER –  PÁGINAS A4 ")</f>
        <v>IMPRESSORA MULTIFUNCIONAL MONOCROMÁTICO LASER –  PÁGINAS A4 </v>
      </c>
      <c r="G370" s="11" t="str">
        <f>IFERROR(__xludf.DUMMYFUNCTION("""COMPUTED_VALUE"""),"IMPRESSORA MONOCROMÁTICO LASER –  PÁGINAS A4 ")</f>
        <v>IMPRESSORA MONOCROMÁTICO LASER –  PÁGINAS A4 </v>
      </c>
      <c r="H370" s="11" t="str">
        <f>IFERROR(__xludf.DUMMYFUNCTION("""COMPUTED_VALUE"""),"IMPRESSORA MULTIFUNCIONAL JATO DE TINTA - PÁGINAS A4")</f>
        <v>IMPRESSORA MULTIFUNCIONAL JATO DE TINTA - PÁGINAS A4</v>
      </c>
      <c r="I370" s="11" t="str">
        <f>IFERROR(__xludf.DUMMYFUNCTION("""COMPUTED_VALUE"""),"No break 700 VA.")</f>
        <v>No break 700 VA.</v>
      </c>
    </row>
    <row r="371">
      <c r="A371" s="11" t="str">
        <f>IFERROR(__xludf.DUMMYFUNCTION("TRANSPOSE(FILTER(ITENS!$D:$D, ITENS!$A:$A = SERVICOS!$A372))"),"NOTEBOOK TIPO II")</f>
        <v>NOTEBOOK TIPO II</v>
      </c>
      <c r="B371" s="11" t="str">
        <f>IFERROR(__xludf.DUMMYFUNCTION("""COMPUTED_VALUE"""),"NOTEBOOK TIPO III")</f>
        <v>NOTEBOOK TIPO III</v>
      </c>
      <c r="C371" s="11" t="str">
        <f>IFERROR(__xludf.DUMMYFUNCTION("""COMPUTED_VALUE"""),"No Break 1200 VA")</f>
        <v>No Break 1200 VA</v>
      </c>
      <c r="D371" s="11" t="str">
        <f>IFERROR(__xludf.DUMMYFUNCTION("""COMPUTED_VALUE"""),"MICRO TIPO II ")</f>
        <v>MICRO TIPO II </v>
      </c>
      <c r="E371" s="11" t="str">
        <f>IFERROR(__xludf.DUMMYFUNCTION("""COMPUTED_VALUE"""),"MICRO TIPO III")</f>
        <v>MICRO TIPO III</v>
      </c>
      <c r="F371" s="11" t="str">
        <f>IFERROR(__xludf.DUMMYFUNCTION("""COMPUTED_VALUE"""),"IMPRESSORA MULTIFUNCIONAL MONOCROMÁTICO LASER –  PÁGINAS A4 ")</f>
        <v>IMPRESSORA MULTIFUNCIONAL MONOCROMÁTICO LASER –  PÁGINAS A4 </v>
      </c>
      <c r="G371" s="11" t="str">
        <f>IFERROR(__xludf.DUMMYFUNCTION("""COMPUTED_VALUE"""),"IMPRESSORA MONOCROMÁTICO LASER –  PÁGINAS A4 ")</f>
        <v>IMPRESSORA MONOCROMÁTICO LASER –  PÁGINAS A4 </v>
      </c>
      <c r="H371" s="11" t="str">
        <f>IFERROR(__xludf.DUMMYFUNCTION("""COMPUTED_VALUE"""),"IMPRESSORA MULTIFUNCIONAL JATO DE TINTA - PÁGINAS A4")</f>
        <v>IMPRESSORA MULTIFUNCIONAL JATO DE TINTA - PÁGINAS A4</v>
      </c>
      <c r="I371" s="11" t="str">
        <f>IFERROR(__xludf.DUMMYFUNCTION("""COMPUTED_VALUE"""),"No break 700 VA.")</f>
        <v>No break 700 VA.</v>
      </c>
    </row>
    <row r="372">
      <c r="A372" s="11" t="str">
        <f>IFERROR(__xludf.DUMMYFUNCTION("TRANSPOSE(FILTER(ITENS!$D:$D, ITENS!$A:$A = SERVICOS!$A373))"),"NOTEBOOK TIPO II")</f>
        <v>NOTEBOOK TIPO II</v>
      </c>
      <c r="B372" s="11" t="str">
        <f>IFERROR(__xludf.DUMMYFUNCTION("""COMPUTED_VALUE"""),"NOTEBOOK TIPO III")</f>
        <v>NOTEBOOK TIPO III</v>
      </c>
      <c r="C372" s="11" t="str">
        <f>IFERROR(__xludf.DUMMYFUNCTION("""COMPUTED_VALUE"""),"No Break 1200 VA")</f>
        <v>No Break 1200 VA</v>
      </c>
      <c r="D372" s="11" t="str">
        <f>IFERROR(__xludf.DUMMYFUNCTION("""COMPUTED_VALUE"""),"MICRO TIPO II ")</f>
        <v>MICRO TIPO II </v>
      </c>
      <c r="E372" s="11" t="str">
        <f>IFERROR(__xludf.DUMMYFUNCTION("""COMPUTED_VALUE"""),"MICRO TIPO III")</f>
        <v>MICRO TIPO III</v>
      </c>
      <c r="F372" s="11" t="str">
        <f>IFERROR(__xludf.DUMMYFUNCTION("""COMPUTED_VALUE"""),"IMPRESSORA MULTIFUNCIONAL MONOCROMÁTICO LASER –  PÁGINAS A4 ")</f>
        <v>IMPRESSORA MULTIFUNCIONAL MONOCROMÁTICO LASER –  PÁGINAS A4 </v>
      </c>
      <c r="G372" s="11" t="str">
        <f>IFERROR(__xludf.DUMMYFUNCTION("""COMPUTED_VALUE"""),"IMPRESSORA MONOCROMÁTICO LASER –  PÁGINAS A4 ")</f>
        <v>IMPRESSORA MONOCROMÁTICO LASER –  PÁGINAS A4 </v>
      </c>
      <c r="H372" s="11" t="str">
        <f>IFERROR(__xludf.DUMMYFUNCTION("""COMPUTED_VALUE"""),"IMPRESSORA MULTIFUNCIONAL JATO DE TINTA - PÁGINAS A4")</f>
        <v>IMPRESSORA MULTIFUNCIONAL JATO DE TINTA - PÁGINAS A4</v>
      </c>
      <c r="I372" s="11" t="str">
        <f>IFERROR(__xludf.DUMMYFUNCTION("""COMPUTED_VALUE"""),"No break 700 VA.")</f>
        <v>No break 700 VA.</v>
      </c>
    </row>
    <row r="373">
      <c r="A373" s="11" t="str">
        <f>IFERROR(__xludf.DUMMYFUNCTION("TRANSPOSE(FILTER(ITENS!$D:$D, ITENS!$A:$A = SERVICOS!$A374))"),"NOTEBOOK TIPO II")</f>
        <v>NOTEBOOK TIPO II</v>
      </c>
      <c r="B373" s="11" t="str">
        <f>IFERROR(__xludf.DUMMYFUNCTION("""COMPUTED_VALUE"""),"NOTEBOOK TIPO III")</f>
        <v>NOTEBOOK TIPO III</v>
      </c>
      <c r="C373" s="11" t="str">
        <f>IFERROR(__xludf.DUMMYFUNCTION("""COMPUTED_VALUE"""),"No Break 1200 VA")</f>
        <v>No Break 1200 VA</v>
      </c>
      <c r="D373" s="11" t="str">
        <f>IFERROR(__xludf.DUMMYFUNCTION("""COMPUTED_VALUE"""),"MICRO TIPO II ")</f>
        <v>MICRO TIPO II </v>
      </c>
      <c r="E373" s="11" t="str">
        <f>IFERROR(__xludf.DUMMYFUNCTION("""COMPUTED_VALUE"""),"MICRO TIPO III")</f>
        <v>MICRO TIPO III</v>
      </c>
      <c r="F373" s="11" t="str">
        <f>IFERROR(__xludf.DUMMYFUNCTION("""COMPUTED_VALUE"""),"IMPRESSORA MULTIFUNCIONAL MONOCROMÁTICO LASER –  PÁGINAS A4 ")</f>
        <v>IMPRESSORA MULTIFUNCIONAL MONOCROMÁTICO LASER –  PÁGINAS A4 </v>
      </c>
      <c r="G373" s="11" t="str">
        <f>IFERROR(__xludf.DUMMYFUNCTION("""COMPUTED_VALUE"""),"IMPRESSORA MONOCROMÁTICO LASER –  PÁGINAS A4 ")</f>
        <v>IMPRESSORA MONOCROMÁTICO LASER –  PÁGINAS A4 </v>
      </c>
      <c r="H373" s="11" t="str">
        <f>IFERROR(__xludf.DUMMYFUNCTION("""COMPUTED_VALUE"""),"IMPRESSORA MULTIFUNCIONAL JATO DE TINTA - PÁGINAS A4")</f>
        <v>IMPRESSORA MULTIFUNCIONAL JATO DE TINTA - PÁGINAS A4</v>
      </c>
      <c r="I373" s="11" t="str">
        <f>IFERROR(__xludf.DUMMYFUNCTION("""COMPUTED_VALUE"""),"No break 700 VA.")</f>
        <v>No break 700 VA.</v>
      </c>
    </row>
    <row r="374">
      <c r="A374" s="11" t="str">
        <f>IFERROR(__xludf.DUMMYFUNCTION("TRANSPOSE(FILTER(ITENS!$D:$D, ITENS!$A:$A = SERVICOS!$A375))"),"NOTEBOOK TIPO II")</f>
        <v>NOTEBOOK TIPO II</v>
      </c>
      <c r="B374" s="11" t="str">
        <f>IFERROR(__xludf.DUMMYFUNCTION("""COMPUTED_VALUE"""),"NOTEBOOK TIPO III")</f>
        <v>NOTEBOOK TIPO III</v>
      </c>
      <c r="C374" s="11" t="str">
        <f>IFERROR(__xludf.DUMMYFUNCTION("""COMPUTED_VALUE"""),"No Break 1200 VA")</f>
        <v>No Break 1200 VA</v>
      </c>
      <c r="D374" s="11" t="str">
        <f>IFERROR(__xludf.DUMMYFUNCTION("""COMPUTED_VALUE"""),"MICRO TIPO II ")</f>
        <v>MICRO TIPO II </v>
      </c>
      <c r="E374" s="11" t="str">
        <f>IFERROR(__xludf.DUMMYFUNCTION("""COMPUTED_VALUE"""),"MICRO TIPO III")</f>
        <v>MICRO TIPO III</v>
      </c>
      <c r="F374" s="11" t="str">
        <f>IFERROR(__xludf.DUMMYFUNCTION("""COMPUTED_VALUE"""),"IMPRESSORA MULTIFUNCIONAL MONOCROMÁTICO LASER –  PÁGINAS A4 ")</f>
        <v>IMPRESSORA MULTIFUNCIONAL MONOCROMÁTICO LASER –  PÁGINAS A4 </v>
      </c>
      <c r="G374" s="11" t="str">
        <f>IFERROR(__xludf.DUMMYFUNCTION("""COMPUTED_VALUE"""),"IMPRESSORA MONOCROMÁTICO LASER –  PÁGINAS A4 ")</f>
        <v>IMPRESSORA MONOCROMÁTICO LASER –  PÁGINAS A4 </v>
      </c>
      <c r="H374" s="11" t="str">
        <f>IFERROR(__xludf.DUMMYFUNCTION("""COMPUTED_VALUE"""),"IMPRESSORA MULTIFUNCIONAL JATO DE TINTA - PÁGINAS A4")</f>
        <v>IMPRESSORA MULTIFUNCIONAL JATO DE TINTA - PÁGINAS A4</v>
      </c>
      <c r="I374" s="11" t="str">
        <f>IFERROR(__xludf.DUMMYFUNCTION("""COMPUTED_VALUE"""),"No break 700 VA.")</f>
        <v>No break 700 VA.</v>
      </c>
    </row>
    <row r="375">
      <c r="A375" s="11" t="str">
        <f>IFERROR(__xludf.DUMMYFUNCTION("TRANSPOSE(FILTER(ITENS!$D:$D, ITENS!$A:$A = SERVICOS!$A376))"),"NOTEBOOK TIPO II")</f>
        <v>NOTEBOOK TIPO II</v>
      </c>
      <c r="B375" s="11" t="str">
        <f>IFERROR(__xludf.DUMMYFUNCTION("""COMPUTED_VALUE"""),"NOTEBOOK TIPO III")</f>
        <v>NOTEBOOK TIPO III</v>
      </c>
      <c r="C375" s="11" t="str">
        <f>IFERROR(__xludf.DUMMYFUNCTION("""COMPUTED_VALUE"""),"No Break 1200 VA")</f>
        <v>No Break 1200 VA</v>
      </c>
      <c r="D375" s="11" t="str">
        <f>IFERROR(__xludf.DUMMYFUNCTION("""COMPUTED_VALUE"""),"MICRO TIPO II ")</f>
        <v>MICRO TIPO II </v>
      </c>
      <c r="E375" s="11" t="str">
        <f>IFERROR(__xludf.DUMMYFUNCTION("""COMPUTED_VALUE"""),"MICRO TIPO III")</f>
        <v>MICRO TIPO III</v>
      </c>
      <c r="F375" s="11" t="str">
        <f>IFERROR(__xludf.DUMMYFUNCTION("""COMPUTED_VALUE"""),"IMPRESSORA MULTIFUNCIONAL MONOCROMÁTICO LASER –  PÁGINAS A4 ")</f>
        <v>IMPRESSORA MULTIFUNCIONAL MONOCROMÁTICO LASER –  PÁGINAS A4 </v>
      </c>
      <c r="G375" s="11" t="str">
        <f>IFERROR(__xludf.DUMMYFUNCTION("""COMPUTED_VALUE"""),"IMPRESSORA MONOCROMÁTICO LASER –  PÁGINAS A4 ")</f>
        <v>IMPRESSORA MONOCROMÁTICO LASER –  PÁGINAS A4 </v>
      </c>
      <c r="H375" s="11" t="str">
        <f>IFERROR(__xludf.DUMMYFUNCTION("""COMPUTED_VALUE"""),"IMPRESSORA MULTIFUNCIONAL JATO DE TINTA - PÁGINAS A4")</f>
        <v>IMPRESSORA MULTIFUNCIONAL JATO DE TINTA - PÁGINAS A4</v>
      </c>
      <c r="I375" s="11" t="str">
        <f>IFERROR(__xludf.DUMMYFUNCTION("""COMPUTED_VALUE"""),"No break 700 VA.")</f>
        <v>No break 700 VA.</v>
      </c>
    </row>
    <row r="376">
      <c r="A376" s="11" t="str">
        <f>IFERROR(__xludf.DUMMYFUNCTION("TRANSPOSE(FILTER(ITENS!$D:$D, ITENS!$A:$A = SERVICOS!$A377))"),"NOTEBOOK TIPO II")</f>
        <v>NOTEBOOK TIPO II</v>
      </c>
      <c r="B376" s="11" t="str">
        <f>IFERROR(__xludf.DUMMYFUNCTION("""COMPUTED_VALUE"""),"NOTEBOOK TIPO III")</f>
        <v>NOTEBOOK TIPO III</v>
      </c>
      <c r="C376" s="11" t="str">
        <f>IFERROR(__xludf.DUMMYFUNCTION("""COMPUTED_VALUE"""),"No Break 1200 VA")</f>
        <v>No Break 1200 VA</v>
      </c>
      <c r="D376" s="11" t="str">
        <f>IFERROR(__xludf.DUMMYFUNCTION("""COMPUTED_VALUE"""),"MICRO TIPO II ")</f>
        <v>MICRO TIPO II </v>
      </c>
      <c r="E376" s="11" t="str">
        <f>IFERROR(__xludf.DUMMYFUNCTION("""COMPUTED_VALUE"""),"MICRO TIPO III")</f>
        <v>MICRO TIPO III</v>
      </c>
      <c r="F376" s="11" t="str">
        <f>IFERROR(__xludf.DUMMYFUNCTION("""COMPUTED_VALUE"""),"IMPRESSORA MULTIFUNCIONAL MONOCROMÁTICO LASER –  PÁGINAS A4 ")</f>
        <v>IMPRESSORA MULTIFUNCIONAL MONOCROMÁTICO LASER –  PÁGINAS A4 </v>
      </c>
      <c r="G376" s="11" t="str">
        <f>IFERROR(__xludf.DUMMYFUNCTION("""COMPUTED_VALUE"""),"IMPRESSORA MONOCROMÁTICO LASER –  PÁGINAS A4 ")</f>
        <v>IMPRESSORA MONOCROMÁTICO LASER –  PÁGINAS A4 </v>
      </c>
      <c r="H376" s="11" t="str">
        <f>IFERROR(__xludf.DUMMYFUNCTION("""COMPUTED_VALUE"""),"IMPRESSORA MULTIFUNCIONAL JATO DE TINTA - PÁGINAS A4")</f>
        <v>IMPRESSORA MULTIFUNCIONAL JATO DE TINTA - PÁGINAS A4</v>
      </c>
      <c r="I376" s="11" t="str">
        <f>IFERROR(__xludf.DUMMYFUNCTION("""COMPUTED_VALUE"""),"No break 700 VA.")</f>
        <v>No break 700 VA.</v>
      </c>
    </row>
    <row r="377">
      <c r="A377" s="11" t="str">
        <f>IFERROR(__xludf.DUMMYFUNCTION("TRANSPOSE(FILTER(ITENS!$D:$D, ITENS!$A:$A = SERVICOS!$A378))"),"NOTEBOOK TIPO I")</f>
        <v>NOTEBOOK TIPO I</v>
      </c>
      <c r="B377" s="11" t="str">
        <f>IFERROR(__xludf.DUMMYFUNCTION("""COMPUTED_VALUE"""),"NOTEBOOK TIPO II")</f>
        <v>NOTEBOOK TIPO II</v>
      </c>
      <c r="C377" s="11" t="str">
        <f>IFERROR(__xludf.DUMMYFUNCTION("""COMPUTED_VALUE"""),"NOTEBOOK TIPO III")</f>
        <v>NOTEBOOK TIPO III</v>
      </c>
      <c r="D377" s="11" t="str">
        <f>IFERROR(__xludf.DUMMYFUNCTION("""COMPUTED_VALUE"""),"MICRO TIPO I")</f>
        <v>MICRO TIPO I</v>
      </c>
      <c r="E377" s="11" t="str">
        <f>IFERROR(__xludf.DUMMYFUNCTION("""COMPUTED_VALUE"""),"MICRO TIPO II ")</f>
        <v>MICRO TIPO II </v>
      </c>
      <c r="F377" s="11" t="str">
        <f>IFERROR(__xludf.DUMMYFUNCTION("""COMPUTED_VALUE"""),"MICRO TIPO III")</f>
        <v>MICRO TIPO III</v>
      </c>
      <c r="G377" s="11" t="str">
        <f>IFERROR(__xludf.DUMMYFUNCTION("""COMPUTED_VALUE"""),"IMPRESSORA MULTIFUNCIONAL MONOCROMÁTICO LASER –  PÁGINAS A4 ")</f>
        <v>IMPRESSORA MULTIFUNCIONAL MONOCROMÁTICO LASER –  PÁGINAS A4 </v>
      </c>
      <c r="H377" s="11" t="str">
        <f>IFERROR(__xludf.DUMMYFUNCTION("""COMPUTED_VALUE"""),"IMPRESSORA MULTIFUNCIONAL JATO DE TINTA - PÁGINAS A4")</f>
        <v>IMPRESSORA MULTIFUNCIONAL JATO DE TINTA - PÁGINAS A4</v>
      </c>
      <c r="I377" s="11" t="str">
        <f>IFERROR(__xludf.DUMMYFUNCTION("""COMPUTED_VALUE"""),"SWITCH 16 PORTAS")</f>
        <v>SWITCH 16 PORTAS</v>
      </c>
      <c r="J377" s="11" t="str">
        <f>IFERROR(__xludf.DUMMYFUNCTION("""COMPUTED_VALUE"""),"No break 700 VA.")</f>
        <v>No break 700 VA.</v>
      </c>
      <c r="K377" s="11" t="str">
        <f>IFERROR(__xludf.DUMMYFUNCTION("""COMPUTED_VALUE"""),"ACESS POINT")</f>
        <v>ACESS POINT</v>
      </c>
      <c r="L377" s="11" t="str">
        <f>IFERROR(__xludf.DUMMYFUNCTION("""COMPUTED_VALUE"""),"SWTICH 48 PORTAS")</f>
        <v>SWTICH 48 PORTAS</v>
      </c>
      <c r="M377" s="11" t="str">
        <f>IFERROR(__xludf.DUMMYFUNCTION("""COMPUTED_VALUE"""),"SWITCH 8 PORTAS")</f>
        <v>SWITCH 8 PORTAS</v>
      </c>
    </row>
    <row r="378">
      <c r="A378" s="11" t="str">
        <f>IFERROR(__xludf.DUMMYFUNCTION("TRANSPOSE(FILTER(ITENS!$D:$D, ITENS!$A:$A = SERVICOS!$A379))"),"NOTEBOOK TIPO I")</f>
        <v>NOTEBOOK TIPO I</v>
      </c>
      <c r="B378" s="11" t="str">
        <f>IFERROR(__xludf.DUMMYFUNCTION("""COMPUTED_VALUE"""),"NOTEBOOK TIPO II")</f>
        <v>NOTEBOOK TIPO II</v>
      </c>
      <c r="C378" s="11" t="str">
        <f>IFERROR(__xludf.DUMMYFUNCTION("""COMPUTED_VALUE"""),"NOTEBOOK TIPO III")</f>
        <v>NOTEBOOK TIPO III</v>
      </c>
      <c r="D378" s="11" t="str">
        <f>IFERROR(__xludf.DUMMYFUNCTION("""COMPUTED_VALUE"""),"MICRO TIPO I")</f>
        <v>MICRO TIPO I</v>
      </c>
      <c r="E378" s="11" t="str">
        <f>IFERROR(__xludf.DUMMYFUNCTION("""COMPUTED_VALUE"""),"MICRO TIPO II ")</f>
        <v>MICRO TIPO II </v>
      </c>
      <c r="F378" s="11" t="str">
        <f>IFERROR(__xludf.DUMMYFUNCTION("""COMPUTED_VALUE"""),"MICRO TIPO III")</f>
        <v>MICRO TIPO III</v>
      </c>
      <c r="G378" s="11" t="str">
        <f>IFERROR(__xludf.DUMMYFUNCTION("""COMPUTED_VALUE"""),"IMPRESSORA MULTIFUNCIONAL MONOCROMÁTICO LASER –  PÁGINAS A4 ")</f>
        <v>IMPRESSORA MULTIFUNCIONAL MONOCROMÁTICO LASER –  PÁGINAS A4 </v>
      </c>
      <c r="H378" s="11" t="str">
        <f>IFERROR(__xludf.DUMMYFUNCTION("""COMPUTED_VALUE"""),"IMPRESSORA MULTIFUNCIONAL JATO DE TINTA - PÁGINAS A4")</f>
        <v>IMPRESSORA MULTIFUNCIONAL JATO DE TINTA - PÁGINAS A4</v>
      </c>
      <c r="I378" s="11" t="str">
        <f>IFERROR(__xludf.DUMMYFUNCTION("""COMPUTED_VALUE"""),"SWITCH 16 PORTAS")</f>
        <v>SWITCH 16 PORTAS</v>
      </c>
      <c r="J378" s="11" t="str">
        <f>IFERROR(__xludf.DUMMYFUNCTION("""COMPUTED_VALUE"""),"No break 700 VA.")</f>
        <v>No break 700 VA.</v>
      </c>
      <c r="K378" s="11" t="str">
        <f>IFERROR(__xludf.DUMMYFUNCTION("""COMPUTED_VALUE"""),"ACESS POINT")</f>
        <v>ACESS POINT</v>
      </c>
      <c r="L378" s="11" t="str">
        <f>IFERROR(__xludf.DUMMYFUNCTION("""COMPUTED_VALUE"""),"SWTICH 48 PORTAS")</f>
        <v>SWTICH 48 PORTAS</v>
      </c>
      <c r="M378" s="11" t="str">
        <f>IFERROR(__xludf.DUMMYFUNCTION("""COMPUTED_VALUE"""),"SWITCH 8 PORTAS")</f>
        <v>SWITCH 8 PORTAS</v>
      </c>
    </row>
    <row r="379">
      <c r="A379" s="11" t="str">
        <f>IFERROR(__xludf.DUMMYFUNCTION("TRANSPOSE(FILTER(ITENS!$D:$D, ITENS!$A:$A = SERVICOS!$A380))"),"NOTEBOOK TIPO I")</f>
        <v>NOTEBOOK TIPO I</v>
      </c>
      <c r="B379" s="11" t="str">
        <f>IFERROR(__xludf.DUMMYFUNCTION("""COMPUTED_VALUE"""),"NOTEBOOK TIPO II")</f>
        <v>NOTEBOOK TIPO II</v>
      </c>
      <c r="C379" s="11" t="str">
        <f>IFERROR(__xludf.DUMMYFUNCTION("""COMPUTED_VALUE"""),"NOTEBOOK TIPO III")</f>
        <v>NOTEBOOK TIPO III</v>
      </c>
      <c r="D379" s="11" t="str">
        <f>IFERROR(__xludf.DUMMYFUNCTION("""COMPUTED_VALUE"""),"MICRO TIPO I")</f>
        <v>MICRO TIPO I</v>
      </c>
      <c r="E379" s="11" t="str">
        <f>IFERROR(__xludf.DUMMYFUNCTION("""COMPUTED_VALUE"""),"MICRO TIPO II ")</f>
        <v>MICRO TIPO II </v>
      </c>
      <c r="F379" s="11" t="str">
        <f>IFERROR(__xludf.DUMMYFUNCTION("""COMPUTED_VALUE"""),"MICRO TIPO III")</f>
        <v>MICRO TIPO III</v>
      </c>
      <c r="G379" s="11" t="str">
        <f>IFERROR(__xludf.DUMMYFUNCTION("""COMPUTED_VALUE"""),"IMPRESSORA MULTIFUNCIONAL MONOCROMÁTICO LASER –  PÁGINAS A4 ")</f>
        <v>IMPRESSORA MULTIFUNCIONAL MONOCROMÁTICO LASER –  PÁGINAS A4 </v>
      </c>
      <c r="H379" s="11" t="str">
        <f>IFERROR(__xludf.DUMMYFUNCTION("""COMPUTED_VALUE"""),"IMPRESSORA MULTIFUNCIONAL JATO DE TINTA - PÁGINAS A4")</f>
        <v>IMPRESSORA MULTIFUNCIONAL JATO DE TINTA - PÁGINAS A4</v>
      </c>
      <c r="I379" s="11" t="str">
        <f>IFERROR(__xludf.DUMMYFUNCTION("""COMPUTED_VALUE"""),"SWITCH 16 PORTAS")</f>
        <v>SWITCH 16 PORTAS</v>
      </c>
      <c r="J379" s="11" t="str">
        <f>IFERROR(__xludf.DUMMYFUNCTION("""COMPUTED_VALUE"""),"No break 700 VA.")</f>
        <v>No break 700 VA.</v>
      </c>
      <c r="K379" s="11" t="str">
        <f>IFERROR(__xludf.DUMMYFUNCTION("""COMPUTED_VALUE"""),"ACESS POINT")</f>
        <v>ACESS POINT</v>
      </c>
      <c r="L379" s="11" t="str">
        <f>IFERROR(__xludf.DUMMYFUNCTION("""COMPUTED_VALUE"""),"SWTICH 48 PORTAS")</f>
        <v>SWTICH 48 PORTAS</v>
      </c>
      <c r="M379" s="11" t="str">
        <f>IFERROR(__xludf.DUMMYFUNCTION("""COMPUTED_VALUE"""),"SWITCH 8 PORTAS")</f>
        <v>SWITCH 8 PORTAS</v>
      </c>
    </row>
    <row r="380">
      <c r="A380" s="11" t="str">
        <f>IFERROR(__xludf.DUMMYFUNCTION("TRANSPOSE(FILTER(ITENS!$D:$D, ITENS!$A:$A = SERVICOS!$A381))"),"NOTEBOOK TIPO I")</f>
        <v>NOTEBOOK TIPO I</v>
      </c>
      <c r="B380" s="11" t="str">
        <f>IFERROR(__xludf.DUMMYFUNCTION("""COMPUTED_VALUE"""),"NOTEBOOK TIPO II")</f>
        <v>NOTEBOOK TIPO II</v>
      </c>
      <c r="C380" s="11" t="str">
        <f>IFERROR(__xludf.DUMMYFUNCTION("""COMPUTED_VALUE"""),"NOTEBOOK TIPO III")</f>
        <v>NOTEBOOK TIPO III</v>
      </c>
      <c r="D380" s="11" t="str">
        <f>IFERROR(__xludf.DUMMYFUNCTION("""COMPUTED_VALUE"""),"MICRO TIPO I")</f>
        <v>MICRO TIPO I</v>
      </c>
      <c r="E380" s="11" t="str">
        <f>IFERROR(__xludf.DUMMYFUNCTION("""COMPUTED_VALUE"""),"MICRO TIPO II ")</f>
        <v>MICRO TIPO II </v>
      </c>
      <c r="F380" s="11" t="str">
        <f>IFERROR(__xludf.DUMMYFUNCTION("""COMPUTED_VALUE"""),"MICRO TIPO III")</f>
        <v>MICRO TIPO III</v>
      </c>
      <c r="G380" s="11" t="str">
        <f>IFERROR(__xludf.DUMMYFUNCTION("""COMPUTED_VALUE"""),"IMPRESSORA MULTIFUNCIONAL MONOCROMÁTICO LASER –  PÁGINAS A4 ")</f>
        <v>IMPRESSORA MULTIFUNCIONAL MONOCROMÁTICO LASER –  PÁGINAS A4 </v>
      </c>
      <c r="H380" s="11" t="str">
        <f>IFERROR(__xludf.DUMMYFUNCTION("""COMPUTED_VALUE"""),"IMPRESSORA MULTIFUNCIONAL JATO DE TINTA - PÁGINAS A4")</f>
        <v>IMPRESSORA MULTIFUNCIONAL JATO DE TINTA - PÁGINAS A4</v>
      </c>
      <c r="I380" s="11" t="str">
        <f>IFERROR(__xludf.DUMMYFUNCTION("""COMPUTED_VALUE"""),"SWITCH 16 PORTAS")</f>
        <v>SWITCH 16 PORTAS</v>
      </c>
      <c r="J380" s="11" t="str">
        <f>IFERROR(__xludf.DUMMYFUNCTION("""COMPUTED_VALUE"""),"No break 700 VA.")</f>
        <v>No break 700 VA.</v>
      </c>
      <c r="K380" s="11" t="str">
        <f>IFERROR(__xludf.DUMMYFUNCTION("""COMPUTED_VALUE"""),"ACESS POINT")</f>
        <v>ACESS POINT</v>
      </c>
      <c r="L380" s="11" t="str">
        <f>IFERROR(__xludf.DUMMYFUNCTION("""COMPUTED_VALUE"""),"SWTICH 48 PORTAS")</f>
        <v>SWTICH 48 PORTAS</v>
      </c>
      <c r="M380" s="11" t="str">
        <f>IFERROR(__xludf.DUMMYFUNCTION("""COMPUTED_VALUE"""),"SWITCH 8 PORTAS")</f>
        <v>SWITCH 8 PORTAS</v>
      </c>
    </row>
    <row r="381">
      <c r="A381" s="11" t="str">
        <f>IFERROR(__xludf.DUMMYFUNCTION("TRANSPOSE(FILTER(ITENS!$D:$D, ITENS!$A:$A = SERVICOS!$A382))"),"NOTEBOOK TIPO I")</f>
        <v>NOTEBOOK TIPO I</v>
      </c>
      <c r="B381" s="11" t="str">
        <f>IFERROR(__xludf.DUMMYFUNCTION("""COMPUTED_VALUE"""),"NOTEBOOK TIPO II")</f>
        <v>NOTEBOOK TIPO II</v>
      </c>
      <c r="C381" s="11" t="str">
        <f>IFERROR(__xludf.DUMMYFUNCTION("""COMPUTED_VALUE"""),"NOTEBOOK TIPO III")</f>
        <v>NOTEBOOK TIPO III</v>
      </c>
      <c r="D381" s="11" t="str">
        <f>IFERROR(__xludf.DUMMYFUNCTION("""COMPUTED_VALUE"""),"MICRO TIPO I")</f>
        <v>MICRO TIPO I</v>
      </c>
      <c r="E381" s="11" t="str">
        <f>IFERROR(__xludf.DUMMYFUNCTION("""COMPUTED_VALUE"""),"MICRO TIPO II ")</f>
        <v>MICRO TIPO II </v>
      </c>
      <c r="F381" s="11" t="str">
        <f>IFERROR(__xludf.DUMMYFUNCTION("""COMPUTED_VALUE"""),"MICRO TIPO III")</f>
        <v>MICRO TIPO III</v>
      </c>
      <c r="G381" s="11" t="str">
        <f>IFERROR(__xludf.DUMMYFUNCTION("""COMPUTED_VALUE"""),"IMPRESSORA MULTIFUNCIONAL MONOCROMÁTICO LASER –  PÁGINAS A4 ")</f>
        <v>IMPRESSORA MULTIFUNCIONAL MONOCROMÁTICO LASER –  PÁGINAS A4 </v>
      </c>
      <c r="H381" s="11" t="str">
        <f>IFERROR(__xludf.DUMMYFUNCTION("""COMPUTED_VALUE"""),"IMPRESSORA MULTIFUNCIONAL JATO DE TINTA - PÁGINAS A4")</f>
        <v>IMPRESSORA MULTIFUNCIONAL JATO DE TINTA - PÁGINAS A4</v>
      </c>
      <c r="I381" s="11" t="str">
        <f>IFERROR(__xludf.DUMMYFUNCTION("""COMPUTED_VALUE"""),"SWITCH 16 PORTAS")</f>
        <v>SWITCH 16 PORTAS</v>
      </c>
      <c r="J381" s="11" t="str">
        <f>IFERROR(__xludf.DUMMYFUNCTION("""COMPUTED_VALUE"""),"No break 700 VA.")</f>
        <v>No break 700 VA.</v>
      </c>
      <c r="K381" s="11" t="str">
        <f>IFERROR(__xludf.DUMMYFUNCTION("""COMPUTED_VALUE"""),"ACESS POINT")</f>
        <v>ACESS POINT</v>
      </c>
      <c r="L381" s="11" t="str">
        <f>IFERROR(__xludf.DUMMYFUNCTION("""COMPUTED_VALUE"""),"SWTICH 48 PORTAS")</f>
        <v>SWTICH 48 PORTAS</v>
      </c>
      <c r="M381" s="11" t="str">
        <f>IFERROR(__xludf.DUMMYFUNCTION("""COMPUTED_VALUE"""),"SWITCH 8 PORTAS")</f>
        <v>SWITCH 8 PORTAS</v>
      </c>
    </row>
    <row r="382">
      <c r="A382" s="11" t="str">
        <f>IFERROR(__xludf.DUMMYFUNCTION("TRANSPOSE(FILTER(ITENS!$D:$D, ITENS!$A:$A = SERVICOS!$A383))"),"NOTEBOOK TIPO I")</f>
        <v>NOTEBOOK TIPO I</v>
      </c>
      <c r="B382" s="11" t="str">
        <f>IFERROR(__xludf.DUMMYFUNCTION("""COMPUTED_VALUE"""),"NOTEBOOK TIPO II")</f>
        <v>NOTEBOOK TIPO II</v>
      </c>
      <c r="C382" s="11" t="str">
        <f>IFERROR(__xludf.DUMMYFUNCTION("""COMPUTED_VALUE"""),"NOTEBOOK TIPO III")</f>
        <v>NOTEBOOK TIPO III</v>
      </c>
      <c r="D382" s="11" t="str">
        <f>IFERROR(__xludf.DUMMYFUNCTION("""COMPUTED_VALUE"""),"MICRO TIPO I")</f>
        <v>MICRO TIPO I</v>
      </c>
      <c r="E382" s="11" t="str">
        <f>IFERROR(__xludf.DUMMYFUNCTION("""COMPUTED_VALUE"""),"MICRO TIPO II ")</f>
        <v>MICRO TIPO II </v>
      </c>
      <c r="F382" s="11" t="str">
        <f>IFERROR(__xludf.DUMMYFUNCTION("""COMPUTED_VALUE"""),"MICRO TIPO III")</f>
        <v>MICRO TIPO III</v>
      </c>
      <c r="G382" s="11" t="str">
        <f>IFERROR(__xludf.DUMMYFUNCTION("""COMPUTED_VALUE"""),"IMPRESSORA MULTIFUNCIONAL MONOCROMÁTICO LASER –  PÁGINAS A4 ")</f>
        <v>IMPRESSORA MULTIFUNCIONAL MONOCROMÁTICO LASER –  PÁGINAS A4 </v>
      </c>
      <c r="H382" s="11" t="str">
        <f>IFERROR(__xludf.DUMMYFUNCTION("""COMPUTED_VALUE"""),"IMPRESSORA MULTIFUNCIONAL JATO DE TINTA - PÁGINAS A4")</f>
        <v>IMPRESSORA MULTIFUNCIONAL JATO DE TINTA - PÁGINAS A4</v>
      </c>
      <c r="I382" s="11" t="str">
        <f>IFERROR(__xludf.DUMMYFUNCTION("""COMPUTED_VALUE"""),"SWITCH 16 PORTAS")</f>
        <v>SWITCH 16 PORTAS</v>
      </c>
      <c r="J382" s="11" t="str">
        <f>IFERROR(__xludf.DUMMYFUNCTION("""COMPUTED_VALUE"""),"No break 700 VA.")</f>
        <v>No break 700 VA.</v>
      </c>
      <c r="K382" s="11" t="str">
        <f>IFERROR(__xludf.DUMMYFUNCTION("""COMPUTED_VALUE"""),"ACESS POINT")</f>
        <v>ACESS POINT</v>
      </c>
      <c r="L382" s="11" t="str">
        <f>IFERROR(__xludf.DUMMYFUNCTION("""COMPUTED_VALUE"""),"SWTICH 48 PORTAS")</f>
        <v>SWTICH 48 PORTAS</v>
      </c>
      <c r="M382" s="11" t="str">
        <f>IFERROR(__xludf.DUMMYFUNCTION("""COMPUTED_VALUE"""),"SWITCH 8 PORTAS")</f>
        <v>SWITCH 8 PORTAS</v>
      </c>
    </row>
    <row r="383">
      <c r="A383" s="11" t="str">
        <f>IFERROR(__xludf.DUMMYFUNCTION("TRANSPOSE(FILTER(ITENS!$D:$D, ITENS!$A:$A = SERVICOS!$A384))"),"NOTEBOOK TIPO I")</f>
        <v>NOTEBOOK TIPO I</v>
      </c>
      <c r="B383" s="11" t="str">
        <f>IFERROR(__xludf.DUMMYFUNCTION("""COMPUTED_VALUE"""),"NOTEBOOK TIPO II")</f>
        <v>NOTEBOOK TIPO II</v>
      </c>
      <c r="C383" s="11" t="str">
        <f>IFERROR(__xludf.DUMMYFUNCTION("""COMPUTED_VALUE"""),"NOTEBOOK TIPO III")</f>
        <v>NOTEBOOK TIPO III</v>
      </c>
      <c r="D383" s="11" t="str">
        <f>IFERROR(__xludf.DUMMYFUNCTION("""COMPUTED_VALUE"""),"MICRO TIPO I")</f>
        <v>MICRO TIPO I</v>
      </c>
      <c r="E383" s="11" t="str">
        <f>IFERROR(__xludf.DUMMYFUNCTION("""COMPUTED_VALUE"""),"MICRO TIPO II ")</f>
        <v>MICRO TIPO II </v>
      </c>
      <c r="F383" s="11" t="str">
        <f>IFERROR(__xludf.DUMMYFUNCTION("""COMPUTED_VALUE"""),"MICRO TIPO III")</f>
        <v>MICRO TIPO III</v>
      </c>
      <c r="G383" s="11" t="str">
        <f>IFERROR(__xludf.DUMMYFUNCTION("""COMPUTED_VALUE"""),"IMPRESSORA MULTIFUNCIONAL MONOCROMÁTICO LASER –  PÁGINAS A4 ")</f>
        <v>IMPRESSORA MULTIFUNCIONAL MONOCROMÁTICO LASER –  PÁGINAS A4 </v>
      </c>
      <c r="H383" s="11" t="str">
        <f>IFERROR(__xludf.DUMMYFUNCTION("""COMPUTED_VALUE"""),"IMPRESSORA MULTIFUNCIONAL JATO DE TINTA - PÁGINAS A4")</f>
        <v>IMPRESSORA MULTIFUNCIONAL JATO DE TINTA - PÁGINAS A4</v>
      </c>
      <c r="I383" s="11" t="str">
        <f>IFERROR(__xludf.DUMMYFUNCTION("""COMPUTED_VALUE"""),"SWITCH 16 PORTAS")</f>
        <v>SWITCH 16 PORTAS</v>
      </c>
      <c r="J383" s="11" t="str">
        <f>IFERROR(__xludf.DUMMYFUNCTION("""COMPUTED_VALUE"""),"No break 700 VA.")</f>
        <v>No break 700 VA.</v>
      </c>
      <c r="K383" s="11" t="str">
        <f>IFERROR(__xludf.DUMMYFUNCTION("""COMPUTED_VALUE"""),"ACESS POINT")</f>
        <v>ACESS POINT</v>
      </c>
      <c r="L383" s="11" t="str">
        <f>IFERROR(__xludf.DUMMYFUNCTION("""COMPUTED_VALUE"""),"SWTICH 48 PORTAS")</f>
        <v>SWTICH 48 PORTAS</v>
      </c>
      <c r="M383" s="11" t="str">
        <f>IFERROR(__xludf.DUMMYFUNCTION("""COMPUTED_VALUE"""),"SWITCH 8 PORTAS")</f>
        <v>SWITCH 8 PORTAS</v>
      </c>
    </row>
    <row r="384">
      <c r="A384" s="11" t="str">
        <f>IFERROR(__xludf.DUMMYFUNCTION("TRANSPOSE(FILTER(ITENS!$D:$D, ITENS!$A:$A = SERVICOS!$A385))"),"NOTEBOOK TIPO I")</f>
        <v>NOTEBOOK TIPO I</v>
      </c>
      <c r="B384" s="11" t="str">
        <f>IFERROR(__xludf.DUMMYFUNCTION("""COMPUTED_VALUE"""),"NOTEBOOK TIPO II")</f>
        <v>NOTEBOOK TIPO II</v>
      </c>
      <c r="C384" s="11" t="str">
        <f>IFERROR(__xludf.DUMMYFUNCTION("""COMPUTED_VALUE"""),"NOTEBOOK TIPO III")</f>
        <v>NOTEBOOK TIPO III</v>
      </c>
      <c r="D384" s="11" t="str">
        <f>IFERROR(__xludf.DUMMYFUNCTION("""COMPUTED_VALUE"""),"MICRO TIPO I")</f>
        <v>MICRO TIPO I</v>
      </c>
      <c r="E384" s="11" t="str">
        <f>IFERROR(__xludf.DUMMYFUNCTION("""COMPUTED_VALUE"""),"MICRO TIPO II ")</f>
        <v>MICRO TIPO II </v>
      </c>
      <c r="F384" s="11" t="str">
        <f>IFERROR(__xludf.DUMMYFUNCTION("""COMPUTED_VALUE"""),"MICRO TIPO III")</f>
        <v>MICRO TIPO III</v>
      </c>
      <c r="G384" s="11" t="str">
        <f>IFERROR(__xludf.DUMMYFUNCTION("""COMPUTED_VALUE"""),"IMPRESSORA MULTIFUNCIONAL MONOCROMÁTICO LASER –  PÁGINAS A4 ")</f>
        <v>IMPRESSORA MULTIFUNCIONAL MONOCROMÁTICO LASER –  PÁGINAS A4 </v>
      </c>
      <c r="H384" s="11" t="str">
        <f>IFERROR(__xludf.DUMMYFUNCTION("""COMPUTED_VALUE"""),"IMPRESSORA MULTIFUNCIONAL JATO DE TINTA - PÁGINAS A4")</f>
        <v>IMPRESSORA MULTIFUNCIONAL JATO DE TINTA - PÁGINAS A4</v>
      </c>
      <c r="I384" s="11" t="str">
        <f>IFERROR(__xludf.DUMMYFUNCTION("""COMPUTED_VALUE"""),"SWITCH 16 PORTAS")</f>
        <v>SWITCH 16 PORTAS</v>
      </c>
      <c r="J384" s="11" t="str">
        <f>IFERROR(__xludf.DUMMYFUNCTION("""COMPUTED_VALUE"""),"No break 700 VA.")</f>
        <v>No break 700 VA.</v>
      </c>
      <c r="K384" s="11" t="str">
        <f>IFERROR(__xludf.DUMMYFUNCTION("""COMPUTED_VALUE"""),"ACESS POINT")</f>
        <v>ACESS POINT</v>
      </c>
      <c r="L384" s="11" t="str">
        <f>IFERROR(__xludf.DUMMYFUNCTION("""COMPUTED_VALUE"""),"SWTICH 48 PORTAS")</f>
        <v>SWTICH 48 PORTAS</v>
      </c>
      <c r="M384" s="11" t="str">
        <f>IFERROR(__xludf.DUMMYFUNCTION("""COMPUTED_VALUE"""),"SWITCH 8 PORTAS")</f>
        <v>SWITCH 8 PORTAS</v>
      </c>
    </row>
    <row r="385">
      <c r="A385" s="11" t="str">
        <f>IFERROR(__xludf.DUMMYFUNCTION("TRANSPOSE(FILTER(ITENS!$D:$D, ITENS!$A:$A = SERVICOS!$A386))"),"NOTEBOOK TIPO I")</f>
        <v>NOTEBOOK TIPO I</v>
      </c>
      <c r="B385" s="11" t="str">
        <f>IFERROR(__xludf.DUMMYFUNCTION("""COMPUTED_VALUE"""),"NOTEBOOK TIPO II")</f>
        <v>NOTEBOOK TIPO II</v>
      </c>
      <c r="C385" s="11" t="str">
        <f>IFERROR(__xludf.DUMMYFUNCTION("""COMPUTED_VALUE"""),"NOTEBOOK TIPO III")</f>
        <v>NOTEBOOK TIPO III</v>
      </c>
      <c r="D385" s="11" t="str">
        <f>IFERROR(__xludf.DUMMYFUNCTION("""COMPUTED_VALUE"""),"MICRO TIPO I")</f>
        <v>MICRO TIPO I</v>
      </c>
      <c r="E385" s="11" t="str">
        <f>IFERROR(__xludf.DUMMYFUNCTION("""COMPUTED_VALUE"""),"MICRO TIPO II ")</f>
        <v>MICRO TIPO II </v>
      </c>
      <c r="F385" s="11" t="str">
        <f>IFERROR(__xludf.DUMMYFUNCTION("""COMPUTED_VALUE"""),"MICRO TIPO III")</f>
        <v>MICRO TIPO III</v>
      </c>
      <c r="G385" s="11" t="str">
        <f>IFERROR(__xludf.DUMMYFUNCTION("""COMPUTED_VALUE"""),"IMPRESSORA MULTIFUNCIONAL MONOCROMÁTICO LASER –  PÁGINAS A4 ")</f>
        <v>IMPRESSORA MULTIFUNCIONAL MONOCROMÁTICO LASER –  PÁGINAS A4 </v>
      </c>
      <c r="H385" s="11" t="str">
        <f>IFERROR(__xludf.DUMMYFUNCTION("""COMPUTED_VALUE"""),"IMPRESSORA MULTIFUNCIONAL JATO DE TINTA - PÁGINAS A4")</f>
        <v>IMPRESSORA MULTIFUNCIONAL JATO DE TINTA - PÁGINAS A4</v>
      </c>
      <c r="I385" s="11" t="str">
        <f>IFERROR(__xludf.DUMMYFUNCTION("""COMPUTED_VALUE"""),"SWITCH 16 PORTAS")</f>
        <v>SWITCH 16 PORTAS</v>
      </c>
      <c r="J385" s="11" t="str">
        <f>IFERROR(__xludf.DUMMYFUNCTION("""COMPUTED_VALUE"""),"No break 700 VA.")</f>
        <v>No break 700 VA.</v>
      </c>
      <c r="K385" s="11" t="str">
        <f>IFERROR(__xludf.DUMMYFUNCTION("""COMPUTED_VALUE"""),"ACESS POINT")</f>
        <v>ACESS POINT</v>
      </c>
      <c r="L385" s="11" t="str">
        <f>IFERROR(__xludf.DUMMYFUNCTION("""COMPUTED_VALUE"""),"SWTICH 48 PORTAS")</f>
        <v>SWTICH 48 PORTAS</v>
      </c>
      <c r="M385" s="11" t="str">
        <f>IFERROR(__xludf.DUMMYFUNCTION("""COMPUTED_VALUE"""),"SWITCH 8 PORTAS")</f>
        <v>SWITCH 8 PORTAS</v>
      </c>
    </row>
    <row r="386">
      <c r="A386" s="11" t="str">
        <f>IFERROR(__xludf.DUMMYFUNCTION("TRANSPOSE(FILTER(ITENS!$D:$D, ITENS!$A:$A = SERVICOS!$A387))"),"NOTEBOOK TIPO I")</f>
        <v>NOTEBOOK TIPO I</v>
      </c>
      <c r="B386" s="11" t="str">
        <f>IFERROR(__xludf.DUMMYFUNCTION("""COMPUTED_VALUE"""),"NOTEBOOK TIPO II")</f>
        <v>NOTEBOOK TIPO II</v>
      </c>
      <c r="C386" s="11" t="str">
        <f>IFERROR(__xludf.DUMMYFUNCTION("""COMPUTED_VALUE"""),"NOTEBOOK TIPO III")</f>
        <v>NOTEBOOK TIPO III</v>
      </c>
      <c r="D386" s="11" t="str">
        <f>IFERROR(__xludf.DUMMYFUNCTION("""COMPUTED_VALUE"""),"MICRO TIPO I")</f>
        <v>MICRO TIPO I</v>
      </c>
      <c r="E386" s="11" t="str">
        <f>IFERROR(__xludf.DUMMYFUNCTION("""COMPUTED_VALUE"""),"MICRO TIPO II ")</f>
        <v>MICRO TIPO II </v>
      </c>
      <c r="F386" s="11" t="str">
        <f>IFERROR(__xludf.DUMMYFUNCTION("""COMPUTED_VALUE"""),"MICRO TIPO III")</f>
        <v>MICRO TIPO III</v>
      </c>
      <c r="G386" s="11" t="str">
        <f>IFERROR(__xludf.DUMMYFUNCTION("""COMPUTED_VALUE"""),"IMPRESSORA MULTIFUNCIONAL MONOCROMÁTICO LASER –  PÁGINAS A4 ")</f>
        <v>IMPRESSORA MULTIFUNCIONAL MONOCROMÁTICO LASER –  PÁGINAS A4 </v>
      </c>
      <c r="H386" s="11" t="str">
        <f>IFERROR(__xludf.DUMMYFUNCTION("""COMPUTED_VALUE"""),"IMPRESSORA MULTIFUNCIONAL JATO DE TINTA - PÁGINAS A4")</f>
        <v>IMPRESSORA MULTIFUNCIONAL JATO DE TINTA - PÁGINAS A4</v>
      </c>
      <c r="I386" s="11" t="str">
        <f>IFERROR(__xludf.DUMMYFUNCTION("""COMPUTED_VALUE"""),"SWITCH 16 PORTAS")</f>
        <v>SWITCH 16 PORTAS</v>
      </c>
      <c r="J386" s="11" t="str">
        <f>IFERROR(__xludf.DUMMYFUNCTION("""COMPUTED_VALUE"""),"No break 700 VA.")</f>
        <v>No break 700 VA.</v>
      </c>
      <c r="K386" s="11" t="str">
        <f>IFERROR(__xludf.DUMMYFUNCTION("""COMPUTED_VALUE"""),"ACESS POINT")</f>
        <v>ACESS POINT</v>
      </c>
      <c r="L386" s="11" t="str">
        <f>IFERROR(__xludf.DUMMYFUNCTION("""COMPUTED_VALUE"""),"SWTICH 48 PORTAS")</f>
        <v>SWTICH 48 PORTAS</v>
      </c>
      <c r="M386" s="11" t="str">
        <f>IFERROR(__xludf.DUMMYFUNCTION("""COMPUTED_VALUE"""),"SWITCH 8 PORTAS")</f>
        <v>SWITCH 8 PORTAS</v>
      </c>
    </row>
    <row r="387">
      <c r="A387" s="11" t="str">
        <f>IFERROR(__xludf.DUMMYFUNCTION("TRANSPOSE(FILTER(ITENS!$D:$D, ITENS!$A:$A = SERVICOS!$A388))"),"NOTEBOOK TIPO I")</f>
        <v>NOTEBOOK TIPO I</v>
      </c>
      <c r="B387" s="11" t="str">
        <f>IFERROR(__xludf.DUMMYFUNCTION("""COMPUTED_VALUE"""),"NOTEBOOK TIPO II")</f>
        <v>NOTEBOOK TIPO II</v>
      </c>
      <c r="C387" s="11" t="str">
        <f>IFERROR(__xludf.DUMMYFUNCTION("""COMPUTED_VALUE"""),"NOTEBOOK TIPO III")</f>
        <v>NOTEBOOK TIPO III</v>
      </c>
      <c r="D387" s="11" t="str">
        <f>IFERROR(__xludf.DUMMYFUNCTION("""COMPUTED_VALUE"""),"MICRO TIPO I")</f>
        <v>MICRO TIPO I</v>
      </c>
      <c r="E387" s="11" t="str">
        <f>IFERROR(__xludf.DUMMYFUNCTION("""COMPUTED_VALUE"""),"MICRO TIPO II ")</f>
        <v>MICRO TIPO II </v>
      </c>
      <c r="F387" s="11" t="str">
        <f>IFERROR(__xludf.DUMMYFUNCTION("""COMPUTED_VALUE"""),"MICRO TIPO III")</f>
        <v>MICRO TIPO III</v>
      </c>
      <c r="G387" s="11" t="str">
        <f>IFERROR(__xludf.DUMMYFUNCTION("""COMPUTED_VALUE"""),"IMPRESSORA MULTIFUNCIONAL MONOCROMÁTICO LASER –  PÁGINAS A4 ")</f>
        <v>IMPRESSORA MULTIFUNCIONAL MONOCROMÁTICO LASER –  PÁGINAS A4 </v>
      </c>
      <c r="H387" s="11" t="str">
        <f>IFERROR(__xludf.DUMMYFUNCTION("""COMPUTED_VALUE"""),"IMPRESSORA MULTIFUNCIONAL JATO DE TINTA - PÁGINAS A4")</f>
        <v>IMPRESSORA MULTIFUNCIONAL JATO DE TINTA - PÁGINAS A4</v>
      </c>
      <c r="I387" s="11" t="str">
        <f>IFERROR(__xludf.DUMMYFUNCTION("""COMPUTED_VALUE"""),"SWITCH 16 PORTAS")</f>
        <v>SWITCH 16 PORTAS</v>
      </c>
      <c r="J387" s="11" t="str">
        <f>IFERROR(__xludf.DUMMYFUNCTION("""COMPUTED_VALUE"""),"No break 700 VA.")</f>
        <v>No break 700 VA.</v>
      </c>
      <c r="K387" s="11" t="str">
        <f>IFERROR(__xludf.DUMMYFUNCTION("""COMPUTED_VALUE"""),"ACESS POINT")</f>
        <v>ACESS POINT</v>
      </c>
      <c r="L387" s="11" t="str">
        <f>IFERROR(__xludf.DUMMYFUNCTION("""COMPUTED_VALUE"""),"SWTICH 48 PORTAS")</f>
        <v>SWTICH 48 PORTAS</v>
      </c>
      <c r="M387" s="11" t="str">
        <f>IFERROR(__xludf.DUMMYFUNCTION("""COMPUTED_VALUE"""),"SWITCH 8 PORTAS")</f>
        <v>SWITCH 8 PORTAS</v>
      </c>
    </row>
    <row r="388">
      <c r="A388" s="11" t="str">
        <f>IFERROR(__xludf.DUMMYFUNCTION("TRANSPOSE(FILTER(ITENS!$D:$D, ITENS!$A:$A = SERVICOS!$A389))"),"NOTEBOOK TIPO I")</f>
        <v>NOTEBOOK TIPO I</v>
      </c>
      <c r="B388" s="11" t="str">
        <f>IFERROR(__xludf.DUMMYFUNCTION("""COMPUTED_VALUE"""),"NOTEBOOK TIPO II")</f>
        <v>NOTEBOOK TIPO II</v>
      </c>
      <c r="C388" s="11" t="str">
        <f>IFERROR(__xludf.DUMMYFUNCTION("""COMPUTED_VALUE"""),"NOTEBOOK TIPO III")</f>
        <v>NOTEBOOK TIPO III</v>
      </c>
      <c r="D388" s="11" t="str">
        <f>IFERROR(__xludf.DUMMYFUNCTION("""COMPUTED_VALUE"""),"MICRO TIPO I")</f>
        <v>MICRO TIPO I</v>
      </c>
      <c r="E388" s="11" t="str">
        <f>IFERROR(__xludf.DUMMYFUNCTION("""COMPUTED_VALUE"""),"MICRO TIPO II ")</f>
        <v>MICRO TIPO II </v>
      </c>
      <c r="F388" s="11" t="str">
        <f>IFERROR(__xludf.DUMMYFUNCTION("""COMPUTED_VALUE"""),"MICRO TIPO III")</f>
        <v>MICRO TIPO III</v>
      </c>
      <c r="G388" s="11" t="str">
        <f>IFERROR(__xludf.DUMMYFUNCTION("""COMPUTED_VALUE"""),"IMPRESSORA MULTIFUNCIONAL MONOCROMÁTICO LASER –  PÁGINAS A4 ")</f>
        <v>IMPRESSORA MULTIFUNCIONAL MONOCROMÁTICO LASER –  PÁGINAS A4 </v>
      </c>
      <c r="H388" s="11" t="str">
        <f>IFERROR(__xludf.DUMMYFUNCTION("""COMPUTED_VALUE"""),"IMPRESSORA MULTIFUNCIONAL JATO DE TINTA - PÁGINAS A4")</f>
        <v>IMPRESSORA MULTIFUNCIONAL JATO DE TINTA - PÁGINAS A4</v>
      </c>
      <c r="I388" s="11" t="str">
        <f>IFERROR(__xludf.DUMMYFUNCTION("""COMPUTED_VALUE"""),"SWITCH 16 PORTAS")</f>
        <v>SWITCH 16 PORTAS</v>
      </c>
      <c r="J388" s="11" t="str">
        <f>IFERROR(__xludf.DUMMYFUNCTION("""COMPUTED_VALUE"""),"No break 700 VA.")</f>
        <v>No break 700 VA.</v>
      </c>
      <c r="K388" s="11" t="str">
        <f>IFERROR(__xludf.DUMMYFUNCTION("""COMPUTED_VALUE"""),"ACESS POINT")</f>
        <v>ACESS POINT</v>
      </c>
      <c r="L388" s="11" t="str">
        <f>IFERROR(__xludf.DUMMYFUNCTION("""COMPUTED_VALUE"""),"SWTICH 48 PORTAS")</f>
        <v>SWTICH 48 PORTAS</v>
      </c>
      <c r="M388" s="11" t="str">
        <f>IFERROR(__xludf.DUMMYFUNCTION("""COMPUTED_VALUE"""),"SWITCH 8 PORTAS")</f>
        <v>SWITCH 8 PORTAS</v>
      </c>
    </row>
    <row r="389">
      <c r="A389" s="11" t="str">
        <f>IFERROR(__xludf.DUMMYFUNCTION("TRANSPOSE(FILTER(ITENS!$D:$D, ITENS!$A:$A = SERVICOS!$A390))"),"MULTIFUNCIONAL COPIADORA, IMPRESSORA,
SCANNER ")</f>
        <v>MULTIFUNCIONAL COPIADORA, IMPRESSORA,
SCANNER </v>
      </c>
      <c r="B389" s="11" t="str">
        <f>IFERROR(__xludf.DUMMYFUNCTION("""COMPUTED_VALUE"""),"MULTIFUNCIONAL JATO DE TINTA COLORIDO ")</f>
        <v>MULTIFUNCIONAL JATO DE TINTA COLORIDO </v>
      </c>
    </row>
    <row r="390">
      <c r="A390" s="11" t="str">
        <f>IFERROR(__xludf.DUMMYFUNCTION("TRANSPOSE(FILTER(ITENS!$D:$D, ITENS!$A:$A = SERVICOS!$A391))"),"MULTIFUNCIONAL COPIADORA, IMPRESSORA,
SCANNER ")</f>
        <v>MULTIFUNCIONAL COPIADORA, IMPRESSORA,
SCANNER </v>
      </c>
      <c r="B390" s="11" t="str">
        <f>IFERROR(__xludf.DUMMYFUNCTION("""COMPUTED_VALUE"""),"MULTIFUNCIONAL JATO DE TINTA COLORIDO ")</f>
        <v>MULTIFUNCIONAL JATO DE TINTA COLORIDO </v>
      </c>
    </row>
    <row r="391">
      <c r="A391" s="11" t="str">
        <f>IFERROR(__xludf.DUMMYFUNCTION("TRANSPOSE(FILTER(ITENS!$D:$D, ITENS!$A:$A = SERVICOS!$A392))"),"MULTIFUNCIONAL COPIADORA, IMPRESSORA,
SCANNER ")</f>
        <v>MULTIFUNCIONAL COPIADORA, IMPRESSORA,
SCANNER </v>
      </c>
      <c r="B391" s="11" t="str">
        <f>IFERROR(__xludf.DUMMYFUNCTION("""COMPUTED_VALUE"""),"MULTIFUNCIONAL JATO DE TINTA COLORIDO ")</f>
        <v>MULTIFUNCIONAL JATO DE TINTA COLORIDO </v>
      </c>
    </row>
    <row r="392">
      <c r="A392" s="11" t="str">
        <f>IFERROR(__xludf.DUMMYFUNCTION("TRANSPOSE(FILTER(ITENS!$D:$D, ITENS!$A:$A = SERVICOS!$A393))"),"MULTIFUNCIONAL COPIADORA, IMPRESSORA,
SCANNER ")</f>
        <v>MULTIFUNCIONAL COPIADORA, IMPRESSORA,
SCANNER </v>
      </c>
      <c r="B392" s="11" t="str">
        <f>IFERROR(__xludf.DUMMYFUNCTION("""COMPUTED_VALUE"""),"MULTIFUNCIONAL COPIADORA, IMPRESSORA,
SCANNER ")</f>
        <v>MULTIFUNCIONAL COPIADORA, IMPRESSORA,
SCANNER </v>
      </c>
    </row>
    <row r="393">
      <c r="A393" s="11" t="str">
        <f>IFERROR(__xludf.DUMMYFUNCTION("TRANSPOSE(FILTER(ITENS!$D:$D, ITENS!$A:$A = SERVICOS!$A394))"),"MULTIFUNCIONAL COPIADORA, IMPRESSORA,
SCANNER ")</f>
        <v>MULTIFUNCIONAL COPIADORA, IMPRESSORA,
SCANNER </v>
      </c>
      <c r="B393" s="11" t="str">
        <f>IFERROR(__xludf.DUMMYFUNCTION("""COMPUTED_VALUE"""),"MULTIFUNCIONAL COPIADORA, IMPRESSORA,
SCANNER ")</f>
        <v>MULTIFUNCIONAL COPIADORA, IMPRESSORA,
SCANNER </v>
      </c>
    </row>
    <row r="394">
      <c r="A394" s="11" t="str">
        <f>IFERROR(__xludf.DUMMYFUNCTION("TRANSPOSE(FILTER(ITENS!$D:$D, ITENS!$A:$A = SERVICOS!$A395))"),"MULTIFUNCIONAL COPIADORA, IMPRESSORA,
SCANNER ")</f>
        <v>MULTIFUNCIONAL COPIADORA, IMPRESSORA,
SCANNER </v>
      </c>
      <c r="B394" s="11" t="str">
        <f>IFERROR(__xludf.DUMMYFUNCTION("""COMPUTED_VALUE"""),"MULTIFUNCIONAL JATO DE TINTA COLORIDO")</f>
        <v>MULTIFUNCIONAL JATO DE TINTA COLORIDO</v>
      </c>
    </row>
    <row r="395">
      <c r="A395" s="11" t="str">
        <f>IFERROR(__xludf.DUMMYFUNCTION("TRANSPOSE(FILTER(ITENS!$D:$D, ITENS!$A:$A = SERVICOS!$A396))"),"MULTIFUNCIONAL COPIADORA, IMPRESSORA,
SCANNER ")</f>
        <v>MULTIFUNCIONAL COPIADORA, IMPRESSORA,
SCANNER </v>
      </c>
      <c r="B395" s="11" t="str">
        <f>IFERROR(__xludf.DUMMYFUNCTION("""COMPUTED_VALUE"""),"MULTIFUNCIONAL JATO DE TINTA COLORIDO")</f>
        <v>MULTIFUNCIONAL JATO DE TINTA COLORIDO</v>
      </c>
    </row>
    <row r="396">
      <c r="A396" s="11" t="str">
        <f>IFERROR(__xludf.DUMMYFUNCTION("TRANSPOSE(FILTER(ITENS!$D:$D, ITENS!$A:$A = SERVICOS!$A397))"),"MULTIFUNCIONAL COPIADORA, IMPRESSORA,
SCANNER ")</f>
        <v>MULTIFUNCIONAL COPIADORA, IMPRESSORA,
SCANNER </v>
      </c>
    </row>
    <row r="397">
      <c r="A397" s="11" t="str">
        <f>IFERROR(__xludf.DUMMYFUNCTION("TRANSPOSE(FILTER(ITENS!$D:$D, ITENS!$A:$A = SERVICOS!$A398))"),"MULTIFUNCIONAL JATO DE TINTA COLORIDO")</f>
        <v>MULTIFUNCIONAL JATO DE TINTA COLORIDO</v>
      </c>
    </row>
    <row r="398">
      <c r="A398" s="11" t="str">
        <f>IFERROR(__xludf.DUMMYFUNCTION("TRANSPOSE(FILTER(ITENS!$D:$D, ITENS!$A:$A = SERVICOS!$A399))"),"MULTIFUNCIONAL COPIADORA, IMPRESSORA,
SCANNER ")</f>
        <v>MULTIFUNCIONAL COPIADORA, IMPRESSORA,
SCANNER </v>
      </c>
    </row>
    <row r="399">
      <c r="A399" s="11" t="str">
        <f>IFERROR(__xludf.DUMMYFUNCTION("TRANSPOSE(FILTER(ITENS!$D:$D, ITENS!$A:$A = SERVICOS!$A400))"),"MULTIFUNCIONAL COPIADORA, IMPRESSORA,
SCANNER ")</f>
        <v>MULTIFUNCIONAL COPIADORA, IMPRESSORA,
SCANNER </v>
      </c>
    </row>
    <row r="400">
      <c r="A400" s="11" t="str">
        <f>IFERROR(__xludf.DUMMYFUNCTION("TRANSPOSE(FILTER(ITENS!$D:$D, ITENS!$A:$A = SERVICOS!$A401))"),"MULTIFUNCIONAL COPIADORA, IMPRESSORA,
SCANNER ")</f>
        <v>MULTIFUNCIONAL COPIADORA, IMPRESSORA,
SCANNER </v>
      </c>
    </row>
    <row r="401">
      <c r="A401" s="11" t="str">
        <f>IFERROR(__xludf.DUMMYFUNCTION("TRANSPOSE(FILTER(ITENS!$D:$D, ITENS!$A:$A = SERVICOS!$A402))"),"MULTIFUNCIONAL COPIADORA, IMPRESSORA,
SCANNER ")</f>
        <v>MULTIFUNCIONAL COPIADORA, IMPRESSORA,
SCANNER </v>
      </c>
      <c r="B401" s="11" t="str">
        <f>IFERROR(__xludf.DUMMYFUNCTION("""COMPUTED_VALUE"""),"MULTIFUNCIONAL COPIADORA, IMPRESSORA,
SCANNER ")</f>
        <v>MULTIFUNCIONAL COPIADORA, IMPRESSORA,
SCANNER </v>
      </c>
    </row>
    <row r="402">
      <c r="A402" s="11" t="str">
        <f>IFERROR(__xludf.DUMMYFUNCTION("TRANSPOSE(FILTER(ITENS!$D:$D, ITENS!$A:$A = SERVICOS!$A403))"),"MULTIFUNCIONAL COPIADORA, IMPRESSORA,
SCANNER ")</f>
        <v>MULTIFUNCIONAL COPIADORA, IMPRESSORA,
SCANNER </v>
      </c>
      <c r="B402" s="11" t="str">
        <f>IFERROR(__xludf.DUMMYFUNCTION("""COMPUTED_VALUE"""),"MULTIFUNCIONAL COPIADORA, IMPRESSORA,
SCANNER ")</f>
        <v>MULTIFUNCIONAL COPIADORA, IMPRESSORA,
SCANNER </v>
      </c>
    </row>
    <row r="403">
      <c r="A403" s="11" t="str">
        <f>IFERROR(__xludf.DUMMYFUNCTION("TRANSPOSE(FILTER(ITENS!$D:$D, ITENS!$A:$A = SERVICOS!$A404))"),"MULTIFUNCIONAL COPIADORA, IMPRESSORA,
SCANNER ")</f>
        <v>MULTIFUNCIONAL COPIADORA, IMPRESSORA,
SCANNER </v>
      </c>
    </row>
    <row r="404">
      <c r="A404" s="11" t="str">
        <f>IFERROR(__xludf.DUMMYFUNCTION("TRANSPOSE(FILTER(ITENS!$D:$D, ITENS!$A:$A = SERVICOS!$A405))"),"IMPRESSORA MULTIFUNCIONAL MONOCROMÁTICA")</f>
        <v>IMPRESSORA MULTIFUNCIONAL MONOCROMÁTICA</v>
      </c>
      <c r="B404" s="11" t="str">
        <f>IFERROR(__xludf.DUMMYFUNCTION("""COMPUTED_VALUE"""),"IMPRESSORA MULTIFUNCIONAL POLICROMÁTICA")</f>
        <v>IMPRESSORA MULTIFUNCIONAL POLICROMÁTICA</v>
      </c>
    </row>
    <row r="405">
      <c r="A405" s="11" t="str">
        <f>IFERROR(__xludf.DUMMYFUNCTION("TRANSPOSE(FILTER(ITENS!$D:$D, ITENS!$A:$A = SERVICOS!$A406))"),"IMPRESSORA MULTIFUNCIONAL MONOCROMÁTICA")</f>
        <v>IMPRESSORA MULTIFUNCIONAL MONOCROMÁTICA</v>
      </c>
      <c r="B405" s="11" t="str">
        <f>IFERROR(__xludf.DUMMYFUNCTION("""COMPUTED_VALUE"""),"IMPRESSORA MULTIFUNCIONAL POLICROMÁTICA")</f>
        <v>IMPRESSORA MULTIFUNCIONAL POLICROMÁTICA</v>
      </c>
    </row>
    <row r="406">
      <c r="A406" s="11" t="str">
        <f>IFERROR(__xludf.DUMMYFUNCTION("TRANSPOSE(FILTER(ITENS!$D:$D, ITENS!$A:$A = SERVICOS!$A407))"),"IMPRESSORA MULTIFUNCIONAL MONOCROMÁTICA")</f>
        <v>IMPRESSORA MULTIFUNCIONAL MONOCROMÁTICA</v>
      </c>
      <c r="B406" s="11" t="str">
        <f>IFERROR(__xludf.DUMMYFUNCTION("""COMPUTED_VALUE"""),"IMPRESSORA MULTIFUNCIONAL POLICROMÁTICA")</f>
        <v>IMPRESSORA MULTIFUNCIONAL POLICROMÁTICA</v>
      </c>
    </row>
    <row r="407">
      <c r="A407" s="11" t="str">
        <f>IFERROR(__xludf.DUMMYFUNCTION("TRANSPOSE(FILTER(ITENS!$D:$D, ITENS!$A:$A = SERVICOS!$A408))"),"IMPRESSORA MULTIFUNCIONAL MONOCROMÁTICA")</f>
        <v>IMPRESSORA MULTIFUNCIONAL MONOCROMÁTICA</v>
      </c>
      <c r="B407" s="11" t="str">
        <f>IFERROR(__xludf.DUMMYFUNCTION("""COMPUTED_VALUE"""),"IMPRESSORA MULTIFUNCIONAL POLICROMÁTICA")</f>
        <v>IMPRESSORA MULTIFUNCIONAL POLICROMÁTICA</v>
      </c>
    </row>
    <row r="408">
      <c r="A408" s="11" t="str">
        <f>IFERROR(__xludf.DUMMYFUNCTION("TRANSPOSE(FILTER(ITENS!$D:$D, ITENS!$A:$A = SERVICOS!$A409))"),"IMPRESSORA MULTIFUNCIONAL MONOCROMÁTICA")</f>
        <v>IMPRESSORA MULTIFUNCIONAL MONOCROMÁTICA</v>
      </c>
      <c r="B408" s="11" t="str">
        <f>IFERROR(__xludf.DUMMYFUNCTION("""COMPUTED_VALUE"""),"IMPRESSORA MULTIFUNCIONAL POLICROMÁTICA")</f>
        <v>IMPRESSORA MULTIFUNCIONAL POLICROMÁTICA</v>
      </c>
    </row>
    <row r="409">
      <c r="A409" s="11" t="str">
        <f>IFERROR(__xludf.DUMMYFUNCTION("TRANSPOSE(FILTER(ITENS!$D:$D, ITENS!$A:$A = SERVICOS!$A410))"),"IMPRESSORA MULTIFUNCIONAL MONOCROMÁTICA")</f>
        <v>IMPRESSORA MULTIFUNCIONAL MONOCROMÁTICA</v>
      </c>
      <c r="B409" s="11" t="str">
        <f>IFERROR(__xludf.DUMMYFUNCTION("""COMPUTED_VALUE"""),"IMPRESSORA MULTIFUNCIONAL POLICROMÁTICA")</f>
        <v>IMPRESSORA MULTIFUNCIONAL POLICROMÁTICA</v>
      </c>
    </row>
    <row r="410">
      <c r="A410" s="11" t="str">
        <f>IFERROR(__xludf.DUMMYFUNCTION("TRANSPOSE(FILTER(ITENS!$D:$D, ITENS!$A:$A = SERVICOS!$A411))"),"IMPRESSORA MULTIFUNCIONAL MONOCROMÁTICA")</f>
        <v>IMPRESSORA MULTIFUNCIONAL MONOCROMÁTICA</v>
      </c>
      <c r="B410" s="11" t="str">
        <f>IFERROR(__xludf.DUMMYFUNCTION("""COMPUTED_VALUE"""),"IMPRESSORA MULTIFUNCIONAL POLICROMÁTICA")</f>
        <v>IMPRESSORA MULTIFUNCIONAL POLICROMÁTICA</v>
      </c>
    </row>
    <row r="411">
      <c r="A411" s="11" t="str">
        <f>IFERROR(__xludf.DUMMYFUNCTION("TRANSPOSE(FILTER(ITENS!$D:$D, ITENS!$A:$A = SERVICOS!$A412))"),"IMPRESSORA MULTIFUNCIONAL MONOCROMÁTICA")</f>
        <v>IMPRESSORA MULTIFUNCIONAL MONOCROMÁTICA</v>
      </c>
      <c r="B411" s="11" t="str">
        <f>IFERROR(__xludf.DUMMYFUNCTION("""COMPUTED_VALUE"""),"IMPRESSORA MULTIFUNCIONAL POLICROMÁTICA")</f>
        <v>IMPRESSORA MULTIFUNCIONAL POLICROMÁTICA</v>
      </c>
    </row>
    <row r="412">
      <c r="A412" s="11" t="str">
        <f>IFERROR(__xludf.DUMMYFUNCTION("TRANSPOSE(FILTER(ITENS!$D:$D, ITENS!$A:$A = SERVICOS!$A413))"),"IMPRESSORA MULTIFUNCIONAL MONOCROMÁTICA")</f>
        <v>IMPRESSORA MULTIFUNCIONAL MONOCROMÁTICA</v>
      </c>
      <c r="B412" s="11" t="str">
        <f>IFERROR(__xludf.DUMMYFUNCTION("""COMPUTED_VALUE"""),"IMPRESSORA MULTIFUNCIONAL POLICROMÁTICA")</f>
        <v>IMPRESSORA MULTIFUNCIONAL POLICROMÁTICA</v>
      </c>
    </row>
    <row r="413">
      <c r="A413" s="11" t="str">
        <f>IFERROR(__xludf.DUMMYFUNCTION("TRANSPOSE(FILTER(ITENS!$D:$D, ITENS!$A:$A = SERVICOS!$A414))"),"IMPRESSORA MULTIFUNCIONAL MONOCROMÁTICA")</f>
        <v>IMPRESSORA MULTIFUNCIONAL MONOCROMÁTICA</v>
      </c>
      <c r="B413" s="11" t="str">
        <f>IFERROR(__xludf.DUMMYFUNCTION("""COMPUTED_VALUE"""),"IMPRESSORA MULTIFUNCIONAL POLICROMÁTICA")</f>
        <v>IMPRESSORA MULTIFUNCIONAL POLICROMÁTICA</v>
      </c>
    </row>
    <row r="414">
      <c r="A414" s="11" t="str">
        <f>IFERROR(__xludf.DUMMYFUNCTION("TRANSPOSE(FILTER(ITENS!$D:$D, ITENS!$A:$A = SERVICOS!$A415))"),"IMPRESSORA MULTIFUNCIONAL MONOCROMÁTICA")</f>
        <v>IMPRESSORA MULTIFUNCIONAL MONOCROMÁTICA</v>
      </c>
      <c r="B414" s="11" t="str">
        <f>IFERROR(__xludf.DUMMYFUNCTION("""COMPUTED_VALUE"""),"IMPRESSORA MULTIFUNCIONAL POLICROMÁTICA")</f>
        <v>IMPRESSORA MULTIFUNCIONAL POLICROMÁTICA</v>
      </c>
    </row>
    <row r="415">
      <c r="A415" s="11" t="str">
        <f>IFERROR(__xludf.DUMMYFUNCTION("TRANSPOSE(FILTER(ITENS!$D:$D, ITENS!$A:$A = SERVICOS!$A416))"),"IMPRESSORA MULTIFUNCIONAL MONOCROMÁTICA")</f>
        <v>IMPRESSORA MULTIFUNCIONAL MONOCROMÁTICA</v>
      </c>
      <c r="B415" s="11" t="str">
        <f>IFERROR(__xludf.DUMMYFUNCTION("""COMPUTED_VALUE"""),"IMPRESSORA MULTIFUNCIONAL POLICROMÁTICA")</f>
        <v>IMPRESSORA MULTIFUNCIONAL POLICROMÁTICA</v>
      </c>
    </row>
    <row r="416">
      <c r="A416" s="11" t="str">
        <f>IFERROR(__xludf.DUMMYFUNCTION("TRANSPOSE(FILTER(ITENS!$D:$D, ITENS!$A:$A = SERVICOS!$A417))"),"IMPRESSORA MULTIFUNCIONAL MONOCROMÁTICA")</f>
        <v>IMPRESSORA MULTIFUNCIONAL MONOCROMÁTICA</v>
      </c>
      <c r="B416" s="11" t="str">
        <f>IFERROR(__xludf.DUMMYFUNCTION("""COMPUTED_VALUE"""),"IMPRESSORA MULTIFUNCIONAL POLICROMÁTICA")</f>
        <v>IMPRESSORA MULTIFUNCIONAL POLICROMÁTICA</v>
      </c>
    </row>
    <row r="417">
      <c r="A417" s="11" t="str">
        <f>IFERROR(__xludf.DUMMYFUNCTION("TRANSPOSE(FILTER(ITENS!$D:$D, ITENS!$A:$A = SERVICOS!$A418))"),"IMPRESSORA MULTIFUNCIONAL MONOCROMÁTICA")</f>
        <v>IMPRESSORA MULTIFUNCIONAL MONOCROMÁTICA</v>
      </c>
      <c r="B417" s="11" t="str">
        <f>IFERROR(__xludf.DUMMYFUNCTION("""COMPUTED_VALUE"""),"IMPRESSORA MULTIFUNCIONAL POLICROMÁTICA")</f>
        <v>IMPRESSORA MULTIFUNCIONAL POLICROMÁTICA</v>
      </c>
    </row>
    <row r="418">
      <c r="A418" s="11" t="str">
        <f>IFERROR(__xludf.DUMMYFUNCTION("TRANSPOSE(FILTER(ITENS!$D:$D, ITENS!$A:$A = SERVICOS!$A419))"),"IMPRESSORA MULTIFUNCIONAL MONOCROMÁTICA")</f>
        <v>IMPRESSORA MULTIFUNCIONAL MONOCROMÁTICA</v>
      </c>
      <c r="B418" s="11" t="str">
        <f>IFERROR(__xludf.DUMMYFUNCTION("""COMPUTED_VALUE"""),"IMPRESSORA MULTIFUNCIONAL POLICROMÁTICA")</f>
        <v>IMPRESSORA MULTIFUNCIONAL POLICROMÁTICA</v>
      </c>
    </row>
    <row r="419">
      <c r="A419" s="11" t="str">
        <f>IFERROR(__xludf.DUMMYFUNCTION("TRANSPOSE(FILTER(ITENS!$D:$D, ITENS!$A:$A = SERVICOS!$A420))"),"IMPRESSORA MULTIFUNCIONAL MONOCROMÁTICA")</f>
        <v>IMPRESSORA MULTIFUNCIONAL MONOCROMÁTICA</v>
      </c>
      <c r="B419" s="11" t="str">
        <f>IFERROR(__xludf.DUMMYFUNCTION("""COMPUTED_VALUE"""),"IMPRESSORA MULTIFUNCIONAL POLICROMÁTICA")</f>
        <v>IMPRESSORA MULTIFUNCIONAL POLICROMÁTICA</v>
      </c>
    </row>
    <row r="420">
      <c r="A420" s="11" t="str">
        <f>IFERROR(__xludf.DUMMYFUNCTION("TRANSPOSE(FILTER(ITENS!$D:$D, ITENS!$A:$A = SERVICOS!$A421))"),"IMPRESSORA MULTIFUNCIONAL MONOCROMÁTICA")</f>
        <v>IMPRESSORA MULTIFUNCIONAL MONOCROMÁTICA</v>
      </c>
      <c r="B420" s="11" t="str">
        <f>IFERROR(__xludf.DUMMYFUNCTION("""COMPUTED_VALUE"""),"IMPRESSORA MULTIFUNCIONAL POLICROMÁTICA")</f>
        <v>IMPRESSORA MULTIFUNCIONAL POLICROMÁTICA</v>
      </c>
    </row>
    <row r="421">
      <c r="A421" s="11" t="str">
        <f>IFERROR(__xludf.DUMMYFUNCTION("TRANSPOSE(FILTER(ITENS!$D:$D, ITENS!$A:$A = SERVICOS!$A422))"),"IMPRESSORA MULTIFUNCIONAL MONOCROMÁTICA")</f>
        <v>IMPRESSORA MULTIFUNCIONAL MONOCROMÁTICA</v>
      </c>
      <c r="B421" s="11" t="str">
        <f>IFERROR(__xludf.DUMMYFUNCTION("""COMPUTED_VALUE"""),"IMPRESSORA MULTIFUNCIONAL POLICROMÁTICA")</f>
        <v>IMPRESSORA MULTIFUNCIONAL POLICROMÁTICA</v>
      </c>
    </row>
    <row r="422">
      <c r="A422" s="11" t="str">
        <f>IFERROR(__xludf.DUMMYFUNCTION("TRANSPOSE(FILTER(ITENS!$D:$D, ITENS!$A:$A = SERVICOS!$A423))"),"IMPRESSORA MULTIFUNCIONAL MONOCROMÁTICA")</f>
        <v>IMPRESSORA MULTIFUNCIONAL MONOCROMÁTICA</v>
      </c>
      <c r="B422" s="11" t="str">
        <f>IFERROR(__xludf.DUMMYFUNCTION("""COMPUTED_VALUE"""),"IMPRESSORA MULTIFUNCIONAL POLICROMÁTICA")</f>
        <v>IMPRESSORA MULTIFUNCIONAL POLICROMÁTICA</v>
      </c>
    </row>
    <row r="423">
      <c r="A423" s="11" t="str">
        <f>IFERROR(__xludf.DUMMYFUNCTION("TRANSPOSE(FILTER(ITENS!$D:$D, ITENS!$A:$A = SERVICOS!$A424))"),"IMPRESSORA MULTIFUNCIONAL MONOCROMÁTICA")</f>
        <v>IMPRESSORA MULTIFUNCIONAL MONOCROMÁTICA</v>
      </c>
      <c r="B423" s="11" t="str">
        <f>IFERROR(__xludf.DUMMYFUNCTION("""COMPUTED_VALUE"""),"IMPRESSORA MULTIFUNCIONAL POLICROMÁTICA")</f>
        <v>IMPRESSORA MULTIFUNCIONAL POLICROMÁTICA</v>
      </c>
    </row>
    <row r="424">
      <c r="A424" s="11" t="str">
        <f>IFERROR(__xludf.DUMMYFUNCTION("TRANSPOSE(FILTER(ITENS!$D:$D, ITENS!$A:$A = SERVICOS!$A425))"),"IMPRESSORA MULTIFUNCIONAL MONOCROMÁTICA")</f>
        <v>IMPRESSORA MULTIFUNCIONAL MONOCROMÁTICA</v>
      </c>
      <c r="B424" s="11" t="str">
        <f>IFERROR(__xludf.DUMMYFUNCTION("""COMPUTED_VALUE"""),"IMPRESSORA MULTIFUNCIONAL POLICROMÁTICA")</f>
        <v>IMPRESSORA MULTIFUNCIONAL POLICROMÁTICA</v>
      </c>
    </row>
    <row r="425">
      <c r="A425" s="11" t="str">
        <f>IFERROR(__xludf.DUMMYFUNCTION("TRANSPOSE(FILTER(ITENS!$D:$D, ITENS!$A:$A = SERVICOS!$A426))"),"IMPRESSORA MULTIFUNCIONAL MONOCROMÁTICA")</f>
        <v>IMPRESSORA MULTIFUNCIONAL MONOCROMÁTICA</v>
      </c>
      <c r="B425" s="11" t="str">
        <f>IFERROR(__xludf.DUMMYFUNCTION("""COMPUTED_VALUE"""),"IMPRESSORA MULTIFUNCIONAL POLICROMÁTICA")</f>
        <v>IMPRESSORA MULTIFUNCIONAL POLICROMÁTICA</v>
      </c>
    </row>
    <row r="426">
      <c r="A426" s="11" t="str">
        <f>IFERROR(__xludf.DUMMYFUNCTION("TRANSPOSE(FILTER(ITENS!$D:$D, ITENS!$A:$A = SERVICOS!$A427))"),"Multifuncional P&amp;B - Tipo I")</f>
        <v>Multifuncional P&amp;B - Tipo I</v>
      </c>
    </row>
    <row r="427">
      <c r="A427" s="11" t="str">
        <f>IFERROR(__xludf.DUMMYFUNCTION("TRANSPOSE(FILTER(ITENS!$D:$D, ITENS!$A:$A = SERVICOS!$A428))"),"Multifuncional P&amp;B - Tipo I")</f>
        <v>Multifuncional P&amp;B - Tipo I</v>
      </c>
    </row>
    <row r="428">
      <c r="A428" s="11" t="str">
        <f>IFERROR(__xludf.DUMMYFUNCTION("TRANSPOSE(FILTER(ITENS!$D:$D, ITENS!$A:$A = SERVICOS!$A429))"),"Multifuncional P&amp;B - Tipo I")</f>
        <v>Multifuncional P&amp;B - Tipo I</v>
      </c>
    </row>
    <row r="429">
      <c r="A429" s="11" t="str">
        <f>IFERROR(__xludf.DUMMYFUNCTION("TRANSPOSE(FILTER(ITENS!$D:$D, ITENS!$A:$A = SERVICOS!$A430))"),"Multifuncional P&amp;B - Tipo I")</f>
        <v>Multifuncional P&amp;B - Tipo I</v>
      </c>
    </row>
    <row r="430">
      <c r="A430" s="11" t="str">
        <f>IFERROR(__xludf.DUMMYFUNCTION("TRANSPOSE(FILTER(ITENS!$D:$D, ITENS!$A:$A = SERVICOS!$A431))"),"Multifuncional P&amp;B - Tipo I")</f>
        <v>Multifuncional P&amp;B - Tipo I</v>
      </c>
    </row>
    <row r="431">
      <c r="A431" s="11" t="str">
        <f>IFERROR(__xludf.DUMMYFUNCTION("TRANSPOSE(FILTER(ITENS!$D:$D, ITENS!$A:$A = SERVICOS!$A432))"),"Multifuncional P&amp;B - Tipo I")</f>
        <v>Multifuncional P&amp;B - Tipo I</v>
      </c>
    </row>
    <row r="432">
      <c r="A432" s="11" t="str">
        <f>IFERROR(__xludf.DUMMYFUNCTION("TRANSPOSE(FILTER(ITENS!$D:$D, ITENS!$A:$A = SERVICOS!$A433))"),"Multifuncional P&amp;B - Tipo I")</f>
        <v>Multifuncional P&amp;B - Tipo I</v>
      </c>
    </row>
    <row r="433">
      <c r="A433" s="11" t="str">
        <f>IFERROR(__xludf.DUMMYFUNCTION("TRANSPOSE(FILTER(ITENS!$D:$D, ITENS!$A:$A = SERVICOS!$A434))"),"Multifuncional P&amp;B - Tipo I")</f>
        <v>Multifuncional P&amp;B - Tipo I</v>
      </c>
    </row>
    <row r="434">
      <c r="A434" s="11" t="str">
        <f>IFERROR(__xludf.DUMMYFUNCTION("TRANSPOSE(FILTER(ITENS!$D:$D, ITENS!$A:$A = SERVICOS!$A435))"),"Multifuncional P&amp;B - Tipo I")</f>
        <v>Multifuncional P&amp;B - Tipo I</v>
      </c>
    </row>
    <row r="435">
      <c r="A435" s="11" t="str">
        <f>IFERROR(__xludf.DUMMYFUNCTION("TRANSPOSE(FILTER(ITENS!$D:$D, ITENS!$A:$A = SERVICOS!$A436))"),"Multifuncional P&amp;B - Tipo I")</f>
        <v>Multifuncional P&amp;B - Tipo I</v>
      </c>
    </row>
    <row r="436">
      <c r="A436" s="11" t="str">
        <f>IFERROR(__xludf.DUMMYFUNCTION("TRANSPOSE(FILTER(ITENS!$D:$D, ITENS!$A:$A = SERVICOS!$A437))"),"Multifuncional P&amp;B - Tipo I")</f>
        <v>Multifuncional P&amp;B - Tipo I</v>
      </c>
    </row>
    <row r="437">
      <c r="A437" s="11" t="str">
        <f>IFERROR(__xludf.DUMMYFUNCTION("TRANSPOSE(FILTER(ITENS!$D:$D, ITENS!$A:$A = SERVICOS!$A438))"),"Multifuncional P&amp;B - Tipo I")</f>
        <v>Multifuncional P&amp;B - Tipo I</v>
      </c>
    </row>
    <row r="438">
      <c r="A438" s="11" t="str">
        <f>IFERROR(__xludf.DUMMYFUNCTION("TRANSPOSE(FILTER(ITENS!$D:$D, ITENS!$A:$A = SERVICOS!$A439))"),"Multifuncional P&amp;B - Tipo I")</f>
        <v>Multifuncional P&amp;B - Tipo I</v>
      </c>
    </row>
    <row r="439">
      <c r="A439" s="11" t="str">
        <f>IFERROR(__xludf.DUMMYFUNCTION("TRANSPOSE(FILTER(ITENS!$D:$D, ITENS!$A:$A = SERVICOS!$A440))"),"Multifuncional P&amp;B - Tipo I")</f>
        <v>Multifuncional P&amp;B - Tipo I</v>
      </c>
    </row>
    <row r="440">
      <c r="A440" s="11" t="str">
        <f>IFERROR(__xludf.DUMMYFUNCTION("TRANSPOSE(FILTER(ITENS!$D:$D, ITENS!$A:$A = SERVICOS!$A441))"),"Monocromática")</f>
        <v>Monocromática</v>
      </c>
      <c r="B440" s="11" t="str">
        <f>IFERROR(__xludf.DUMMYFUNCTION("""COMPUTED_VALUE"""),"Policromática")</f>
        <v>Policromática</v>
      </c>
    </row>
    <row r="441">
      <c r="A441" s="11" t="str">
        <f>IFERROR(__xludf.DUMMYFUNCTION("TRANSPOSE(FILTER(ITENS!$D:$D, ITENS!$A:$A = SERVICOS!$A442))"),"Monocromática")</f>
        <v>Monocromática</v>
      </c>
      <c r="B441" s="11" t="str">
        <f>IFERROR(__xludf.DUMMYFUNCTION("""COMPUTED_VALUE"""),"Policromática")</f>
        <v>Policromática</v>
      </c>
    </row>
    <row r="442">
      <c r="A442" s="11" t="str">
        <f>IFERROR(__xludf.DUMMYFUNCTION("TRANSPOSE(FILTER(ITENS!$D:$D, ITENS!$A:$A = SERVICOS!$A443))"),"Monocromática")</f>
        <v>Monocromática</v>
      </c>
      <c r="B442" s="11" t="str">
        <f>IFERROR(__xludf.DUMMYFUNCTION("""COMPUTED_VALUE"""),"Policromática")</f>
        <v>Policromática</v>
      </c>
    </row>
    <row r="443">
      <c r="A443" s="11" t="str">
        <f>IFERROR(__xludf.DUMMYFUNCTION("TRANSPOSE(FILTER(ITENS!$D:$D, ITENS!$A:$A = SERVICOS!$A444))"),"Monocromática")</f>
        <v>Monocromática</v>
      </c>
      <c r="B443" s="11" t="str">
        <f>IFERROR(__xludf.DUMMYFUNCTION("""COMPUTED_VALUE"""),"Policromática")</f>
        <v>Policromática</v>
      </c>
    </row>
    <row r="444">
      <c r="A444" s="11" t="str">
        <f>IFERROR(__xludf.DUMMYFUNCTION("TRANSPOSE(FILTER(ITENS!$D:$D, ITENS!$A:$A = SERVICOS!$A445))"),"#N/A")</f>
        <v>#N/A</v>
      </c>
    </row>
    <row r="445">
      <c r="A445" s="11" t="str">
        <f>IFERROR(__xludf.DUMMYFUNCTION("TRANSPOSE(FILTER(ITENS!$D:$D, ITENS!$A:$A = SERVICOS!$A446))"),"#N/A")</f>
        <v>#N/A</v>
      </c>
    </row>
    <row r="446">
      <c r="A446" s="11" t="str">
        <f>IFERROR(__xludf.DUMMYFUNCTION("TRANSPOSE(FILTER(ITENS!$D:$D, ITENS!$A:$A = SERVICOS!$A447))"),"#N/A")</f>
        <v>#N/A</v>
      </c>
    </row>
    <row r="447">
      <c r="A447" s="11" t="str">
        <f>IFERROR(__xludf.DUMMYFUNCTION("TRANSPOSE(FILTER(ITENS!$D:$D, ITENS!$A:$A = SERVICOS!$A448))"),"#N/A")</f>
        <v>#N/A</v>
      </c>
    </row>
    <row r="448">
      <c r="A448" s="11" t="str">
        <f>IFERROR(__xludf.DUMMYFUNCTION("TRANSPOSE(FILTER(ITENS!$D:$D, ITENS!$A:$A = SERVICOS!$A449))"),"IMPRESSORA MULTIFUNCIONAL LASER MONOCROMATICA")</f>
        <v>IMPRESSORA MULTIFUNCIONAL LASER MONOCROMATICA</v>
      </c>
    </row>
    <row r="449">
      <c r="A449" s="11" t="str">
        <f>IFERROR(__xludf.DUMMYFUNCTION("TRANSPOSE(FILTER(ITENS!$D:$D, ITENS!$A:$A = SERVICOS!$A450))"),"IMPRESSORA MULTIFUNCIONAL LASER MONOCROMATICA")</f>
        <v>IMPRESSORA MULTIFUNCIONAL LASER MONOCROMATICA</v>
      </c>
    </row>
    <row r="450">
      <c r="A450" s="11" t="str">
        <f>IFERROR(__xludf.DUMMYFUNCTION("TRANSPOSE(FILTER(ITENS!$D:$D, ITENS!$A:$A = SERVICOS!$A451))"),"IMPRESSORA MULTIFUNCIONAL LASER MONOCROMATICA")</f>
        <v>IMPRESSORA MULTIFUNCIONAL LASER MONOCROMATICA</v>
      </c>
    </row>
    <row r="451">
      <c r="A451" s="11" t="str">
        <f>IFERROR(__xludf.DUMMYFUNCTION("TRANSPOSE(FILTER(ITENS!$D:$D, ITENS!$A:$A = SERVICOS!$A452))"),"IMPRESSORA MULTIFUNCIONAL LASER MONOCROMATICA")</f>
        <v>IMPRESSORA MULTIFUNCIONAL LASER MONOCROMATICA</v>
      </c>
    </row>
    <row r="452">
      <c r="A452" s="11" t="str">
        <f>IFERROR(__xludf.DUMMYFUNCTION("TRANSPOSE(FILTER(ITENS!$D:$D, ITENS!$A:$A = SERVICOS!$A453))"),"IMPRESSORA MULTIFUNCIONAL LASER MONOCROMATICA")</f>
        <v>IMPRESSORA MULTIFUNCIONAL LASER MONOCROMATICA</v>
      </c>
    </row>
    <row r="453">
      <c r="A453" s="11" t="str">
        <f>IFERROR(__xludf.DUMMYFUNCTION("TRANSPOSE(FILTER(ITENS!$D:$D, ITENS!$A:$A = SERVICOS!$A454))"),"IMPRESSORA MULTIFUNCIONAL LASER MONOCROMATICA")</f>
        <v>IMPRESSORA MULTIFUNCIONAL LASER MONOCROMATICA</v>
      </c>
    </row>
    <row r="454">
      <c r="A454" s="11" t="str">
        <f>IFERROR(__xludf.DUMMYFUNCTION("TRANSPOSE(FILTER(ITENS!$D:$D, ITENS!$A:$A = SERVICOS!$A455))"),"IMPRESSORA MULTIFUNCIONAL MONOCROMÁTICA")</f>
        <v>IMPRESSORA MULTIFUNCIONAL MONOCROMÁTICA</v>
      </c>
      <c r="B454" s="11" t="str">
        <f>IFERROR(__xludf.DUMMYFUNCTION("""COMPUTED_VALUE"""),"IMPRESSORA MULTIFUNCIONAL POLICROMÁTICA")</f>
        <v>IMPRESSORA MULTIFUNCIONAL POLICROMÁTICA</v>
      </c>
    </row>
    <row r="455">
      <c r="A455" s="11" t="str">
        <f>IFERROR(__xludf.DUMMYFUNCTION("TRANSPOSE(FILTER(ITENS!$D:$D, ITENS!$A:$A = SERVICOS!$A456))"),"IMPRESSORA MULTIFUNCIONAL MONOCROMÁTICA")</f>
        <v>IMPRESSORA MULTIFUNCIONAL MONOCROMÁTICA</v>
      </c>
      <c r="B455" s="11" t="str">
        <f>IFERROR(__xludf.DUMMYFUNCTION("""COMPUTED_VALUE"""),"IMPRESSORA MULTIFUNCIONAL POLICROMÁTICA")</f>
        <v>IMPRESSORA MULTIFUNCIONAL POLICROMÁTICA</v>
      </c>
    </row>
    <row r="456">
      <c r="A456" s="11" t="str">
        <f>IFERROR(__xludf.DUMMYFUNCTION("TRANSPOSE(FILTER(ITENS!$D:$D, ITENS!$A:$A = SERVICOS!$A457))"),"IMPRESSORA MULTIFUNCIONAL MONOCROMÁTICA")</f>
        <v>IMPRESSORA MULTIFUNCIONAL MONOCROMÁTICA</v>
      </c>
      <c r="B456" s="11" t="str">
        <f>IFERROR(__xludf.DUMMYFUNCTION("""COMPUTED_VALUE"""),"IMPRESSORA MULTIFUNCIONAL POLICROMÁTICA")</f>
        <v>IMPRESSORA MULTIFUNCIONAL POLICROMÁTICA</v>
      </c>
    </row>
    <row r="457">
      <c r="A457" s="11" t="str">
        <f>IFERROR(__xludf.DUMMYFUNCTION("TRANSPOSE(FILTER(ITENS!$D:$D, ITENS!$A:$A = SERVICOS!$A458))"),"IMPRESSORA MULTIFUNCIONAL MONOCROMÁTICA")</f>
        <v>IMPRESSORA MULTIFUNCIONAL MONOCROMÁTICA</v>
      </c>
      <c r="B457" s="11" t="str">
        <f>IFERROR(__xludf.DUMMYFUNCTION("""COMPUTED_VALUE"""),"IMPRESSORA MULTIFUNCIONAL POLICROMÁTICA")</f>
        <v>IMPRESSORA MULTIFUNCIONAL POLICROMÁTICA</v>
      </c>
    </row>
    <row r="458">
      <c r="A458" s="11" t="str">
        <f>IFERROR(__xludf.DUMMYFUNCTION("TRANSPOSE(FILTER(ITENS!$D:$D, ITENS!$A:$A = SERVICOS!$A459))"),"IMPRESSORA MULTIFUNCIONAL MONOCROMÁTICA")</f>
        <v>IMPRESSORA MULTIFUNCIONAL MONOCROMÁTICA</v>
      </c>
      <c r="B458" s="11" t="str">
        <f>IFERROR(__xludf.DUMMYFUNCTION("""COMPUTED_VALUE"""),"IMPRESSORA MULTIFUNCIONAL POLICROMÁTICA")</f>
        <v>IMPRESSORA MULTIFUNCIONAL POLICROMÁTICA</v>
      </c>
    </row>
    <row r="459">
      <c r="A459" s="11" t="str">
        <f>IFERROR(__xludf.DUMMYFUNCTION("TRANSPOSE(FILTER(ITENS!$D:$D, ITENS!$A:$A = SERVICOS!$A460))"),"IMPRESSORA MULTIFUNCIONAL MONOCROMÁTICA")</f>
        <v>IMPRESSORA MULTIFUNCIONAL MONOCROMÁTICA</v>
      </c>
      <c r="B459" s="11" t="str">
        <f>IFERROR(__xludf.DUMMYFUNCTION("""COMPUTED_VALUE"""),"IMPRESSORA MULTIFUNCIONAL POLICROMÁTICA")</f>
        <v>IMPRESSORA MULTIFUNCIONAL POLICROMÁTICA</v>
      </c>
    </row>
    <row r="460">
      <c r="A460" s="11" t="str">
        <f>IFERROR(__xludf.DUMMYFUNCTION("TRANSPOSE(FILTER(ITENS!$D:$D, ITENS!$A:$A = SERVICOS!$A461))"),"IMPRESSORA MULTIFUNCIONAL MONOCROMÁTICA")</f>
        <v>IMPRESSORA MULTIFUNCIONAL MONOCROMÁTICA</v>
      </c>
      <c r="B460" s="11" t="str">
        <f>IFERROR(__xludf.DUMMYFUNCTION("""COMPUTED_VALUE"""),"IMPRESSORA MULTIFUNCIONAL POLICROMÁTICA A3")</f>
        <v>IMPRESSORA MULTIFUNCIONAL POLICROMÁTICA A3</v>
      </c>
      <c r="C460" s="11" t="str">
        <f>IFERROR(__xludf.DUMMYFUNCTION("""COMPUTED_VALUE"""),"IMPRESSORA MULTIFUNCIONAL POLICROMÁTICA")</f>
        <v>IMPRESSORA MULTIFUNCIONAL POLICROMÁTICA</v>
      </c>
    </row>
    <row r="461">
      <c r="A461" s="11" t="str">
        <f>IFERROR(__xludf.DUMMYFUNCTION("TRANSPOSE(FILTER(ITENS!$D:$D, ITENS!$A:$A = SERVICOS!$A462))"),"IMPRESSORA MULTIFUNCIONAL MONOCROMÁTICA")</f>
        <v>IMPRESSORA MULTIFUNCIONAL MONOCROMÁTICA</v>
      </c>
      <c r="B461" s="11" t="str">
        <f>IFERROR(__xludf.DUMMYFUNCTION("""COMPUTED_VALUE"""),"IMPRESSORA MULTIFUNCIONAL POLICROMÁTICA A3")</f>
        <v>IMPRESSORA MULTIFUNCIONAL POLICROMÁTICA A3</v>
      </c>
      <c r="C461" s="11" t="str">
        <f>IFERROR(__xludf.DUMMYFUNCTION("""COMPUTED_VALUE"""),"IMPRESSORA MULTIFUNCIONAL POLICROMÁTICA")</f>
        <v>IMPRESSORA MULTIFUNCIONAL POLICROMÁTICA</v>
      </c>
    </row>
    <row r="462">
      <c r="A462" s="11" t="str">
        <f>IFERROR(__xludf.DUMMYFUNCTION("TRANSPOSE(FILTER(ITENS!$D:$D, ITENS!$A:$A = SERVICOS!$A463))"),"IMPRESSORA MULTIFUNCIONAL MONOCROMÁTICA")</f>
        <v>IMPRESSORA MULTIFUNCIONAL MONOCROMÁTICA</v>
      </c>
      <c r="B462" s="11" t="str">
        <f>IFERROR(__xludf.DUMMYFUNCTION("""COMPUTED_VALUE"""),"IMPRESSORA MULTIFUNCIONAL POLICROMÁTICA A3")</f>
        <v>IMPRESSORA MULTIFUNCIONAL POLICROMÁTICA A3</v>
      </c>
      <c r="C462" s="11" t="str">
        <f>IFERROR(__xludf.DUMMYFUNCTION("""COMPUTED_VALUE"""),"IMPRESSORA MULTIFUNCIONAL POLICROMÁTICA")</f>
        <v>IMPRESSORA MULTIFUNCIONAL POLICROMÁTICA</v>
      </c>
    </row>
    <row r="463">
      <c r="A463" s="11" t="str">
        <f>IFERROR(__xludf.DUMMYFUNCTION("TRANSPOSE(FILTER(ITENS!$D:$D, ITENS!$A:$A = SERVICOS!$A464))"),"IMPRESSORA MULTIFUNCIONAL MONOCROMÁTICA")</f>
        <v>IMPRESSORA MULTIFUNCIONAL MONOCROMÁTICA</v>
      </c>
      <c r="B463" s="11" t="str">
        <f>IFERROR(__xludf.DUMMYFUNCTION("""COMPUTED_VALUE"""),"IMPRESSORA MULTIFUNCIONAL POLICROMÁTICA")</f>
        <v>IMPRESSORA MULTIFUNCIONAL POLICROMÁTICA</v>
      </c>
    </row>
    <row r="464">
      <c r="A464" s="11" t="str">
        <f>IFERROR(__xludf.DUMMYFUNCTION("TRANSPOSE(FILTER(ITENS!$D:$D, ITENS!$A:$A = SERVICOS!$A465))"),"IMPRESSORA MULTIFUNCIONAL MONOCROMÁTICA")</f>
        <v>IMPRESSORA MULTIFUNCIONAL MONOCROMÁTICA</v>
      </c>
      <c r="B464" s="11" t="str">
        <f>IFERROR(__xludf.DUMMYFUNCTION("""COMPUTED_VALUE"""),"IMPRESSORA MULTIFUNCIONAL POLICROMÁTICA")</f>
        <v>IMPRESSORA MULTIFUNCIONAL POLICROMÁTICA</v>
      </c>
    </row>
    <row r="465">
      <c r="A465" s="11" t="str">
        <f>IFERROR(__xludf.DUMMYFUNCTION("TRANSPOSE(FILTER(ITENS!$D:$D, ITENS!$A:$A = SERVICOS!$A466))"),"IMPRESSORA MULTIFUNCIONAL MONOCROMÁTICA")</f>
        <v>IMPRESSORA MULTIFUNCIONAL MONOCROMÁTICA</v>
      </c>
      <c r="B465" s="11" t="str">
        <f>IFERROR(__xludf.DUMMYFUNCTION("""COMPUTED_VALUE"""),"IMPRESSORA MULTIFUNCIONAL POLICROMÁTICA")</f>
        <v>IMPRESSORA MULTIFUNCIONAL POLICROMÁTICA</v>
      </c>
    </row>
    <row r="466">
      <c r="A466" s="11" t="str">
        <f>IFERROR(__xludf.DUMMYFUNCTION("TRANSPOSE(FILTER(ITENS!$D:$D, ITENS!$A:$A = SERVICOS!$A467))"),"IMPRESSORA MULTIFUNCIONAL MONOCROMÁTICA")</f>
        <v>IMPRESSORA MULTIFUNCIONAL MONOCROMÁTICA</v>
      </c>
      <c r="B466" s="11" t="str">
        <f>IFERROR(__xludf.DUMMYFUNCTION("""COMPUTED_VALUE"""),"IMPRESSORA MULTIFUNCIONAL POLICROMÁTICA")</f>
        <v>IMPRESSORA MULTIFUNCIONAL POLICROMÁTICA</v>
      </c>
    </row>
    <row r="467">
      <c r="A467" s="11" t="str">
        <f>IFERROR(__xludf.DUMMYFUNCTION("TRANSPOSE(FILTER(ITENS!$D:$D, ITENS!$A:$A = SERVICOS!$A468))"),"IMPRESSORA MULTIFUNCIONAL MONOCROMÁTICA")</f>
        <v>IMPRESSORA MULTIFUNCIONAL MONOCROMÁTICA</v>
      </c>
      <c r="B467" s="11" t="str">
        <f>IFERROR(__xludf.DUMMYFUNCTION("""COMPUTED_VALUE"""),"IMPRESSORA MULTIFUNCIONAL POLICROMÁTICA")</f>
        <v>IMPRESSORA MULTIFUNCIONAL POLICROMÁTICA</v>
      </c>
    </row>
    <row r="468">
      <c r="A468" s="11" t="str">
        <f>IFERROR(__xludf.DUMMYFUNCTION("TRANSPOSE(FILTER(ITENS!$D:$D, ITENS!$A:$A = SERVICOS!$A469))"),"IMPRESSORA MULTIFUNCIONAL MONOCROMÁTICA")</f>
        <v>IMPRESSORA MULTIFUNCIONAL MONOCROMÁTICA</v>
      </c>
      <c r="B468" s="11" t="str">
        <f>IFERROR(__xludf.DUMMYFUNCTION("""COMPUTED_VALUE"""),"IMPRESSORA MULTIFUNCIONAL POLICROMÁTICA")</f>
        <v>IMPRESSORA MULTIFUNCIONAL POLICROMÁTICA</v>
      </c>
    </row>
    <row r="469">
      <c r="A469" s="11" t="str">
        <f>IFERROR(__xludf.DUMMYFUNCTION("TRANSPOSE(FILTER(ITENS!$D:$D, ITENS!$A:$A = SERVICOS!$A470))"),"#N/A")</f>
        <v>#N/A</v>
      </c>
    </row>
    <row r="470">
      <c r="A470" s="11" t="str">
        <f>IFERROR(__xludf.DUMMYFUNCTION("TRANSPOSE(FILTER(ITENS!$D:$D, ITENS!$A:$A = SERVICOS!$A471))"),"#N/A")</f>
        <v>#N/A</v>
      </c>
    </row>
    <row r="471">
      <c r="A471" s="11" t="str">
        <f>IFERROR(__xludf.DUMMYFUNCTION("TRANSPOSE(FILTER(ITENS!$D:$D, ITENS!$A:$A = SERVICOS!$A472))"),"#N/A")</f>
        <v>#N/A</v>
      </c>
    </row>
    <row r="472">
      <c r="A472" s="11" t="str">
        <f>IFERROR(__xludf.DUMMYFUNCTION("TRANSPOSE(FILTER(ITENS!$D:$D, ITENS!$A:$A = SERVICOS!$A473))"),"#N/A")</f>
        <v>#N/A</v>
      </c>
    </row>
    <row r="473">
      <c r="A473" s="11" t="str">
        <f>IFERROR(__xludf.DUMMYFUNCTION("TRANSPOSE(FILTER(ITENS!$D:$D, ITENS!$A:$A = SERVICOS!$A474))"),"#N/A")</f>
        <v>#N/A</v>
      </c>
    </row>
    <row r="474">
      <c r="A474" s="11" t="str">
        <f>IFERROR(__xludf.DUMMYFUNCTION("TRANSPOSE(FILTER(ITENS!$D:$D, ITENS!$A:$A = SERVICOS!$A475))"),"#N/A")</f>
        <v>#N/A</v>
      </c>
    </row>
    <row r="475">
      <c r="A475" s="11" t="str">
        <f>IFERROR(__xludf.DUMMYFUNCTION("TRANSPOSE(FILTER(ITENS!$D:$D, ITENS!$A:$A = SERVICOS!$A476))"),"IMPRESSORA MULTIFUNCIONAL MONOCROMÁTICA")</f>
        <v>IMPRESSORA MULTIFUNCIONAL MONOCROMÁTICA</v>
      </c>
      <c r="B475" s="11" t="str">
        <f>IFERROR(__xludf.DUMMYFUNCTION("""COMPUTED_VALUE"""),"IMPRESSORA MULTIFUNCIONAL POLICROMÁTICA A3")</f>
        <v>IMPRESSORA MULTIFUNCIONAL POLICROMÁTICA A3</v>
      </c>
    </row>
    <row r="476">
      <c r="A476" s="11" t="str">
        <f>IFERROR(__xludf.DUMMYFUNCTION("TRANSPOSE(FILTER(ITENS!$D:$D, ITENS!$A:$A = SERVICOS!$A477))"),"IMPRESSORA MULTIFUNCIONAL MONOCROMÁTICA")</f>
        <v>IMPRESSORA MULTIFUNCIONAL MONOCROMÁTICA</v>
      </c>
      <c r="B476" s="11" t="str">
        <f>IFERROR(__xludf.DUMMYFUNCTION("""COMPUTED_VALUE"""),"IMPRESSORA MULTIFUNCIONAL POLICROMÁTICA A3")</f>
        <v>IMPRESSORA MULTIFUNCIONAL POLICROMÁTICA A3</v>
      </c>
    </row>
    <row r="477">
      <c r="A477" s="11" t="str">
        <f>IFERROR(__xludf.DUMMYFUNCTION("TRANSPOSE(FILTER(ITENS!$D:$D, ITENS!$A:$A = SERVICOS!$A478))"),"IMPRESSORA MULTIFUNCIONAL MONOCROMÁTICA")</f>
        <v>IMPRESSORA MULTIFUNCIONAL MONOCROMÁTICA</v>
      </c>
      <c r="B477" s="11" t="str">
        <f>IFERROR(__xludf.DUMMYFUNCTION("""COMPUTED_VALUE"""),"IMPRESSORA MULTIFUNCIONAL POLICROMÁTICA A3")</f>
        <v>IMPRESSORA MULTIFUNCIONAL POLICROMÁTICA A3</v>
      </c>
    </row>
    <row r="478">
      <c r="A478" s="11" t="str">
        <f>IFERROR(__xludf.DUMMYFUNCTION("TRANSPOSE(FILTER(ITENS!$D:$D, ITENS!$A:$A = SERVICOS!$A479))"),"IMPRESSORA MULTIFUNCIONAL LASER MONOCROMATICA")</f>
        <v>IMPRESSORA MULTIFUNCIONAL LASER MONOCROMATICA</v>
      </c>
      <c r="B478" s="11" t="str">
        <f>IFERROR(__xludf.DUMMYFUNCTION("""COMPUTED_VALUE"""),"IMPRESSORA POLICROMÁTICA")</f>
        <v>IMPRESSORA POLICROMÁTICA</v>
      </c>
    </row>
    <row r="479">
      <c r="A479" s="11" t="str">
        <f>IFERROR(__xludf.DUMMYFUNCTION("TRANSPOSE(FILTER(ITENS!$D:$D, ITENS!$A:$A = SERVICOS!$A480))"),"IMPRESSORA MULTIFUNCIONAL LASER MONOCROMATICA")</f>
        <v>IMPRESSORA MULTIFUNCIONAL LASER MONOCROMATICA</v>
      </c>
      <c r="B479" s="11" t="str">
        <f>IFERROR(__xludf.DUMMYFUNCTION("""COMPUTED_VALUE"""),"IMPRESSORA POLICROMÁTICA")</f>
        <v>IMPRESSORA POLICROMÁTICA</v>
      </c>
    </row>
    <row r="480">
      <c r="A480" s="11" t="str">
        <f>IFERROR(__xludf.DUMMYFUNCTION("TRANSPOSE(FILTER(ITENS!$D:$D, ITENS!$A:$A = SERVICOS!$A481))"),"IMPRESSORA MULTIFUNCIONAL LASER MONOCROMATICA")</f>
        <v>IMPRESSORA MULTIFUNCIONAL LASER MONOCROMATICA</v>
      </c>
      <c r="B480" s="11" t="str">
        <f>IFERROR(__xludf.DUMMYFUNCTION("""COMPUTED_VALUE"""),"IMPRESSORA POLICROMÁTICA")</f>
        <v>IMPRESSORA POLICROMÁTICA</v>
      </c>
    </row>
    <row r="481">
      <c r="A481" s="11" t="str">
        <f>IFERROR(__xludf.DUMMYFUNCTION("TRANSPOSE(FILTER(ITENS!$D:$D, ITENS!$A:$A = SERVICOS!$A482))"),"IMPRESSORA MULTIFUNCIONAL LASER MONOCROMATICA")</f>
        <v>IMPRESSORA MULTIFUNCIONAL LASER MONOCROMATICA</v>
      </c>
      <c r="B481" s="11" t="str">
        <f>IFERROR(__xludf.DUMMYFUNCTION("""COMPUTED_VALUE"""),"IMPRESSORA POLICROMÁTICA")</f>
        <v>IMPRESSORA POLICROMÁTICA</v>
      </c>
    </row>
    <row r="482">
      <c r="A482" s="11" t="str">
        <f>IFERROR(__xludf.DUMMYFUNCTION("TRANSPOSE(FILTER(ITENS!$D:$D, ITENS!$A:$A = SERVICOS!$A483))"),"IMPRESSORA MULTIFUNCIONAL LASER MONOCROMATICA")</f>
        <v>IMPRESSORA MULTIFUNCIONAL LASER MONOCROMATICA</v>
      </c>
      <c r="B482" s="11" t="str">
        <f>IFERROR(__xludf.DUMMYFUNCTION("""COMPUTED_VALUE"""),"IMPRESSORA MULTIFUNCIONAL POLICROMÁTICA")</f>
        <v>IMPRESSORA MULTIFUNCIONAL POLICROMÁTICA</v>
      </c>
    </row>
    <row r="483">
      <c r="A483" s="11" t="str">
        <f>IFERROR(__xludf.DUMMYFUNCTION("TRANSPOSE(FILTER(ITENS!$D:$D, ITENS!$A:$A = SERVICOS!$A484))"),"IMPRESSORA MULTIFUNCIONAL LASER MONOCROMATICA")</f>
        <v>IMPRESSORA MULTIFUNCIONAL LASER MONOCROMATICA</v>
      </c>
      <c r="B483" s="11" t="str">
        <f>IFERROR(__xludf.DUMMYFUNCTION("""COMPUTED_VALUE"""),"IMPRESSORA MULTIFUNCIONAL POLICROMÁTICA")</f>
        <v>IMPRESSORA MULTIFUNCIONAL POLICROMÁTICA</v>
      </c>
    </row>
    <row r="484">
      <c r="A484" s="11" t="str">
        <f>IFERROR(__xludf.DUMMYFUNCTION("TRANSPOSE(FILTER(ITENS!$D:$D, ITENS!$A:$A = SERVICOS!$A485))"),"Multifuncional Laser Monocromática")</f>
        <v>Multifuncional Laser Monocromática</v>
      </c>
    </row>
    <row r="485">
      <c r="A485" s="11" t="str">
        <f>IFERROR(__xludf.DUMMYFUNCTION("TRANSPOSE(FILTER(ITENS!$D:$D, ITENS!$A:$A = SERVICOS!$A486))"),"Multifuncional Colorida Laser")</f>
        <v>Multifuncional Colorida Laser</v>
      </c>
    </row>
    <row r="486">
      <c r="A486" s="11" t="str">
        <f>IFERROR(__xludf.DUMMYFUNCTION("TRANSPOSE(FILTER(ITENS!$D:$D, ITENS!$A:$A = SERVICOS!$A487))"),"#N/A")</f>
        <v>#N/A</v>
      </c>
    </row>
    <row r="487">
      <c r="A487" s="11" t="str">
        <f>IFERROR(__xludf.DUMMYFUNCTION("TRANSPOSE(FILTER(ITENS!$D:$D, ITENS!$A:$A = SERVICOS!$A488))"),"#N/A")</f>
        <v>#N/A</v>
      </c>
    </row>
    <row r="488">
      <c r="A488" s="11" t="str">
        <f>IFERROR(__xludf.DUMMYFUNCTION("TRANSPOSE(FILTER(ITENS!$D:$D, ITENS!$A:$A = SERVICOS!$A489))"),"Multifuncional Colorida Laser")</f>
        <v>Multifuncional Colorida Laser</v>
      </c>
    </row>
    <row r="489">
      <c r="A489" s="11" t="str">
        <f>IFERROR(__xludf.DUMMYFUNCTION("TRANSPOSE(FILTER(ITENS!$D:$D, ITENS!$A:$A = SERVICOS!$A490))"),"#N/A")</f>
        <v>#N/A</v>
      </c>
    </row>
    <row r="490">
      <c r="A490" s="11" t="str">
        <f>IFERROR(__xludf.DUMMYFUNCTION("TRANSPOSE(FILTER(ITENS!$D:$D, ITENS!$A:$A = SERVICOS!$A491))"),"#N/A")</f>
        <v>#N/A</v>
      </c>
    </row>
    <row r="491">
      <c r="A491" s="11" t="str">
        <f>IFERROR(__xludf.DUMMYFUNCTION("TRANSPOSE(FILTER(ITENS!$D:$D, ITENS!$A:$A = SERVICOS!$A492))"),"DESKTOP - I3")</f>
        <v>DESKTOP - I3</v>
      </c>
    </row>
    <row r="492">
      <c r="A492" s="11" t="str">
        <f>IFERROR(__xludf.DUMMYFUNCTION("TRANSPOSE(FILTER(ITENS!$D:$D, ITENS!$A:$A = SERVICOS!$A493))"),"IMPRESSORA MULTIFUNCIONAL COLOR")</f>
        <v>IMPRESSORA MULTIFUNCIONAL COLOR</v>
      </c>
    </row>
    <row r="493">
      <c r="A493" s="11" t="str">
        <f>IFERROR(__xludf.DUMMYFUNCTION("TRANSPOSE(FILTER(ITENS!$D:$D, ITENS!$A:$A = SERVICOS!$A494))"),"IMPRESSORA MULTIFUNCIONAL COLOR")</f>
        <v>IMPRESSORA MULTIFUNCIONAL COLOR</v>
      </c>
    </row>
    <row r="494">
      <c r="A494" s="11" t="str">
        <f>IFERROR(__xludf.DUMMYFUNCTION("TRANSPOSE(FILTER(ITENS!$D:$D, ITENS!$A:$A = SERVICOS!$A495))"),"DESKTOP I3")</f>
        <v>DESKTOP I3</v>
      </c>
      <c r="B494" s="11" t="str">
        <f>IFERROR(__xludf.DUMMYFUNCTION("""COMPUTED_VALUE"""),"IMPRESSORA LASER MULTIFUNCIONAL MONOCROMÁTICA A4")</f>
        <v>IMPRESSORA LASER MULTIFUNCIONAL MONOCROMÁTICA A4</v>
      </c>
    </row>
    <row r="495">
      <c r="A495" s="11" t="str">
        <f>IFERROR(__xludf.DUMMYFUNCTION("TRANSPOSE(FILTER(ITENS!$D:$D, ITENS!$A:$A = SERVICOS!$A496))"),"IMPRESSORA MULTIFUNCIONAL LASER MONOCORMÁTICA")</f>
        <v>IMPRESSORA MULTIFUNCIONAL LASER MONOCORMÁTICA</v>
      </c>
      <c r="B495" s="11" t="str">
        <f>IFERROR(__xludf.DUMMYFUNCTION("""COMPUTED_VALUE"""),"IMPRESSORA MULTIFUNCIONAL LASER POLICROMÁTICA")</f>
        <v>IMPRESSORA MULTIFUNCIONAL LASER POLICROMÁTICA</v>
      </c>
    </row>
    <row r="496">
      <c r="A496" s="11" t="str">
        <f>IFERROR(__xludf.DUMMYFUNCTION("TRANSPOSE(FILTER(ITENS!$D:$D, ITENS!$A:$A = SERVICOS!$A497))"),"IMPRESSORA MULTIFUNCIONAL LASER MONOCORMÁTICA")</f>
        <v>IMPRESSORA MULTIFUNCIONAL LASER MONOCORMÁTICA</v>
      </c>
      <c r="B496" s="11" t="str">
        <f>IFERROR(__xludf.DUMMYFUNCTION("""COMPUTED_VALUE"""),"IMPRESSORA MULTIFUNCIONAL LASER POLICROMÁTICA")</f>
        <v>IMPRESSORA MULTIFUNCIONAL LASER POLICROMÁTICA</v>
      </c>
    </row>
    <row r="497">
      <c r="A497" s="11" t="str">
        <f>IFERROR(__xludf.DUMMYFUNCTION("TRANSPOSE(FILTER(ITENS!$D:$D, ITENS!$A:$A = SERVICOS!$A498))"),"COMPUTADOR INTEL CORE I5")</f>
        <v>COMPUTADOR INTEL CORE I5</v>
      </c>
    </row>
    <row r="498">
      <c r="A498" s="11" t="str">
        <f>IFERROR(__xludf.DUMMYFUNCTION("TRANSPOSE(FILTER(ITENS!$D:$D, ITENS!$A:$A = SERVICOS!$A499))"),"COMPUTADOR INTEL CORE I5")</f>
        <v>COMPUTADOR INTEL CORE I5</v>
      </c>
    </row>
    <row r="499">
      <c r="A499" s="11" t="str">
        <f>IFERROR(__xludf.DUMMYFUNCTION("TRANSPOSE(FILTER(ITENS!$D:$D, ITENS!$A:$A = SERVICOS!$A500))"),"COMPUTADOR INTEL CORE I5")</f>
        <v>COMPUTADOR INTEL CORE I5</v>
      </c>
    </row>
    <row r="500">
      <c r="A500" s="11" t="str">
        <f>IFERROR(__xludf.DUMMYFUNCTION("TRANSPOSE(FILTER(ITENS!$D:$D, ITENS!$A:$A = SERVICOS!$A501))"),"Notebook I5 - Intel® CoreTM i5")</f>
        <v>Notebook I5 - Intel® CoreTM i5</v>
      </c>
      <c r="B500" s="11" t="str">
        <f>IFERROR(__xludf.DUMMYFUNCTION("""COMPUTED_VALUE"""),"Multifuncional – Marca Kyocera – Modelo M 2040):")</f>
        <v>Multifuncional – Marca Kyocera – Modelo M 2040):</v>
      </c>
    </row>
    <row r="501">
      <c r="A501" s="11" t="str">
        <f>IFERROR(__xludf.DUMMYFUNCTION("TRANSPOSE(FILTER(ITENS!$D:$D, ITENS!$A:$A = SERVICOS!$A502))"),"Notebook I5 - Intel® CoreTM i5")</f>
        <v>Notebook I5 - Intel® CoreTM i5</v>
      </c>
      <c r="B501" s="11" t="str">
        <f>IFERROR(__xludf.DUMMYFUNCTION("""COMPUTED_VALUE"""),"Multifuncional – Marca Kyocera – Modelo M 2040):")</f>
        <v>Multifuncional – Marca Kyocera – Modelo M 2040):</v>
      </c>
    </row>
    <row r="502">
      <c r="A502" s="11" t="str">
        <f>IFERROR(__xludf.DUMMYFUNCTION("TRANSPOSE(FILTER(ITENS!$D:$D, ITENS!$A:$A = SERVICOS!$A503))"),"Notebook I5 - Intel® CoreTM i5")</f>
        <v>Notebook I5 - Intel® CoreTM i5</v>
      </c>
    </row>
    <row r="503">
      <c r="A503" s="11" t="str">
        <f>IFERROR(__xludf.DUMMYFUNCTION("TRANSPOSE(FILTER(ITENS!$D:$D, ITENS!$A:$A = SERVICOS!$A504))"),"Notebook - Intel® CoreTM i3")</f>
        <v>Notebook - Intel® CoreTM i3</v>
      </c>
    </row>
    <row r="504">
      <c r="A504" s="11" t="str">
        <f>IFERROR(__xludf.DUMMYFUNCTION("TRANSPOSE(FILTER(ITENS!$D:$D, ITENS!$A:$A = SERVICOS!$A505))"),"Notebook I7")</f>
        <v>Notebook I7</v>
      </c>
    </row>
    <row r="505">
      <c r="A505" s="11" t="str">
        <f>IFERROR(__xludf.DUMMYFUNCTION("TRANSPOSE(FILTER(ITENS!$D:$D, ITENS!$A:$A = SERVICOS!$A506))"),"Notebook - Intel® CoreTM i7")</f>
        <v>Notebook - Intel® CoreTM i7</v>
      </c>
    </row>
    <row r="506">
      <c r="A506" s="11" t="str">
        <f>IFERROR(__xludf.DUMMYFUNCTION("TRANSPOSE(FILTER(ITENS!$D:$D, ITENS!$A:$A = SERVICOS!$A507))"),"Impressora Colorida A4 - Jato de Tinta")</f>
        <v>Impressora Colorida A4 - Jato de Tinta</v>
      </c>
    </row>
    <row r="507">
      <c r="A507" s="11" t="str">
        <f>IFERROR(__xludf.DUMMYFUNCTION("TRANSPOSE(FILTER(ITENS!$D:$D, ITENS!$A:$A = SERVICOS!$A508))"),"Notebook I7")</f>
        <v>Notebook I7</v>
      </c>
    </row>
    <row r="508">
      <c r="A508" s="11" t="str">
        <f>IFERROR(__xludf.DUMMYFUNCTION("TRANSPOSE(FILTER(ITENS!$D:$D, ITENS!$A:$A = SERVICOS!$A509))"),"Escâner de mesa da Marca Brother")</f>
        <v>Escâner de mesa da Marca Brother</v>
      </c>
    </row>
    <row r="509">
      <c r="A509" s="11" t="str">
        <f>IFERROR(__xludf.DUMMYFUNCTION("TRANSPOSE(FILTER(ITENS!$D:$D, ITENS!$A:$A = SERVICOS!$A510))"),"Multifuncional laser mono LASER A4")</f>
        <v>Multifuncional laser mono LASER A4</v>
      </c>
    </row>
    <row r="510">
      <c r="A510" s="11" t="str">
        <f>IFERROR(__xludf.DUMMYFUNCTION("TRANSPOSE(FILTER(ITENS!$D:$D, ITENS!$A:$A = SERVICOS!$A511))"),"Multifuncional laser monocromática ")</f>
        <v>Multifuncional laser monocromática </v>
      </c>
    </row>
    <row r="511">
      <c r="A511" s="11" t="str">
        <f>IFERROR(__xludf.DUMMYFUNCTION("TRANSPOSE(FILTER(ITENS!$D:$D, ITENS!$A:$A = SERVICOS!$A512))"),"Multifuncional laser monocromática ")</f>
        <v>Multifuncional laser monocromática </v>
      </c>
    </row>
    <row r="512">
      <c r="A512" s="11" t="str">
        <f>IFERROR(__xludf.DUMMYFUNCTION("TRANSPOSE(FILTER(ITENS!$D:$D, ITENS!$A:$A = SERVICOS!$A513))"),"Multifuncional laser mono LASER A4")</f>
        <v>Multifuncional laser mono LASER A4</v>
      </c>
    </row>
    <row r="513">
      <c r="A513" s="11" t="str">
        <f>IFERROR(__xludf.DUMMYFUNCTION("TRANSPOSE(FILTER(ITENS!$D:$D, ITENS!$A:$A = SERVICOS!$A514))"),"Multifuncional laser monocromática ")</f>
        <v>Multifuncional laser monocromática </v>
      </c>
    </row>
    <row r="514">
      <c r="A514" s="11" t="str">
        <f>IFERROR(__xludf.DUMMYFUNCTION("TRANSPOSE(FILTER(ITENS!$D:$D, ITENS!$A:$A = SERVICOS!$A515))"),"Multifuncional laser monocromática ")</f>
        <v>Multifuncional laser monocromática </v>
      </c>
    </row>
    <row r="515">
      <c r="A515" s="11" t="str">
        <f>IFERROR(__xludf.DUMMYFUNCTION("TRANSPOSE(FILTER(ITENS!$D:$D, ITENS!$A:$A = SERVICOS!$A516))"),"Notebook i3")</f>
        <v>Notebook i3</v>
      </c>
    </row>
    <row r="516">
      <c r="A516" s="11" t="str">
        <f>IFERROR(__xludf.DUMMYFUNCTION("TRANSPOSE(FILTER(ITENS!$D:$D, ITENS!$A:$A = SERVICOS!$A517))"),"Notebook I3")</f>
        <v>Notebook I3</v>
      </c>
    </row>
    <row r="517">
      <c r="A517" s="11" t="str">
        <f>IFERROR(__xludf.DUMMYFUNCTION("TRANSPOSE(FILTER(ITENS!$D:$D, ITENS!$A:$A = SERVICOS!$A518))"),"Computador: Core i5,")</f>
        <v>Computador: Core i5,</v>
      </c>
      <c r="B517" s="11" t="str">
        <f>IFERROR(__xludf.DUMMYFUNCTION("""COMPUTED_VALUE"""),"Computador Core i5")</f>
        <v>Computador Core i5</v>
      </c>
    </row>
    <row r="518">
      <c r="A518" s="11" t="str">
        <f>IFERROR(__xludf.DUMMYFUNCTION("TRANSPOSE(FILTER(ITENS!$D:$D, ITENS!$A:$A = SERVICOS!$A519))"),"Computador: Core i5,")</f>
        <v>Computador: Core i5,</v>
      </c>
      <c r="B518" s="11" t="str">
        <f>IFERROR(__xludf.DUMMYFUNCTION("""COMPUTED_VALUE"""),"Computador Core i5")</f>
        <v>Computador Core i5</v>
      </c>
    </row>
    <row r="519">
      <c r="A519" s="11" t="str">
        <f>IFERROR(__xludf.DUMMYFUNCTION("TRANSPOSE(FILTER(ITENS!$D:$D, ITENS!$A:$A = SERVICOS!$A520))"),"Notebook Intel® CoreTM i5,")</f>
        <v>Notebook Intel® CoreTM i5,</v>
      </c>
      <c r="B519" s="11" t="str">
        <f>IFERROR(__xludf.DUMMYFUNCTION("""COMPUTED_VALUE"""),"PACOTE OFFICE")</f>
        <v>PACOTE OFFICE</v>
      </c>
    </row>
    <row r="520">
      <c r="A520" s="11" t="str">
        <f>IFERROR(__xludf.DUMMYFUNCTION("TRANSPOSE(FILTER(ITENS!$D:$D, ITENS!$A:$A = SERVICOS!$A521))"),"Notebook Intel® CoreTM i5,")</f>
        <v>Notebook Intel® CoreTM i5,</v>
      </c>
      <c r="B520" s="11" t="str">
        <f>IFERROR(__xludf.DUMMYFUNCTION("""COMPUTED_VALUE"""),"PACOTE OFFICE")</f>
        <v>PACOTE OFFICE</v>
      </c>
    </row>
    <row r="521">
      <c r="A521" s="11" t="str">
        <f>IFERROR(__xludf.DUMMYFUNCTION("TRANSPOSE(FILTER(ITENS!$D:$D, ITENS!$A:$A = SERVICOS!$A522))"),"SCANNER DE MESA ")</f>
        <v>SCANNER DE MESA </v>
      </c>
      <c r="B521" s="11" t="str">
        <f>IFERROR(__xludf.DUMMYFUNCTION("""COMPUTED_VALUE"""),"Multifuncional Laser Monocromática ")</f>
        <v>Multifuncional Laser Monocromática </v>
      </c>
      <c r="C521" s="11" t="str">
        <f>IFERROR(__xludf.DUMMYFUNCTION("""COMPUTED_VALUE"""),"Multifuncional de tinta colocrida")</f>
        <v>Multifuncional de tinta colocrida</v>
      </c>
    </row>
    <row r="522">
      <c r="A522" s="11" t="str">
        <f>IFERROR(__xludf.DUMMYFUNCTION("TRANSPOSE(FILTER(ITENS!$D:$D, ITENS!$A:$A = SERVICOS!$A523))"),"SCANNER DE MESA ")</f>
        <v>SCANNER DE MESA </v>
      </c>
      <c r="B522" s="11" t="str">
        <f>IFERROR(__xludf.DUMMYFUNCTION("""COMPUTED_VALUE"""),"Multifuncional Laser Monocromática ")</f>
        <v>Multifuncional Laser Monocromática </v>
      </c>
      <c r="C522" s="11" t="str">
        <f>IFERROR(__xludf.DUMMYFUNCTION("""COMPUTED_VALUE"""),"Multifuncional de tinta colocrida")</f>
        <v>Multifuncional de tinta colocrida</v>
      </c>
    </row>
    <row r="523">
      <c r="A523" s="11" t="str">
        <f>IFERROR(__xludf.DUMMYFUNCTION("TRANSPOSE(FILTER(ITENS!$D:$D, ITENS!$A:$A = SERVICOS!$A524))"),"SCANNER DE MESA")</f>
        <v>SCANNER DE MESA</v>
      </c>
      <c r="B523" s="11" t="str">
        <f>IFERROR(__xludf.DUMMYFUNCTION("""COMPUTED_VALUE"""),"Multifuncional Laser Monocromática ")</f>
        <v>Multifuncional Laser Monocromática </v>
      </c>
      <c r="C523" s="11" t="str">
        <f>IFERROR(__xludf.DUMMYFUNCTION("""COMPUTED_VALUE"""),"Multifuncional de tinta colocrida")</f>
        <v>Multifuncional de tinta colocrida</v>
      </c>
    </row>
    <row r="524">
      <c r="A524" s="11" t="str">
        <f>IFERROR(__xludf.DUMMYFUNCTION("TRANSPOSE(FILTER(ITENS!$D:$D, ITENS!$A:$A = SERVICOS!$A525))"),"SCANNER DE MESA")</f>
        <v>SCANNER DE MESA</v>
      </c>
      <c r="B524" s="11" t="str">
        <f>IFERROR(__xludf.DUMMYFUNCTION("""COMPUTED_VALUE"""),"Multifuncional Laser Monocromática ")</f>
        <v>Multifuncional Laser Monocromática </v>
      </c>
      <c r="C524" s="11" t="str">
        <f>IFERROR(__xludf.DUMMYFUNCTION("""COMPUTED_VALUE"""),"Multifuncional de tinta colocrida")</f>
        <v>Multifuncional de tinta colocrida</v>
      </c>
    </row>
    <row r="525">
      <c r="A525" s="11" t="str">
        <f>IFERROR(__xludf.DUMMYFUNCTION("TRANSPOSE(FILTER(ITENS!$D:$D, ITENS!$A:$A = SERVICOS!$A526))"),"SCANNER DE MESA")</f>
        <v>SCANNER DE MESA</v>
      </c>
      <c r="B525" s="11" t="str">
        <f>IFERROR(__xludf.DUMMYFUNCTION("""COMPUTED_VALUE"""),"Multifuncional Laser Monocromática ")</f>
        <v>Multifuncional Laser Monocromática </v>
      </c>
      <c r="C525" s="11" t="str">
        <f>IFERROR(__xludf.DUMMYFUNCTION("""COMPUTED_VALUE"""),"Multifuncional de tinta colocrida")</f>
        <v>Multifuncional de tinta colocrida</v>
      </c>
    </row>
    <row r="526">
      <c r="A526" s="11" t="str">
        <f>IFERROR(__xludf.DUMMYFUNCTION("TRANSPOSE(FILTER(ITENS!$D:$D, ITENS!$A:$A = SERVICOS!$A527))"),"SCANNER DE MESA ")</f>
        <v>SCANNER DE MESA </v>
      </c>
      <c r="B526" s="11" t="str">
        <f>IFERROR(__xludf.DUMMYFUNCTION("""COMPUTED_VALUE"""),"Multifuncional Laser Monocromática ")</f>
        <v>Multifuncional Laser Monocromática </v>
      </c>
      <c r="C526" s="11" t="str">
        <f>IFERROR(__xludf.DUMMYFUNCTION("""COMPUTED_VALUE"""),"Multifuncional de tinta colocrida")</f>
        <v>Multifuncional de tinta colocrida</v>
      </c>
    </row>
    <row r="527">
      <c r="A527" s="11" t="str">
        <f>IFERROR(__xludf.DUMMYFUNCTION("TRANSPOSE(FILTER(ITENS!$D:$D, ITENS!$A:$A = SERVICOS!$A528))"),"SCANNER DE MESA")</f>
        <v>SCANNER DE MESA</v>
      </c>
      <c r="B527" s="11" t="str">
        <f>IFERROR(__xludf.DUMMYFUNCTION("""COMPUTED_VALUE"""),"Multifuncional Laser Monocromática ")</f>
        <v>Multifuncional Laser Monocromática </v>
      </c>
      <c r="C527" s="11" t="str">
        <f>IFERROR(__xludf.DUMMYFUNCTION("""COMPUTED_VALUE"""),"Multifuncional de tinta colocrida")</f>
        <v>Multifuncional de tinta colocrida</v>
      </c>
    </row>
    <row r="528">
      <c r="A528" s="11" t="str">
        <f>IFERROR(__xludf.DUMMYFUNCTION("TRANSPOSE(FILTER(ITENS!$D:$D, ITENS!$A:$A = SERVICOS!$A529))"),"SCANNER DE MESA")</f>
        <v>SCANNER DE MESA</v>
      </c>
      <c r="B528" s="11" t="str">
        <f>IFERROR(__xludf.DUMMYFUNCTION("""COMPUTED_VALUE"""),"Multifuncional Laser Monocromática ")</f>
        <v>Multifuncional Laser Monocromática </v>
      </c>
      <c r="C528" s="11" t="str">
        <f>IFERROR(__xludf.DUMMYFUNCTION("""COMPUTED_VALUE"""),"Multifuncional de tinta colocrida")</f>
        <v>Multifuncional de tinta colocrida</v>
      </c>
    </row>
    <row r="529">
      <c r="A529" s="11" t="str">
        <f>IFERROR(__xludf.DUMMYFUNCTION("TRANSPOSE(FILTER(ITENS!$D:$D, ITENS!$A:$A = SERVICOS!$A530))"),"SCANNER DE MESA")</f>
        <v>SCANNER DE MESA</v>
      </c>
      <c r="B529" s="11" t="str">
        <f>IFERROR(__xludf.DUMMYFUNCTION("""COMPUTED_VALUE"""),"Multifuncional Laser Monocromática ")</f>
        <v>Multifuncional Laser Monocromática </v>
      </c>
      <c r="C529" s="11" t="str">
        <f>IFERROR(__xludf.DUMMYFUNCTION("""COMPUTED_VALUE"""),"Multifuncional de tinta colocrida")</f>
        <v>Multifuncional de tinta colocrida</v>
      </c>
    </row>
    <row r="530">
      <c r="A530" s="11" t="str">
        <f>IFERROR(__xludf.DUMMYFUNCTION("TRANSPOSE(FILTER(ITENS!$D:$D, ITENS!$A:$A = SERVICOS!$A531))"),"SCANNER DE MESA")</f>
        <v>SCANNER DE MESA</v>
      </c>
      <c r="B530" s="11" t="str">
        <f>IFERROR(__xludf.DUMMYFUNCTION("""COMPUTED_VALUE"""),"Multifuncional Laser Monocromática ")</f>
        <v>Multifuncional Laser Monocromática </v>
      </c>
      <c r="C530" s="11" t="str">
        <f>IFERROR(__xludf.DUMMYFUNCTION("""COMPUTED_VALUE"""),"Multifuncional de tinta colocrida")</f>
        <v>Multifuncional de tinta colocrida</v>
      </c>
    </row>
    <row r="531">
      <c r="A531" s="11" t="str">
        <f>IFERROR(__xludf.DUMMYFUNCTION("TRANSPOSE(FILTER(ITENS!$D:$D, ITENS!$A:$A = SERVICOS!$A532))"),"SCANNER DE MESA")</f>
        <v>SCANNER DE MESA</v>
      </c>
      <c r="B531" s="11" t="str">
        <f>IFERROR(__xludf.DUMMYFUNCTION("""COMPUTED_VALUE"""),"Multifuncional Laser Monocromática ")</f>
        <v>Multifuncional Laser Monocromática </v>
      </c>
      <c r="C531" s="11" t="str">
        <f>IFERROR(__xludf.DUMMYFUNCTION("""COMPUTED_VALUE"""),"Multifuncional de tinta colocrida")</f>
        <v>Multifuncional de tinta colocrida</v>
      </c>
    </row>
    <row r="532">
      <c r="A532" s="11" t="str">
        <f>IFERROR(__xludf.DUMMYFUNCTION("TRANSPOSE(FILTER(ITENS!$D:$D, ITENS!$A:$A = SERVICOS!$A533))"),"SCANNER DE MESA")</f>
        <v>SCANNER DE MESA</v>
      </c>
      <c r="B532" s="11" t="str">
        <f>IFERROR(__xludf.DUMMYFUNCTION("""COMPUTED_VALUE"""),"Multifuncional Laser Monocromática ")</f>
        <v>Multifuncional Laser Monocromática </v>
      </c>
      <c r="C532" s="11" t="str">
        <f>IFERROR(__xludf.DUMMYFUNCTION("""COMPUTED_VALUE"""),"Multifuncional de tinta colocrida")</f>
        <v>Multifuncional de tinta colocrida</v>
      </c>
    </row>
    <row r="533">
      <c r="A533" s="11" t="str">
        <f>IFERROR(__xludf.DUMMYFUNCTION("TRANSPOSE(FILTER(ITENS!$D:$D, ITENS!$A:$A = SERVICOS!$A534))"),"IMPRESSORA DE CARTÕES, LEITOR NFC")</f>
        <v>IMPRESSORA DE CARTÕES, LEITOR NFC</v>
      </c>
      <c r="B533" s="11" t="str">
        <f>IFERROR(__xludf.DUMMYFUNCTION("""COMPUTED_VALUE"""),"Smartphone")</f>
        <v>Smartphone</v>
      </c>
      <c r="C533" s="11" t="str">
        <f>IFERROR(__xludf.DUMMYFUNCTION("""COMPUTED_VALUE"""),"SOFTWARE PARA ELABORAÇÃO DE CARTÕES")</f>
        <v>SOFTWARE PARA ELABORAÇÃO DE CARTÕES</v>
      </c>
    </row>
    <row r="534">
      <c r="A534" s="11" t="str">
        <f>IFERROR(__xludf.DUMMYFUNCTION("TRANSPOSE(FILTER(ITENS!$D:$D, ITENS!$A:$A = SERVICOS!$A535))"),"IMPRESSORA MULTIFUNCIONAL  MONOCROMÁTICA")</f>
        <v>IMPRESSORA MULTIFUNCIONAL  MONOCROMÁTICA</v>
      </c>
    </row>
    <row r="535">
      <c r="A535" s="11" t="str">
        <f>IFERROR(__xludf.DUMMYFUNCTION("TRANSPOSE(FILTER(ITENS!$D:$D, ITENS!$A:$A = SERVICOS!$A536))"),"Nobreak 3200 VA")</f>
        <v>Nobreak 3200 VA</v>
      </c>
    </row>
    <row r="536">
      <c r="A536" s="11" t="str">
        <f>IFERROR(__xludf.DUMMYFUNCTION("TRANSPOSE(FILTER(ITENS!$D:$D, ITENS!$A:$A = SERVICOS!$A537))"),"Nobreak 3200 VA")</f>
        <v>Nobreak 3200 VA</v>
      </c>
    </row>
    <row r="537">
      <c r="A537" s="11" t="str">
        <f>IFERROR(__xludf.DUMMYFUNCTION("TRANSPOSE(FILTER(ITENS!$D:$D, ITENS!$A:$A = SERVICOS!$A538))"),"IMPRESSORA MULTIFUNCIONAL –")</f>
        <v>IMPRESSORA MULTIFUNCIONAL –</v>
      </c>
      <c r="B537" s="11" t="str">
        <f>IFERROR(__xludf.DUMMYFUNCTION("""COMPUTED_VALUE"""),"MICRO I5")</f>
        <v>MICRO I5</v>
      </c>
    </row>
    <row r="538">
      <c r="A538" s="11" t="str">
        <f>IFERROR(__xludf.DUMMYFUNCTION("TRANSPOSE(FILTER(ITENS!$D:$D, ITENS!$A:$A = SERVICOS!$A539))"),"IMPRESSORA MULTIFUNCIONAL –")</f>
        <v>IMPRESSORA MULTIFUNCIONAL –</v>
      </c>
      <c r="B538" s="11" t="str">
        <f>IFERROR(__xludf.DUMMYFUNCTION("""COMPUTED_VALUE"""),"MICRO I5")</f>
        <v>MICRO I5</v>
      </c>
    </row>
    <row r="539">
      <c r="A539" s="11" t="str">
        <f>IFERROR(__xludf.DUMMYFUNCTION("TRANSPOSE(FILTER(ITENS!$D:$D, ITENS!$A:$A = SERVICOS!$A540))"),"Multifuncional Jato de Tinta - SUPRIMIDA DO CONTRATO")</f>
        <v>Multifuncional Jato de Tinta - SUPRIMIDA DO CONTRATO</v>
      </c>
      <c r="B539" s="11" t="str">
        <f>IFERROR(__xludf.DUMMYFUNCTION("""COMPUTED_VALUE"""),"Multifuncional Laser - ACRESCIDA  AO CONTRATO")</f>
        <v>Multifuncional Laser - ACRESCIDA  AO CONTRATO</v>
      </c>
      <c r="C539" s="11" t="str">
        <f>IFERROR(__xludf.DUMMYFUNCTION("""COMPUTED_VALUE"""),"MICRO I5 - PERMANECEU NO CONTRATO")</f>
        <v>MICRO I5 - PERMANECEU NO CONTRATO</v>
      </c>
    </row>
    <row r="540">
      <c r="A540" s="11" t="str">
        <f>IFERROR(__xludf.DUMMYFUNCTION("TRANSPOSE(FILTER(ITENS!$D:$D, ITENS!$A:$A = SERVICOS!$A541))"),"Multifuncional Jato de Tinta - SUPRIMIDA DO CONTRATO")</f>
        <v>Multifuncional Jato de Tinta - SUPRIMIDA DO CONTRATO</v>
      </c>
      <c r="B540" s="11" t="str">
        <f>IFERROR(__xludf.DUMMYFUNCTION("""COMPUTED_VALUE"""),"Multifuncional Laser - ACRESCIDA  AO CONTRATO")</f>
        <v>Multifuncional Laser - ACRESCIDA  AO CONTRATO</v>
      </c>
      <c r="C540" s="11" t="str">
        <f>IFERROR(__xludf.DUMMYFUNCTION("""COMPUTED_VALUE"""),"MICRO I5 - PERMANECEU NO CONTRATO")</f>
        <v>MICRO I5 - PERMANECEU NO CONTRATO</v>
      </c>
    </row>
    <row r="541">
      <c r="A541" s="11" t="str">
        <f>IFERROR(__xludf.DUMMYFUNCTION("TRANSPOSE(FILTER(ITENS!$D:$D, ITENS!$A:$A = SERVICOS!$A542))"),"Multifuncional Jato de Tinta - SUPRIMIDA DO CONTRATO")</f>
        <v>Multifuncional Jato de Tinta - SUPRIMIDA DO CONTRATO</v>
      </c>
      <c r="B541" s="11" t="str">
        <f>IFERROR(__xludf.DUMMYFUNCTION("""COMPUTED_VALUE"""),"Multifuncional Laser - ACRESCIDA  AO CONTRATO")</f>
        <v>Multifuncional Laser - ACRESCIDA  AO CONTRATO</v>
      </c>
      <c r="C541" s="11" t="str">
        <f>IFERROR(__xludf.DUMMYFUNCTION("""COMPUTED_VALUE"""),"MICRO I5 - PERMANECEU NO CONTRATO")</f>
        <v>MICRO I5 - PERMANECEU NO CONTRATO</v>
      </c>
    </row>
    <row r="542">
      <c r="A542" s="11" t="str">
        <f>IFERROR(__xludf.DUMMYFUNCTION("TRANSPOSE(FILTER(ITENS!$D:$D, ITENS!$A:$A = SERVICOS!$A543))"),"Multifuncional Laser -")</f>
        <v>Multifuncional Laser -</v>
      </c>
      <c r="B542" s="11" t="str">
        <f>IFERROR(__xludf.DUMMYFUNCTION("""COMPUTED_VALUE"""),"MICRO I5")</f>
        <v>MICRO I5</v>
      </c>
    </row>
    <row r="543">
      <c r="A543" s="11" t="str">
        <f>IFERROR(__xludf.DUMMYFUNCTION("TRANSPOSE(FILTER(ITENS!$D:$D, ITENS!$A:$A = SERVICOS!$A544))"),"Multifuncional Laser -")</f>
        <v>Multifuncional Laser -</v>
      </c>
      <c r="B543" s="11" t="str">
        <f>IFERROR(__xludf.DUMMYFUNCTION("""COMPUTED_VALUE"""),"MICRO I5")</f>
        <v>MICRO I5</v>
      </c>
    </row>
    <row r="544">
      <c r="A544" s="11" t="str">
        <f>IFERROR(__xludf.DUMMYFUNCTION("TRANSPOSE(FILTER(ITENS!$D:$D, ITENS!$A:$A = SERVICOS!$A545))"),"Notebook - Intel® CoreTM i3")</f>
        <v>Notebook - Intel® CoreTM i3</v>
      </c>
      <c r="B544" s="11" t="str">
        <f>IFERROR(__xludf.DUMMYFUNCTION("""COMPUTED_VALUE"""),"Escânner de Mesa")</f>
        <v>Escânner de Mesa</v>
      </c>
    </row>
    <row r="545">
      <c r="A545" s="11" t="str">
        <f>IFERROR(__xludf.DUMMYFUNCTION("TRANSPOSE(FILTER(ITENS!$D:$D, ITENS!$A:$A = SERVICOS!$A546))"),"Notebook - Intel® CoreTM i3")</f>
        <v>Notebook - Intel® CoreTM i3</v>
      </c>
      <c r="B545" s="11" t="str">
        <f>IFERROR(__xludf.DUMMYFUNCTION("""COMPUTED_VALUE"""),"Escânner de Mesa")</f>
        <v>Escânner de Mesa</v>
      </c>
    </row>
    <row r="546">
      <c r="A546" s="11" t="str">
        <f>IFERROR(__xludf.DUMMYFUNCTION("TRANSPOSE(FILTER(ITENS!$D:$D, ITENS!$A:$A = SERVICOS!$A547))"),"Multifuncional Monocromática Laser")</f>
        <v>Multifuncional Monocromática Laser</v>
      </c>
    </row>
    <row r="547">
      <c r="A547" s="11" t="str">
        <f>IFERROR(__xludf.DUMMYFUNCTION("TRANSPOSE(FILTER(ITENS!$D:$D, ITENS!$A:$A = SERVICOS!$A548))"),"Multifuncional Monocromática Laser")</f>
        <v>Multifuncional Monocromática Laser</v>
      </c>
    </row>
    <row r="548">
      <c r="A548" s="11" t="str">
        <f>IFERROR(__xludf.DUMMYFUNCTION("TRANSPOSE(FILTER(ITENS!$D:$D, ITENS!$A:$A = SERVICOS!$A549))"),"Multifuncional Monocromática Laser")</f>
        <v>Multifuncional Monocromática Laser</v>
      </c>
    </row>
    <row r="549">
      <c r="A549" s="11" t="str">
        <f>IFERROR(__xludf.DUMMYFUNCTION("TRANSPOSE(FILTER(ITENS!$D:$D, ITENS!$A:$A = SERVICOS!$A550))"),"NOTEBOOK I5")</f>
        <v>NOTEBOOK I5</v>
      </c>
      <c r="B549" s="11" t="str">
        <f>IFERROR(__xludf.DUMMYFUNCTION("""COMPUTED_VALUE"""),"SISTEMA OPERACIONAL OFFICE")</f>
        <v>SISTEMA OPERACIONAL OFFICE</v>
      </c>
    </row>
    <row r="550">
      <c r="A550" s="11" t="str">
        <f>IFERROR(__xludf.DUMMYFUNCTION("TRANSPOSE(FILTER(ITENS!$D:$D, ITENS!$A:$A = SERVICOS!$A551))"),"NOTEBOOK I5")</f>
        <v>NOTEBOOK I5</v>
      </c>
      <c r="B550" s="11" t="str">
        <f>IFERROR(__xludf.DUMMYFUNCTION("""COMPUTED_VALUE"""),"SISTEMA OPERACIONAL OFFICE")</f>
        <v>SISTEMA OPERACIONAL OFFICE</v>
      </c>
    </row>
    <row r="551">
      <c r="A551" s="11" t="str">
        <f>IFERROR(__xludf.DUMMYFUNCTION("TRANSPOSE(FILTER(ITENS!$D:$D, ITENS!$A:$A = SERVICOS!$A552))"),"NOTEBOOK I5 - SUPRIMIDO DO CONTRATO")</f>
        <v>NOTEBOOK I5 - SUPRIMIDO DO CONTRATO</v>
      </c>
      <c r="B551" s="11" t="str">
        <f>IFERROR(__xludf.DUMMYFUNCTION("""COMPUTED_VALUE"""),"SISTEMA OPERACIONAL OFFICE - SUPRIMIDO DO CONTRATO")</f>
        <v>SISTEMA OPERACIONAL OFFICE - SUPRIMIDO DO CONTRATO</v>
      </c>
      <c r="C551" s="11" t="str">
        <f>IFERROR(__xludf.DUMMYFUNCTION("""COMPUTED_VALUE"""),"MULTIFUNCIONAL JATO DE TINTA - ACRÉSCIMO DO CONTRATO")</f>
        <v>MULTIFUNCIONAL JATO DE TINTA - ACRÉSCIMO DO CONTRATO</v>
      </c>
      <c r="D551" s="11" t="str">
        <f>IFERROR(__xludf.DUMMYFUNCTION("""COMPUTED_VALUE"""),"MONITOR BLUECASE LED 23,6")</f>
        <v>MONITOR BLUECASE LED 23,6</v>
      </c>
    </row>
    <row r="552">
      <c r="A552" s="11" t="str">
        <f>IFERROR(__xludf.DUMMYFUNCTION("TRANSPOSE(FILTER(ITENS!$D:$D, ITENS!$A:$A = SERVICOS!$A553))"),"NOTEBOOK I5 - SUPRIMIDO DO CONTRATO")</f>
        <v>NOTEBOOK I5 - SUPRIMIDO DO CONTRATO</v>
      </c>
      <c r="B552" s="11" t="str">
        <f>IFERROR(__xludf.DUMMYFUNCTION("""COMPUTED_VALUE"""),"SISTEMA OPERACIONAL OFFICE - SUPRIMIDO DO CONTRATO")</f>
        <v>SISTEMA OPERACIONAL OFFICE - SUPRIMIDO DO CONTRATO</v>
      </c>
      <c r="C552" s="11" t="str">
        <f>IFERROR(__xludf.DUMMYFUNCTION("""COMPUTED_VALUE"""),"MULTIFUNCIONAL JATO DE TINTA - ACRÉSCIMO DO CONTRATO")</f>
        <v>MULTIFUNCIONAL JATO DE TINTA - ACRÉSCIMO DO CONTRATO</v>
      </c>
      <c r="D552" s="11" t="str">
        <f>IFERROR(__xludf.DUMMYFUNCTION("""COMPUTED_VALUE"""),"MONITOR BLUECASE LED 23,6")</f>
        <v>MONITOR BLUECASE LED 23,6</v>
      </c>
    </row>
    <row r="553">
      <c r="A553" s="11" t="str">
        <f>IFERROR(__xludf.DUMMYFUNCTION("TRANSPOSE(FILTER(ITENS!$D:$D, ITENS!$A:$A = SERVICOS!$A554))"),"NOTEBOOK I5 - SUPRIMIDO DO CONTRATO")</f>
        <v>NOTEBOOK I5 - SUPRIMIDO DO CONTRATO</v>
      </c>
      <c r="B553" s="11" t="str">
        <f>IFERROR(__xludf.DUMMYFUNCTION("""COMPUTED_VALUE"""),"SISTEMA OPERACIONAL OFFICE - SUPRIMIDO DO CONTRATO")</f>
        <v>SISTEMA OPERACIONAL OFFICE - SUPRIMIDO DO CONTRATO</v>
      </c>
      <c r="C553" s="11" t="str">
        <f>IFERROR(__xludf.DUMMYFUNCTION("""COMPUTED_VALUE"""),"MULTIFUNCIONAL JATO DE TINTA - ACRÉSCIMO DO CONTRATO")</f>
        <v>MULTIFUNCIONAL JATO DE TINTA - ACRÉSCIMO DO CONTRATO</v>
      </c>
      <c r="D553" s="11" t="str">
        <f>IFERROR(__xludf.DUMMYFUNCTION("""COMPUTED_VALUE"""),"MONITOR BLUECASE LED 23,6")</f>
        <v>MONITOR BLUECASE LED 23,6</v>
      </c>
    </row>
    <row r="554">
      <c r="A554" s="11" t="str">
        <f>IFERROR(__xludf.DUMMYFUNCTION("TRANSPOSE(FILTER(ITENS!$D:$D, ITENS!$A:$A = SERVICOS!$A555))"),"NOTEBOOK I5 - SUPRIMIDO DO CONTRATO")</f>
        <v>NOTEBOOK I5 - SUPRIMIDO DO CONTRATO</v>
      </c>
      <c r="B554" s="11" t="str">
        <f>IFERROR(__xludf.DUMMYFUNCTION("""COMPUTED_VALUE"""),"SISTEMA OPERACIONAL OFFICE - SUPRIMIDO DO CONTRATO")</f>
        <v>SISTEMA OPERACIONAL OFFICE - SUPRIMIDO DO CONTRATO</v>
      </c>
      <c r="C554" s="11" t="str">
        <f>IFERROR(__xludf.DUMMYFUNCTION("""COMPUTED_VALUE"""),"MULTIFUNCIONAL JATO DE TINTA - ACRÉSCIMO DO CONTRATO")</f>
        <v>MULTIFUNCIONAL JATO DE TINTA - ACRÉSCIMO DO CONTRATO</v>
      </c>
      <c r="D554" s="11" t="str">
        <f>IFERROR(__xludf.DUMMYFUNCTION("""COMPUTED_VALUE"""),"MONITOR BLUECASE LED 23,6")</f>
        <v>MONITOR BLUECASE LED 23,6</v>
      </c>
    </row>
    <row r="555">
      <c r="A555" s="11" t="str">
        <f>IFERROR(__xludf.DUMMYFUNCTION("TRANSPOSE(FILTER(ITENS!$D:$D, ITENS!$A:$A = SERVICOS!$A556))"),"Notebook - Intel® CoreTM i3")</f>
        <v>Notebook - Intel® CoreTM i3</v>
      </c>
      <c r="B555" s="11" t="str">
        <f>IFERROR(__xludf.DUMMYFUNCTION("""COMPUTED_VALUE"""),"Notebook - Intel® CoreTM i5")</f>
        <v>Notebook - Intel® CoreTM i5</v>
      </c>
      <c r="C555" s="11" t="str">
        <f>IFERROR(__xludf.DUMMYFUNCTION("""COMPUTED_VALUE"""),"Monitor")</f>
        <v>Monitor</v>
      </c>
      <c r="D555" s="11" t="str">
        <f>IFERROR(__xludf.DUMMYFUNCTION("""COMPUTED_VALUE"""),"Tablet Samsung Galaxy S8")</f>
        <v>Tablet Samsung Galaxy S8</v>
      </c>
      <c r="E555" s="11" t="str">
        <f>IFERROR(__xludf.DUMMYFUNCTION("""COMPUTED_VALUE"""),"Tablet Samsung A9")</f>
        <v>Tablet Samsung A9</v>
      </c>
    </row>
    <row r="556">
      <c r="A556" s="11" t="str">
        <f>IFERROR(__xludf.DUMMYFUNCTION("TRANSPOSE(FILTER(ITENS!$D:$D, ITENS!$A:$A = SERVICOS!$A557))"),"Notebook - Intel® CoreTM i3")</f>
        <v>Notebook - Intel® CoreTM i3</v>
      </c>
      <c r="B556" s="11" t="str">
        <f>IFERROR(__xludf.DUMMYFUNCTION("""COMPUTED_VALUE"""),"Notebook - Intel® CoreTM i5")</f>
        <v>Notebook - Intel® CoreTM i5</v>
      </c>
      <c r="C556" s="11" t="str">
        <f>IFERROR(__xludf.DUMMYFUNCTION("""COMPUTED_VALUE"""),"Monitor")</f>
        <v>Monitor</v>
      </c>
      <c r="D556" s="11" t="str">
        <f>IFERROR(__xludf.DUMMYFUNCTION("""COMPUTED_VALUE"""),"Tablet Samsung Galaxy S8")</f>
        <v>Tablet Samsung Galaxy S8</v>
      </c>
      <c r="E556" s="11" t="str">
        <f>IFERROR(__xludf.DUMMYFUNCTION("""COMPUTED_VALUE"""),"Tablet Samsung A9")</f>
        <v>Tablet Samsung A9</v>
      </c>
    </row>
    <row r="557">
      <c r="A557" s="11" t="str">
        <f>IFERROR(__xludf.DUMMYFUNCTION("TRANSPOSE(FILTER(ITENS!$D:$D, ITENS!$A:$A = SERVICOS!$A558))"),"Notebook - Intel® CoreTM i3")</f>
        <v>Notebook - Intel® CoreTM i3</v>
      </c>
      <c r="B557" s="11" t="str">
        <f>IFERROR(__xludf.DUMMYFUNCTION("""COMPUTED_VALUE"""),"Notebook - Intel® CoreTM i5")</f>
        <v>Notebook - Intel® CoreTM i5</v>
      </c>
      <c r="C557" s="11" t="str">
        <f>IFERROR(__xludf.DUMMYFUNCTION("""COMPUTED_VALUE"""),"Monitor")</f>
        <v>Monitor</v>
      </c>
      <c r="D557" s="11" t="str">
        <f>IFERROR(__xludf.DUMMYFUNCTION("""COMPUTED_VALUE"""),"Tablet Samsung Galaxy S8")</f>
        <v>Tablet Samsung Galaxy S8</v>
      </c>
      <c r="E557" s="11" t="str">
        <f>IFERROR(__xludf.DUMMYFUNCTION("""COMPUTED_VALUE"""),"Tablet Samsung A9")</f>
        <v>Tablet Samsung A9</v>
      </c>
    </row>
    <row r="558">
      <c r="A558" s="11" t="str">
        <f>IFERROR(__xludf.DUMMYFUNCTION("TRANSPOSE(FILTER(ITENS!$D:$D, ITENS!$A:$A = SERVICOS!$A559))"),"Notebook - Intel® CoreTM i3")</f>
        <v>Notebook - Intel® CoreTM i3</v>
      </c>
      <c r="B558" s="11" t="str">
        <f>IFERROR(__xludf.DUMMYFUNCTION("""COMPUTED_VALUE"""),"Notebook - Intel® CoreTM i5")</f>
        <v>Notebook - Intel® CoreTM i5</v>
      </c>
      <c r="C558" s="11" t="str">
        <f>IFERROR(__xludf.DUMMYFUNCTION("""COMPUTED_VALUE"""),"Monitor")</f>
        <v>Monitor</v>
      </c>
      <c r="D558" s="11" t="str">
        <f>IFERROR(__xludf.DUMMYFUNCTION("""COMPUTED_VALUE"""),"Tablet Samsung Galaxy S8")</f>
        <v>Tablet Samsung Galaxy S8</v>
      </c>
      <c r="E558" s="11" t="str">
        <f>IFERROR(__xludf.DUMMYFUNCTION("""COMPUTED_VALUE"""),"Tablet Samsung A9")</f>
        <v>Tablet Samsung A9</v>
      </c>
    </row>
    <row r="559">
      <c r="A559" s="11" t="str">
        <f>IFERROR(__xludf.DUMMYFUNCTION("TRANSPOSE(FILTER(ITENS!$D:$D, ITENS!$A:$A = SERVICOS!$A560))"),"Notebook - Intel® CoreTM i3")</f>
        <v>Notebook - Intel® CoreTM i3</v>
      </c>
      <c r="B559" s="11" t="str">
        <f>IFERROR(__xludf.DUMMYFUNCTION("""COMPUTED_VALUE"""),"Notebook - Intel® CoreTM i5")</f>
        <v>Notebook - Intel® CoreTM i5</v>
      </c>
      <c r="C559" s="11" t="str">
        <f>IFERROR(__xludf.DUMMYFUNCTION("""COMPUTED_VALUE"""),"Monitor")</f>
        <v>Monitor</v>
      </c>
      <c r="D559" s="11" t="str">
        <f>IFERROR(__xludf.DUMMYFUNCTION("""COMPUTED_VALUE"""),"Tablet Samsung Galaxy S8")</f>
        <v>Tablet Samsung Galaxy S8</v>
      </c>
      <c r="E559" s="11" t="str">
        <f>IFERROR(__xludf.DUMMYFUNCTION("""COMPUTED_VALUE"""),"Tablet Samsung A9")</f>
        <v>Tablet Samsung A9</v>
      </c>
    </row>
    <row r="560">
      <c r="A560" s="11" t="str">
        <f>IFERROR(__xludf.DUMMYFUNCTION("TRANSPOSE(FILTER(ITENS!$D:$D, ITENS!$A:$A = SERVICOS!$A561))"),"Outsourcing de Impressão P&amp;B")</f>
        <v>Outsourcing de Impressão P&amp;B</v>
      </c>
    </row>
    <row r="561">
      <c r="A561" s="11" t="str">
        <f>IFERROR(__xludf.DUMMYFUNCTION("TRANSPOSE(FILTER(ITENS!$D:$D, ITENS!$A:$A = SERVICOS!$A562))"),"Outsourcing de Impressão P&amp;B")</f>
        <v>Outsourcing de Impressão P&amp;B</v>
      </c>
    </row>
    <row r="562">
      <c r="A562" s="11" t="str">
        <f>IFERROR(__xludf.DUMMYFUNCTION("TRANSPOSE(FILTER(ITENS!$D:$D, ITENS!$A:$A = SERVICOS!$A563))"),"Outsourcing de Impressão P&amp;B")</f>
        <v>Outsourcing de Impressão P&amp;B</v>
      </c>
      <c r="B562" s="11" t="str">
        <f>IFERROR(__xludf.DUMMYFUNCTION("""COMPUTED_VALUE"""),"Outsourcing de Impressão Colorida")</f>
        <v>Outsourcing de Impressão Colorida</v>
      </c>
    </row>
    <row r="563">
      <c r="A563" s="11" t="str">
        <f>IFERROR(__xludf.DUMMYFUNCTION("TRANSPOSE(FILTER(ITENS!$D:$D, ITENS!$A:$A = SERVICOS!$A564))"),"Outsourcing de Impressão P&amp;B")</f>
        <v>Outsourcing de Impressão P&amp;B</v>
      </c>
      <c r="B563" s="11" t="str">
        <f>IFERROR(__xludf.DUMMYFUNCTION("""COMPUTED_VALUE"""),"Outsourcing de Impressão Colorida")</f>
        <v>Outsourcing de Impressão Colorida</v>
      </c>
    </row>
    <row r="564">
      <c r="A564" s="11" t="str">
        <f>IFERROR(__xludf.DUMMYFUNCTION("TRANSPOSE(FILTER(ITENS!$D:$D, ITENS!$A:$A = SERVICOS!$A565))"),"Outsourcing de Impressão P&amp;B")</f>
        <v>Outsourcing de Impressão P&amp;B</v>
      </c>
    </row>
    <row r="565">
      <c r="A565" s="11" t="str">
        <f>IFERROR(__xludf.DUMMYFUNCTION("TRANSPOSE(FILTER(ITENS!$D:$D, ITENS!$A:$A = SERVICOS!$A566))"),"Outsourcing de Impressão P&amp;B")</f>
        <v>Outsourcing de Impressão P&amp;B</v>
      </c>
    </row>
    <row r="566">
      <c r="A566" s="11" t="str">
        <f>IFERROR(__xludf.DUMMYFUNCTION("TRANSPOSE(FILTER(ITENS!$D:$D, ITENS!$A:$A = SERVICOS!$A567))"),"Outsourcing de Impressão P&amp;B")</f>
        <v>Outsourcing de Impressão P&amp;B</v>
      </c>
      <c r="B566" s="11" t="str">
        <f>IFERROR(__xludf.DUMMYFUNCTION("""COMPUTED_VALUE"""),"Outsourcing de Impressão Colorida")</f>
        <v>Outsourcing de Impressão Colorida</v>
      </c>
    </row>
    <row r="567">
      <c r="A567" s="11" t="str">
        <f>IFERROR(__xludf.DUMMYFUNCTION("TRANSPOSE(FILTER(ITENS!$D:$D, ITENS!$A:$A = SERVICOS!$A568))"),"Outsourcing de Impressão P&amp;B")</f>
        <v>Outsourcing de Impressão P&amp;B</v>
      </c>
      <c r="B567" s="11" t="str">
        <f>IFERROR(__xludf.DUMMYFUNCTION("""COMPUTED_VALUE"""),"Outsourcing de Impressão Colorida")</f>
        <v>Outsourcing de Impressão Colorida</v>
      </c>
    </row>
    <row r="568">
      <c r="A568" s="11" t="str">
        <f>IFERROR(__xludf.DUMMYFUNCTION("TRANSPOSE(FILTER(ITENS!$D:$D, ITENS!$A:$A = SERVICOS!$A569))"),"LOCAÇÃO MICROCOMPUTADOR i3")</f>
        <v>LOCAÇÃO MICROCOMPUTADOR i3</v>
      </c>
      <c r="B568" s="11" t="str">
        <f>IFERROR(__xludf.DUMMYFUNCTION("""COMPUTED_VALUE"""),"LOCAÇÃO DE MICROCOMPUTADOR i5")</f>
        <v>LOCAÇÃO DE MICROCOMPUTADOR i5</v>
      </c>
      <c r="C568" s="11" t="str">
        <f>IFERROR(__xludf.DUMMYFUNCTION("""COMPUTED_VALUE"""),"LOCAÇÃO DE NOTEBOOK Intel CORE I3")</f>
        <v>LOCAÇÃO DE NOTEBOOK Intel CORE I3</v>
      </c>
      <c r="D568" s="11" t="str">
        <f>IFERROR(__xludf.DUMMYFUNCTION("""COMPUTED_VALUE"""),"IMPRESSORA LASER MONOCROMÁTICA ")</f>
        <v>IMPRESSORA LASER MONOCROMÁTICA </v>
      </c>
      <c r="E568" s="11" t="str">
        <f>IFERROR(__xludf.DUMMYFUNCTION("""COMPUTED_VALUE"""),"IMPRESSORA MULTIFUNCIONAL LASER MONOCROMÁTICA")</f>
        <v>IMPRESSORA MULTIFUNCIONAL LASER MONOCROMÁTICA</v>
      </c>
    </row>
    <row r="569">
      <c r="A569" s="11" t="str">
        <f>IFERROR(__xludf.DUMMYFUNCTION("TRANSPOSE(FILTER(ITENS!$D:$D, ITENS!$A:$A = SERVICOS!$A570))"),"LOCAÇÃO MICROCOMPUTADOR i3")</f>
        <v>LOCAÇÃO MICROCOMPUTADOR i3</v>
      </c>
      <c r="B569" s="11" t="str">
        <f>IFERROR(__xludf.DUMMYFUNCTION("""COMPUTED_VALUE"""),"LOCAÇÃO DE MICROCOMPUTADOR i5")</f>
        <v>LOCAÇÃO DE MICROCOMPUTADOR i5</v>
      </c>
      <c r="C569" s="11" t="str">
        <f>IFERROR(__xludf.DUMMYFUNCTION("""COMPUTED_VALUE"""),"LOCAÇÃO DE NOTEBOOK Intel CORE I3")</f>
        <v>LOCAÇÃO DE NOTEBOOK Intel CORE I3</v>
      </c>
      <c r="D569" s="11" t="str">
        <f>IFERROR(__xludf.DUMMYFUNCTION("""COMPUTED_VALUE"""),"IMPRESSORA LASER MONOCROMÁTICA ")</f>
        <v>IMPRESSORA LASER MONOCROMÁTICA </v>
      </c>
      <c r="E569" s="11" t="str">
        <f>IFERROR(__xludf.DUMMYFUNCTION("""COMPUTED_VALUE"""),"IMPRESSORA MULTIFUNCIONAL LASER MONOCROMÁTICA")</f>
        <v>IMPRESSORA MULTIFUNCIONAL LASER MONOCROMÁTICA</v>
      </c>
    </row>
    <row r="570">
      <c r="A570" s="11" t="str">
        <f>IFERROR(__xludf.DUMMYFUNCTION("TRANSPOSE(FILTER(ITENS!$D:$D, ITENS!$A:$A = SERVICOS!$A571))"),"LOCAÇÃO MICROCOMPUTADOR i3")</f>
        <v>LOCAÇÃO MICROCOMPUTADOR i3</v>
      </c>
      <c r="B570" s="11" t="str">
        <f>IFERROR(__xludf.DUMMYFUNCTION("""COMPUTED_VALUE"""),"LOCAÇÃO DE MICROCOMPUTADOR i5")</f>
        <v>LOCAÇÃO DE MICROCOMPUTADOR i5</v>
      </c>
      <c r="C570" s="11" t="str">
        <f>IFERROR(__xludf.DUMMYFUNCTION("""COMPUTED_VALUE"""),"LOCAÇÃO DE NOTEBOOK Intel CORE I3")</f>
        <v>LOCAÇÃO DE NOTEBOOK Intel CORE I3</v>
      </c>
      <c r="D570" s="11" t="str">
        <f>IFERROR(__xludf.DUMMYFUNCTION("""COMPUTED_VALUE"""),"IMPRESSORA LASER MONOCROMÁTICA ")</f>
        <v>IMPRESSORA LASER MONOCROMÁTICA </v>
      </c>
      <c r="E570" s="11" t="str">
        <f>IFERROR(__xludf.DUMMYFUNCTION("""COMPUTED_VALUE"""),"IMPRESSORA MULTIFUNCIONAL LASER MONOCROMÁTICA")</f>
        <v>IMPRESSORA MULTIFUNCIONAL LASER MONOCROMÁTICA</v>
      </c>
    </row>
    <row r="571">
      <c r="A571" s="11" t="str">
        <f>IFERROR(__xludf.DUMMYFUNCTION("TRANSPOSE(FILTER(ITENS!$D:$D, ITENS!$A:$A = SERVICOS!$A572))"),"LOCAÇÃO MICROCOMPUTADOR i3")</f>
        <v>LOCAÇÃO MICROCOMPUTADOR i3</v>
      </c>
      <c r="B571" s="11" t="str">
        <f>IFERROR(__xludf.DUMMYFUNCTION("""COMPUTED_VALUE"""),"LOCAÇÃO DE MICROCOMPUTADOR i5")</f>
        <v>LOCAÇÃO DE MICROCOMPUTADOR i5</v>
      </c>
      <c r="C571" s="11" t="str">
        <f>IFERROR(__xludf.DUMMYFUNCTION("""COMPUTED_VALUE"""),"LOCAÇÃO DE NOTEBOOK Intel CORE I3")</f>
        <v>LOCAÇÃO DE NOTEBOOK Intel CORE I3</v>
      </c>
      <c r="D571" s="11" t="str">
        <f>IFERROR(__xludf.DUMMYFUNCTION("""COMPUTED_VALUE"""),"IMPRESSORA LASER MONOCROMÁTICA ")</f>
        <v>IMPRESSORA LASER MONOCROMÁTICA </v>
      </c>
      <c r="E571" s="11" t="str">
        <f>IFERROR(__xludf.DUMMYFUNCTION("""COMPUTED_VALUE"""),"IMPRESSORA MULTIFUNCIONAL LASER MONOCROMÁTICA")</f>
        <v>IMPRESSORA MULTIFUNCIONAL LASER MONOCROMÁTICA</v>
      </c>
    </row>
    <row r="572">
      <c r="A572" s="11" t="str">
        <f>IFERROR(__xludf.DUMMYFUNCTION("TRANSPOSE(FILTER(ITENS!$D:$D, ITENS!$A:$A = SERVICOS!$A573))"),"LOCAÇÃO MICROCOMPUTADOR i3")</f>
        <v>LOCAÇÃO MICROCOMPUTADOR i3</v>
      </c>
      <c r="B572" s="11" t="str">
        <f>IFERROR(__xludf.DUMMYFUNCTION("""COMPUTED_VALUE"""),"LOCAÇÃO DE MICROCOMPUTADOR i5")</f>
        <v>LOCAÇÃO DE MICROCOMPUTADOR i5</v>
      </c>
      <c r="C572" s="11" t="str">
        <f>IFERROR(__xludf.DUMMYFUNCTION("""COMPUTED_VALUE"""),"LOCAÇÃO DE NOTEBOOK Intel CORE I3")</f>
        <v>LOCAÇÃO DE NOTEBOOK Intel CORE I3</v>
      </c>
      <c r="D572" s="11" t="str">
        <f>IFERROR(__xludf.DUMMYFUNCTION("""COMPUTED_VALUE"""),"IMPRESSORA LASER MONOCROMÁTICA ")</f>
        <v>IMPRESSORA LASER MONOCROMÁTICA </v>
      </c>
      <c r="E572" s="11" t="str">
        <f>IFERROR(__xludf.DUMMYFUNCTION("""COMPUTED_VALUE"""),"IMPRESSORA MULTIFUNCIONAL LASER MONOCROMÁTICA")</f>
        <v>IMPRESSORA MULTIFUNCIONAL LASER MONOCROMÁTICA</v>
      </c>
    </row>
    <row r="573">
      <c r="A573" s="11" t="str">
        <f>IFERROR(__xludf.DUMMYFUNCTION("TRANSPOSE(FILTER(ITENS!$D:$D, ITENS!$A:$A = SERVICOS!$A574))"),"LOCAÇÃO MICROCOMPUTADOR i3")</f>
        <v>LOCAÇÃO MICROCOMPUTADOR i3</v>
      </c>
      <c r="B573" s="11" t="str">
        <f>IFERROR(__xludf.DUMMYFUNCTION("""COMPUTED_VALUE"""),"LOCAÇÃO DE MICROCOMPUTADOR i5")</f>
        <v>LOCAÇÃO DE MICROCOMPUTADOR i5</v>
      </c>
      <c r="C573" s="11" t="str">
        <f>IFERROR(__xludf.DUMMYFUNCTION("""COMPUTED_VALUE"""),"LOCAÇÃO DE NOTEBOOK Intel CORE I3")</f>
        <v>LOCAÇÃO DE NOTEBOOK Intel CORE I3</v>
      </c>
      <c r="D573" s="11" t="str">
        <f>IFERROR(__xludf.DUMMYFUNCTION("""COMPUTED_VALUE"""),"IMPRESSORA LASER MONOCROMÁTICA ")</f>
        <v>IMPRESSORA LASER MONOCROMÁTICA </v>
      </c>
      <c r="E573" s="11" t="str">
        <f>IFERROR(__xludf.DUMMYFUNCTION("""COMPUTED_VALUE"""),"IMPRESSORA MULTIFUNCIONAL LASER MONOCROMÁTICA")</f>
        <v>IMPRESSORA MULTIFUNCIONAL LASER MONOCROMÁTICA</v>
      </c>
      <c r="F573" s="11" t="str">
        <f>IFERROR(__xludf.DUMMYFUNCTION("""COMPUTED_VALUE"""),"IMPRESSORA MULTIFUNCIONAL JATO DE TINTA")</f>
        <v>IMPRESSORA MULTIFUNCIONAL JATO DE TINTA</v>
      </c>
    </row>
    <row r="574">
      <c r="A574" s="11" t="str">
        <f>IFERROR(__xludf.DUMMYFUNCTION("TRANSPOSE(FILTER(ITENS!$D:$D, ITENS!$A:$A = SERVICOS!$A575))"),"LOCAÇÃO MICROCOMPUTADOR i3")</f>
        <v>LOCAÇÃO MICROCOMPUTADOR i3</v>
      </c>
      <c r="B574" s="11" t="str">
        <f>IFERROR(__xludf.DUMMYFUNCTION("""COMPUTED_VALUE"""),"LOCAÇÃO DE MICROCOMPUTADOR i5")</f>
        <v>LOCAÇÃO DE MICROCOMPUTADOR i5</v>
      </c>
      <c r="C574" s="11" t="str">
        <f>IFERROR(__xludf.DUMMYFUNCTION("""COMPUTED_VALUE"""),"LOCAÇÃO DE NOTEBOOK Intel CORE I3")</f>
        <v>LOCAÇÃO DE NOTEBOOK Intel CORE I3</v>
      </c>
      <c r="D574" s="11" t="str">
        <f>IFERROR(__xludf.DUMMYFUNCTION("""COMPUTED_VALUE"""),"IMPRESSORA LASER MONOCROMÁTICA ")</f>
        <v>IMPRESSORA LASER MONOCROMÁTICA </v>
      </c>
      <c r="E574" s="11" t="str">
        <f>IFERROR(__xludf.DUMMYFUNCTION("""COMPUTED_VALUE"""),"IMPRESSORA MULTIFUNCIONAL LASER MONOCROMÁTICA")</f>
        <v>IMPRESSORA MULTIFUNCIONAL LASER MONOCROMÁTICA</v>
      </c>
      <c r="F574" s="11" t="str">
        <f>IFERROR(__xludf.DUMMYFUNCTION("""COMPUTED_VALUE"""),"IMPRESSORA MULTIFUNCIONAL JATO DE TINTA")</f>
        <v>IMPRESSORA MULTIFUNCIONAL JATO DE TINTA</v>
      </c>
    </row>
    <row r="575">
      <c r="A575" s="11" t="str">
        <f>IFERROR(__xludf.DUMMYFUNCTION("TRANSPOSE(FILTER(ITENS!$D:$D, ITENS!$A:$A = SERVICOS!$A576))"),"LOCAÇÃO MICROCOMPUTADOR i3")</f>
        <v>LOCAÇÃO MICROCOMPUTADOR i3</v>
      </c>
      <c r="B575" s="11" t="str">
        <f>IFERROR(__xludf.DUMMYFUNCTION("""COMPUTED_VALUE"""),"LOCAÇÃO DE MICROCOMPUTADOR i5")</f>
        <v>LOCAÇÃO DE MICROCOMPUTADOR i5</v>
      </c>
      <c r="C575" s="11" t="str">
        <f>IFERROR(__xludf.DUMMYFUNCTION("""COMPUTED_VALUE"""),"LOCAÇÃO DE NOTEBOOK Intel CORE I3")</f>
        <v>LOCAÇÃO DE NOTEBOOK Intel CORE I3</v>
      </c>
      <c r="D575" s="11" t="str">
        <f>IFERROR(__xludf.DUMMYFUNCTION("""COMPUTED_VALUE"""),"IMPRESSORA LASER MONOCROMÁTICA ")</f>
        <v>IMPRESSORA LASER MONOCROMÁTICA </v>
      </c>
      <c r="E575" s="11" t="str">
        <f>IFERROR(__xludf.DUMMYFUNCTION("""COMPUTED_VALUE"""),"IMPRESSORA MULTIFUNCIONAL LASER MONOCROMÁTICA")</f>
        <v>IMPRESSORA MULTIFUNCIONAL LASER MONOCROMÁTICA</v>
      </c>
      <c r="F575" s="11" t="str">
        <f>IFERROR(__xludf.DUMMYFUNCTION("""COMPUTED_VALUE"""),"IMPRESSORA MULTIFUNCIONAL JATO DE TINTA")</f>
        <v>IMPRESSORA MULTIFUNCIONAL JATO DE TINTA</v>
      </c>
    </row>
    <row r="576">
      <c r="A576" s="11" t="str">
        <f>IFERROR(__xludf.DUMMYFUNCTION("TRANSPOSE(FILTER(ITENS!$D:$D, ITENS!$A:$A = SERVICOS!$A577))"),"LOCAÇÃO MICROCOMPUTADOR i3")</f>
        <v>LOCAÇÃO MICROCOMPUTADOR i3</v>
      </c>
      <c r="B576" s="11" t="str">
        <f>IFERROR(__xludf.DUMMYFUNCTION("""COMPUTED_VALUE"""),"LOCAÇÃO DE MICROCOMPUTADOR i5")</f>
        <v>LOCAÇÃO DE MICROCOMPUTADOR i5</v>
      </c>
      <c r="C576" s="11" t="str">
        <f>IFERROR(__xludf.DUMMYFUNCTION("""COMPUTED_VALUE"""),"LOCAÇÃO DE NOTEBOOK Intel CORE I3")</f>
        <v>LOCAÇÃO DE NOTEBOOK Intel CORE I3</v>
      </c>
      <c r="D576" s="11" t="str">
        <f>IFERROR(__xludf.DUMMYFUNCTION("""COMPUTED_VALUE"""),"IMPRESSORA LASER MONOCROMÁTICA ")</f>
        <v>IMPRESSORA LASER MONOCROMÁTICA </v>
      </c>
      <c r="E576" s="11" t="str">
        <f>IFERROR(__xludf.DUMMYFUNCTION("""COMPUTED_VALUE"""),"IMPRESSORA MULTIFUNCIONAL LASER MONOCROMÁTICA")</f>
        <v>IMPRESSORA MULTIFUNCIONAL LASER MONOCROMÁTICA</v>
      </c>
      <c r="F576" s="11" t="str">
        <f>IFERROR(__xludf.DUMMYFUNCTION("""COMPUTED_VALUE"""),"IMPRESSORA MULTIFUNCIONAL JATO DE TINTA")</f>
        <v>IMPRESSORA MULTIFUNCIONAL JATO DE TINTA</v>
      </c>
    </row>
    <row r="577">
      <c r="A577" s="11" t="str">
        <f>IFERROR(__xludf.DUMMYFUNCTION("TRANSPOSE(FILTER(ITENS!$D:$D, ITENS!$A:$A = SERVICOS!$A578))"),"LOCAÇÃO MICROCOMPUTADOR i3")</f>
        <v>LOCAÇÃO MICROCOMPUTADOR i3</v>
      </c>
      <c r="B577" s="11" t="str">
        <f>IFERROR(__xludf.DUMMYFUNCTION("""COMPUTED_VALUE"""),"LOCAÇÃO DE MICROCOMPUTADOR i5")</f>
        <v>LOCAÇÃO DE MICROCOMPUTADOR i5</v>
      </c>
      <c r="C577" s="11" t="str">
        <f>IFERROR(__xludf.DUMMYFUNCTION("""COMPUTED_VALUE"""),"LOCAÇÃO DE NOTEBOOK Intel CORE I3")</f>
        <v>LOCAÇÃO DE NOTEBOOK Intel CORE I3</v>
      </c>
      <c r="D577" s="11" t="str">
        <f>IFERROR(__xludf.DUMMYFUNCTION("""COMPUTED_VALUE"""),"IMPRESSORA LASER MONOCROMÁTICA ")</f>
        <v>IMPRESSORA LASER MONOCROMÁTICA </v>
      </c>
      <c r="E577" s="11" t="str">
        <f>IFERROR(__xludf.DUMMYFUNCTION("""COMPUTED_VALUE"""),"IMPRESSORA MULTIFUNCIONAL LASER MONOCROMÁTICA")</f>
        <v>IMPRESSORA MULTIFUNCIONAL LASER MONOCROMÁTICA</v>
      </c>
      <c r="F577" s="11" t="str">
        <f>IFERROR(__xludf.DUMMYFUNCTION("""COMPUTED_VALUE"""),"IMPRESSORA MULTIFUNCIONAL JATO DE TINTA")</f>
        <v>IMPRESSORA MULTIFUNCIONAL JATO DE TINTA</v>
      </c>
    </row>
    <row r="578">
      <c r="A578" s="11" t="str">
        <f>IFERROR(__xludf.DUMMYFUNCTION("TRANSPOSE(FILTER(ITENS!$D:$D, ITENS!$A:$A = SERVICOS!$A579))"),"LOCAÇÃO MICROCOMPUTADOR i3")</f>
        <v>LOCAÇÃO MICROCOMPUTADOR i3</v>
      </c>
      <c r="B578" s="11" t="str">
        <f>IFERROR(__xludf.DUMMYFUNCTION("""COMPUTED_VALUE"""),"LOCAÇÃO DE MICROCOMPUTADOR i5")</f>
        <v>LOCAÇÃO DE MICROCOMPUTADOR i5</v>
      </c>
      <c r="C578" s="11" t="str">
        <f>IFERROR(__xludf.DUMMYFUNCTION("""COMPUTED_VALUE"""),"LOCAÇÃO DE NOTEBOOK Intel CORE I3")</f>
        <v>LOCAÇÃO DE NOTEBOOK Intel CORE I3</v>
      </c>
      <c r="D578" s="11" t="str">
        <f>IFERROR(__xludf.DUMMYFUNCTION("""COMPUTED_VALUE"""),"IMPRESSORA LASER MONOCROMÁTICA ")</f>
        <v>IMPRESSORA LASER MONOCROMÁTICA </v>
      </c>
      <c r="E578" s="11" t="str">
        <f>IFERROR(__xludf.DUMMYFUNCTION("""COMPUTED_VALUE"""),"IMPRESSORA MULTIFUNCIONAL LASER MONOCROMÁTICA")</f>
        <v>IMPRESSORA MULTIFUNCIONAL LASER MONOCROMÁTICA</v>
      </c>
      <c r="F578" s="11" t="str">
        <f>IFERROR(__xludf.DUMMYFUNCTION("""COMPUTED_VALUE"""),"IMPRESSORA MULTIFUNCIONAL JATO DE TINTA")</f>
        <v>IMPRESSORA MULTIFUNCIONAL JATO DE TINTA</v>
      </c>
    </row>
    <row r="579">
      <c r="A579" s="11" t="str">
        <f>IFERROR(__xludf.DUMMYFUNCTION("TRANSPOSE(FILTER(ITENS!$D:$D, ITENS!$A:$A = SERVICOS!$A580))"),"LOCAÇÃO MICROCOMPUTADOR i3")</f>
        <v>LOCAÇÃO MICROCOMPUTADOR i3</v>
      </c>
      <c r="B579" s="11" t="str">
        <f>IFERROR(__xludf.DUMMYFUNCTION("""COMPUTED_VALUE"""),"LOCAÇÃO DE MICROCOMPUTADOR i5")</f>
        <v>LOCAÇÃO DE MICROCOMPUTADOR i5</v>
      </c>
      <c r="C579" s="11" t="str">
        <f>IFERROR(__xludf.DUMMYFUNCTION("""COMPUTED_VALUE"""),"LOCAÇÃO DE NOTEBOOK Intel CORE I3")</f>
        <v>LOCAÇÃO DE NOTEBOOK Intel CORE I3</v>
      </c>
      <c r="D579" s="11" t="str">
        <f>IFERROR(__xludf.DUMMYFUNCTION("""COMPUTED_VALUE"""),"IMPRESSORA LASER MONOCROMÁTICA ")</f>
        <v>IMPRESSORA LASER MONOCROMÁTICA </v>
      </c>
      <c r="E579" s="11" t="str">
        <f>IFERROR(__xludf.DUMMYFUNCTION("""COMPUTED_VALUE"""),"IMPRESSORA MULTIFUNCIONAL LASER MONOCROMÁTICA")</f>
        <v>IMPRESSORA MULTIFUNCIONAL LASER MONOCROMÁTICA</v>
      </c>
      <c r="F579" s="11" t="str">
        <f>IFERROR(__xludf.DUMMYFUNCTION("""COMPUTED_VALUE"""),"IMPRESSORA MULTIFUNCIONAL JATO DE TINTA")</f>
        <v>IMPRESSORA MULTIFUNCIONAL JATO DE TINTA</v>
      </c>
    </row>
    <row r="580">
      <c r="A580" s="11" t="str">
        <f>IFERROR(__xludf.DUMMYFUNCTION("TRANSPOSE(FILTER(ITENS!$D:$D, ITENS!$A:$A = SERVICOS!$A581))"),"LOCAÇÃO MICROCOMPUTADOR i3")</f>
        <v>LOCAÇÃO MICROCOMPUTADOR i3</v>
      </c>
      <c r="B580" s="11" t="str">
        <f>IFERROR(__xludf.DUMMYFUNCTION("""COMPUTED_VALUE"""),"LOCAÇÃO DE MICROCOMPUTADOR i5")</f>
        <v>LOCAÇÃO DE MICROCOMPUTADOR i5</v>
      </c>
      <c r="C580" s="11" t="str">
        <f>IFERROR(__xludf.DUMMYFUNCTION("""COMPUTED_VALUE"""),"LOCAÇÃO DE NOTEBOOK Intel CORE I3")</f>
        <v>LOCAÇÃO DE NOTEBOOK Intel CORE I3</v>
      </c>
      <c r="D580" s="11" t="str">
        <f>IFERROR(__xludf.DUMMYFUNCTION("""COMPUTED_VALUE"""),"IMPRESSORA LASER MONOCROMÁTICA ")</f>
        <v>IMPRESSORA LASER MONOCROMÁTICA </v>
      </c>
      <c r="E580" s="11" t="str">
        <f>IFERROR(__xludf.DUMMYFUNCTION("""COMPUTED_VALUE"""),"IMPRESSORA MULTIFUNCIONAL LASER MONOCROMÁTICA")</f>
        <v>IMPRESSORA MULTIFUNCIONAL LASER MONOCROMÁTICA</v>
      </c>
      <c r="F580" s="11" t="str">
        <f>IFERROR(__xludf.DUMMYFUNCTION("""COMPUTED_VALUE"""),"IMPRESSORA MULTIFUNCIONAL JATO DE TINTA")</f>
        <v>IMPRESSORA MULTIFUNCIONAL JATO DE TINTA</v>
      </c>
    </row>
    <row r="581">
      <c r="A581" s="11" t="str">
        <f>IFERROR(__xludf.DUMMYFUNCTION("TRANSPOSE(FILTER(ITENS!$D:$D, ITENS!$A:$A = SERVICOS!$A582))"),"LOCAÇÃO MICROCOMPUTADOR i3")</f>
        <v>LOCAÇÃO MICROCOMPUTADOR i3</v>
      </c>
      <c r="B581" s="11" t="str">
        <f>IFERROR(__xludf.DUMMYFUNCTION("""COMPUTED_VALUE"""),"LOCAÇÃO DE MICROCOMPUTADOR i5")</f>
        <v>LOCAÇÃO DE MICROCOMPUTADOR i5</v>
      </c>
      <c r="C581" s="11" t="str">
        <f>IFERROR(__xludf.DUMMYFUNCTION("""COMPUTED_VALUE"""),"LOCAÇÃO DE NOTEBOOK Intel CORE I3")</f>
        <v>LOCAÇÃO DE NOTEBOOK Intel CORE I3</v>
      </c>
      <c r="D581" s="11" t="str">
        <f>IFERROR(__xludf.DUMMYFUNCTION("""COMPUTED_VALUE"""),"IMPRESSORA LASER MONOCROMÁTICA ")</f>
        <v>IMPRESSORA LASER MONOCROMÁTICA </v>
      </c>
      <c r="E581" s="11" t="str">
        <f>IFERROR(__xludf.DUMMYFUNCTION("""COMPUTED_VALUE"""),"IMPRESSORA MULTIFUNCIONAL LASER MONOCROMÁTICA")</f>
        <v>IMPRESSORA MULTIFUNCIONAL LASER MONOCROMÁTICA</v>
      </c>
      <c r="F581" s="11" t="str">
        <f>IFERROR(__xludf.DUMMYFUNCTION("""COMPUTED_VALUE"""),"IMPRESSORA MULTIFUNCIONAL JATO DE TINTA")</f>
        <v>IMPRESSORA MULTIFUNCIONAL JATO DE TINTA</v>
      </c>
    </row>
    <row r="582">
      <c r="A582" s="11" t="str">
        <f>IFERROR(__xludf.DUMMYFUNCTION("TRANSPOSE(FILTER(ITENS!$D:$D, ITENS!$A:$A = SERVICOS!$A583))"),"LOCAÇÃO MICROCOMPUTADOR i3")</f>
        <v>LOCAÇÃO MICROCOMPUTADOR i3</v>
      </c>
      <c r="B582" s="11" t="str">
        <f>IFERROR(__xludf.DUMMYFUNCTION("""COMPUTED_VALUE"""),"LOCAÇÃO DE MICROCOMPUTADOR i5")</f>
        <v>LOCAÇÃO DE MICROCOMPUTADOR i5</v>
      </c>
      <c r="C582" s="11" t="str">
        <f>IFERROR(__xludf.DUMMYFUNCTION("""COMPUTED_VALUE"""),"LOCAÇÃO DE NOTEBOOK Intel CORE I3")</f>
        <v>LOCAÇÃO DE NOTEBOOK Intel CORE I3</v>
      </c>
      <c r="D582" s="11" t="str">
        <f>IFERROR(__xludf.DUMMYFUNCTION("""COMPUTED_VALUE"""),"IMPRESSORA LASER MONOCROMÁTICA ")</f>
        <v>IMPRESSORA LASER MONOCROMÁTICA </v>
      </c>
      <c r="E582" s="11" t="str">
        <f>IFERROR(__xludf.DUMMYFUNCTION("""COMPUTED_VALUE"""),"IMPRESSORA MULTIFUNCIONAL LASER MONOCROMÁTICA")</f>
        <v>IMPRESSORA MULTIFUNCIONAL LASER MONOCROMÁTICA</v>
      </c>
      <c r="F582" s="11" t="str">
        <f>IFERROR(__xludf.DUMMYFUNCTION("""COMPUTED_VALUE"""),"IMPRESSORA MULTIFUNCIONAL JATO DE TINTA")</f>
        <v>IMPRESSORA MULTIFUNCIONAL JATO DE TINTA</v>
      </c>
    </row>
    <row r="583">
      <c r="A583" s="11" t="str">
        <f>IFERROR(__xludf.DUMMYFUNCTION("TRANSPOSE(FILTER(ITENS!$D:$D, ITENS!$A:$A = SERVICOS!$A584))"),"LOCAÇÃO MICROCOMPUTADOR i3")</f>
        <v>LOCAÇÃO MICROCOMPUTADOR i3</v>
      </c>
      <c r="B583" s="11" t="str">
        <f>IFERROR(__xludf.DUMMYFUNCTION("""COMPUTED_VALUE"""),"LOCAÇÃO DE MICROCOMPUTADOR i5")</f>
        <v>LOCAÇÃO DE MICROCOMPUTADOR i5</v>
      </c>
      <c r="C583" s="11" t="str">
        <f>IFERROR(__xludf.DUMMYFUNCTION("""COMPUTED_VALUE"""),"LOCAÇÃO DE NOTEBOOK Intel CORE I3")</f>
        <v>LOCAÇÃO DE NOTEBOOK Intel CORE I3</v>
      </c>
      <c r="D583" s="11" t="str">
        <f>IFERROR(__xludf.DUMMYFUNCTION("""COMPUTED_VALUE"""),"IMPRESSORA LASER MONOCROMÁTICA ")</f>
        <v>IMPRESSORA LASER MONOCROMÁTICA </v>
      </c>
      <c r="E583" s="11" t="str">
        <f>IFERROR(__xludf.DUMMYFUNCTION("""COMPUTED_VALUE"""),"IMPRESSORA MULTIFUNCIONAL LASER MONOCROMÁTICA")</f>
        <v>IMPRESSORA MULTIFUNCIONAL LASER MONOCROMÁTICA</v>
      </c>
      <c r="F583" s="11" t="str">
        <f>IFERROR(__xludf.DUMMYFUNCTION("""COMPUTED_VALUE"""),"IMPRESSORA MULTIFUNCIONAL JATO DE TINTA")</f>
        <v>IMPRESSORA MULTIFUNCIONAL JATO DE TINTA</v>
      </c>
    </row>
    <row r="584">
      <c r="A584" s="11" t="str">
        <f>IFERROR(__xludf.DUMMYFUNCTION("TRANSPOSE(FILTER(ITENS!$D:$D, ITENS!$A:$A = SERVICOS!$A585))"),"LOCAÇÃO MICROCOMPUTADOR i3")</f>
        <v>LOCAÇÃO MICROCOMPUTADOR i3</v>
      </c>
      <c r="B584" s="11" t="str">
        <f>IFERROR(__xludf.DUMMYFUNCTION("""COMPUTED_VALUE"""),"LOCAÇÃO DE MICROCOMPUTADOR i5")</f>
        <v>LOCAÇÃO DE MICROCOMPUTADOR i5</v>
      </c>
      <c r="C584" s="11" t="str">
        <f>IFERROR(__xludf.DUMMYFUNCTION("""COMPUTED_VALUE"""),"LOCAÇÃO DE NOTEBOOK Intel CORE I3")</f>
        <v>LOCAÇÃO DE NOTEBOOK Intel CORE I3</v>
      </c>
      <c r="D584" s="11" t="str">
        <f>IFERROR(__xludf.DUMMYFUNCTION("""COMPUTED_VALUE"""),"IMPRESSORA LASER MONOCROMÁTICA ")</f>
        <v>IMPRESSORA LASER MONOCROMÁTICA </v>
      </c>
      <c r="E584" s="11" t="str">
        <f>IFERROR(__xludf.DUMMYFUNCTION("""COMPUTED_VALUE"""),"IMPRESSORA MULTIFUNCIONAL LASER MONOCROMÁTICA")</f>
        <v>IMPRESSORA MULTIFUNCIONAL LASER MONOCROMÁTICA</v>
      </c>
      <c r="F584" s="11" t="str">
        <f>IFERROR(__xludf.DUMMYFUNCTION("""COMPUTED_VALUE"""),"IMPRESSORA MULTIFUNCIONAL JATO DE TINTA")</f>
        <v>IMPRESSORA MULTIFUNCIONAL JATO DE TINTA</v>
      </c>
    </row>
    <row r="585">
      <c r="A585" s="11" t="str">
        <f>IFERROR(__xludf.DUMMYFUNCTION("TRANSPOSE(FILTER(ITENS!$D:$D, ITENS!$A:$A = SERVICOS!$A586))"),"Locação de impressoras multifuncionais laser policromática")</f>
        <v>Locação de impressoras multifuncionais laser policromática</v>
      </c>
      <c r="B585" s="11" t="str">
        <f>IFERROR(__xludf.DUMMYFUNCTION("""COMPUTED_VALUE"""),"Locação de impressoras multifuncionais laser monocromática")</f>
        <v>Locação de impressoras multifuncionais laser monocromática</v>
      </c>
      <c r="C585" s="11" t="str">
        <f>IFERROR(__xludf.DUMMYFUNCTION("""COMPUTED_VALUE"""),"Impressora matricial")</f>
        <v>Impressora matricial</v>
      </c>
      <c r="D585" s="11" t="str">
        <f>IFERROR(__xludf.DUMMYFUNCTION("""COMPUTED_VALUE"""),"Scanner de mesa duplex")</f>
        <v>Scanner de mesa duplex</v>
      </c>
    </row>
    <row r="586">
      <c r="A586" s="11" t="str">
        <f>IFERROR(__xludf.DUMMYFUNCTION("TRANSPOSE(FILTER(ITENS!$D:$D, ITENS!$A:$A = SERVICOS!$A587))"),"Locação de impressoras multifuncionais laser policromática")</f>
        <v>Locação de impressoras multifuncionais laser policromática</v>
      </c>
      <c r="B586" s="11" t="str">
        <f>IFERROR(__xludf.DUMMYFUNCTION("""COMPUTED_VALUE"""),"Locação de impressoras multifuncionais laser monocromática")</f>
        <v>Locação de impressoras multifuncionais laser monocromática</v>
      </c>
      <c r="C586" s="11" t="str">
        <f>IFERROR(__xludf.DUMMYFUNCTION("""COMPUTED_VALUE"""),"Impressora matricial")</f>
        <v>Impressora matricial</v>
      </c>
      <c r="D586" s="11" t="str">
        <f>IFERROR(__xludf.DUMMYFUNCTION("""COMPUTED_VALUE"""),"Scanner de mesa duplex")</f>
        <v>Scanner de mesa duplex</v>
      </c>
    </row>
    <row r="587">
      <c r="A587" s="11" t="str">
        <f>IFERROR(__xludf.DUMMYFUNCTION("TRANSPOSE(FILTER(ITENS!$D:$D, ITENS!$A:$A = SERVICOS!$A588))"),"Locação de impressoras multifuncionais laser policromática")</f>
        <v>Locação de impressoras multifuncionais laser policromática</v>
      </c>
      <c r="B587" s="11" t="str">
        <f>IFERROR(__xludf.DUMMYFUNCTION("""COMPUTED_VALUE"""),"Locação de impressoras multifuncionais laser monocromática")</f>
        <v>Locação de impressoras multifuncionais laser monocromática</v>
      </c>
      <c r="C587" s="11" t="str">
        <f>IFERROR(__xludf.DUMMYFUNCTION("""COMPUTED_VALUE"""),"Impressora matricial")</f>
        <v>Impressora matricial</v>
      </c>
      <c r="D587" s="11" t="str">
        <f>IFERROR(__xludf.DUMMYFUNCTION("""COMPUTED_VALUE"""),"Scanner de mesa duplex")</f>
        <v>Scanner de mesa duplex</v>
      </c>
    </row>
    <row r="588">
      <c r="A588" s="11" t="str">
        <f>IFERROR(__xludf.DUMMYFUNCTION("TRANSPOSE(FILTER(ITENS!$D:$D, ITENS!$A:$A = SERVICOS!$A589))"),"Locação de impressoras multifuncionais laser policromática")</f>
        <v>Locação de impressoras multifuncionais laser policromática</v>
      </c>
      <c r="B588" s="11" t="str">
        <f>IFERROR(__xludf.DUMMYFUNCTION("""COMPUTED_VALUE"""),"Locação de impressoras multifuncionais laser monocromática")</f>
        <v>Locação de impressoras multifuncionais laser monocromática</v>
      </c>
      <c r="C588" s="11" t="str">
        <f>IFERROR(__xludf.DUMMYFUNCTION("""COMPUTED_VALUE"""),"Impressora matricial")</f>
        <v>Impressora matricial</v>
      </c>
      <c r="D588" s="11" t="str">
        <f>IFERROR(__xludf.DUMMYFUNCTION("""COMPUTED_VALUE"""),"Scanner de mesa duplex")</f>
        <v>Scanner de mesa duplex</v>
      </c>
    </row>
    <row r="589">
      <c r="A589" s="11" t="str">
        <f>IFERROR(__xludf.DUMMYFUNCTION("TRANSPOSE(FILTER(ITENS!$D:$D, ITENS!$A:$A = SERVICOS!$A590))"),"DUPLICADOR GIGITAL")</f>
        <v>DUPLICADOR GIGITAL</v>
      </c>
    </row>
    <row r="590">
      <c r="A590" s="11" t="str">
        <f>IFERROR(__xludf.DUMMYFUNCTION("TRANSPOSE(FILTER(ITENS!$D:$D, ITENS!$A:$A = SERVICOS!$A591))"),"impressora multifuncional colorida")</f>
        <v>impressora multifuncional colorida</v>
      </c>
      <c r="B590" s="11" t="str">
        <f>IFERROR(__xludf.DUMMYFUNCTION("""COMPUTED_VALUE"""),"impressora multifuncional monocromática")</f>
        <v>impressora multifuncional monocromática</v>
      </c>
    </row>
    <row r="591">
      <c r="A591" s="11" t="str">
        <f>IFERROR(__xludf.DUMMYFUNCTION("TRANSPOSE(FILTER(ITENS!$D:$D, ITENS!$A:$A = SERVICOS!$A592))"),"impressora multifuncional colorida")</f>
        <v>impressora multifuncional colorida</v>
      </c>
      <c r="B591" s="11" t="str">
        <f>IFERROR(__xludf.DUMMYFUNCTION("""COMPUTED_VALUE"""),"impressora multifuncional monocromática")</f>
        <v>impressora multifuncional monocromática</v>
      </c>
    </row>
    <row r="592">
      <c r="A592" s="11" t="str">
        <f>IFERROR(__xludf.DUMMYFUNCTION("TRANSPOSE(FILTER(ITENS!$D:$D, ITENS!$A:$A = SERVICOS!$A593))"),"Micro Desktop I3 mínimo 3° geração.")</f>
        <v>Micro Desktop I3 mínimo 3° geração.</v>
      </c>
      <c r="B592" s="11" t="str">
        <f>IFERROR(__xludf.DUMMYFUNCTION("""COMPUTED_VALUE"""),"Micro Desktop I3 mínimo 6° geração,")</f>
        <v>Micro Desktop I3 mínimo 6° geração,</v>
      </c>
      <c r="C592" s="11" t="str">
        <f>IFERROR(__xludf.DUMMYFUNCTION("""COMPUTED_VALUE"""),"Smartphone Samsung Galaxy A03Android 11")</f>
        <v>Smartphone Samsung Galaxy A03Android 11</v>
      </c>
      <c r="D592" s="11" t="str">
        <f>IFERROR(__xludf.DUMMYFUNCTION("""COMPUTED_VALUE"""),"Smartphone TCL 305I Android 11")</f>
        <v>Smartphone TCL 305I Android 11</v>
      </c>
      <c r="E592" s="11" t="str">
        <f>IFERROR(__xludf.DUMMYFUNCTION("""COMPUTED_VALUE"""),"Impressora Multifuncional colorida")</f>
        <v>Impressora Multifuncional colorida</v>
      </c>
      <c r="F592" s="11" t="str">
        <f>IFERROR(__xludf.DUMMYFUNCTION("""COMPUTED_VALUE"""),"Impressora Multifuncional monocromática")</f>
        <v>Impressora Multifuncional monocromática</v>
      </c>
    </row>
    <row r="593">
      <c r="A593" s="11" t="str">
        <f>IFERROR(__xludf.DUMMYFUNCTION("TRANSPOSE(FILTER(ITENS!$D:$D, ITENS!$A:$A = SERVICOS!$A594))"),"Micro Desktop I3 mínimo 3° geração.")</f>
        <v>Micro Desktop I3 mínimo 3° geração.</v>
      </c>
      <c r="B593" s="11" t="str">
        <f>IFERROR(__xludf.DUMMYFUNCTION("""COMPUTED_VALUE"""),"Micro Desktop I3 mínimo 6° geração,")</f>
        <v>Micro Desktop I3 mínimo 6° geração,</v>
      </c>
      <c r="C593" s="11" t="str">
        <f>IFERROR(__xludf.DUMMYFUNCTION("""COMPUTED_VALUE"""),"Smartphone Samsung Galaxy A03Android 11")</f>
        <v>Smartphone Samsung Galaxy A03Android 11</v>
      </c>
      <c r="D593" s="11" t="str">
        <f>IFERROR(__xludf.DUMMYFUNCTION("""COMPUTED_VALUE"""),"Smartphone TCL 305I Android 11")</f>
        <v>Smartphone TCL 305I Android 11</v>
      </c>
      <c r="E593" s="11" t="str">
        <f>IFERROR(__xludf.DUMMYFUNCTION("""COMPUTED_VALUE"""),"Impressora Multifuncional colorida")</f>
        <v>Impressora Multifuncional colorida</v>
      </c>
      <c r="F593" s="11" t="str">
        <f>IFERROR(__xludf.DUMMYFUNCTION("""COMPUTED_VALUE"""),"Impressora Multifuncional monocromática")</f>
        <v>Impressora Multifuncional monocromática</v>
      </c>
    </row>
    <row r="594">
      <c r="A594" s="11" t="str">
        <f>IFERROR(__xludf.DUMMYFUNCTION("TRANSPOSE(FILTER(ITENS!$D:$D, ITENS!$A:$A = SERVICOS!$A595))"),"Micro Desktop I3 mínimo 3° geração.")</f>
        <v>Micro Desktop I3 mínimo 3° geração.</v>
      </c>
      <c r="B594" s="11" t="str">
        <f>IFERROR(__xludf.DUMMYFUNCTION("""COMPUTED_VALUE"""),"Micro Desktop I3 mínimo 6° geração,")</f>
        <v>Micro Desktop I3 mínimo 6° geração,</v>
      </c>
      <c r="C594" s="11" t="str">
        <f>IFERROR(__xludf.DUMMYFUNCTION("""COMPUTED_VALUE"""),"Smartphone Samsung Galaxy A03Android 11")</f>
        <v>Smartphone Samsung Galaxy A03Android 11</v>
      </c>
      <c r="D594" s="11" t="str">
        <f>IFERROR(__xludf.DUMMYFUNCTION("""COMPUTED_VALUE"""),"Smartphone TCL 305I Android 11")</f>
        <v>Smartphone TCL 305I Android 11</v>
      </c>
      <c r="E594" s="11" t="str">
        <f>IFERROR(__xludf.DUMMYFUNCTION("""COMPUTED_VALUE"""),"Impressora Multifuncional colorida")</f>
        <v>Impressora Multifuncional colorida</v>
      </c>
      <c r="F594" s="11" t="str">
        <f>IFERROR(__xludf.DUMMYFUNCTION("""COMPUTED_VALUE"""),"Impressora Multifuncional monocromática")</f>
        <v>Impressora Multifuncional monocromática</v>
      </c>
    </row>
    <row r="595">
      <c r="A595" s="11" t="str">
        <f>IFERROR(__xludf.DUMMYFUNCTION("TRANSPOSE(FILTER(ITENS!$D:$D, ITENS!$A:$A = SERVICOS!$A596))"),"Micro Desktop I3 mínimo 3° geração.")</f>
        <v>Micro Desktop I3 mínimo 3° geração.</v>
      </c>
      <c r="B595" s="11" t="str">
        <f>IFERROR(__xludf.DUMMYFUNCTION("""COMPUTED_VALUE"""),"Micro Desktop I3 mínimo 6° geração,")</f>
        <v>Micro Desktop I3 mínimo 6° geração,</v>
      </c>
      <c r="C595" s="11" t="str">
        <f>IFERROR(__xludf.DUMMYFUNCTION("""COMPUTED_VALUE"""),"Smartphone Samsung Galaxy A03Android 11")</f>
        <v>Smartphone Samsung Galaxy A03Android 11</v>
      </c>
      <c r="D595" s="11" t="str">
        <f>IFERROR(__xludf.DUMMYFUNCTION("""COMPUTED_VALUE"""),"Smartphone TCL 305I Android 11")</f>
        <v>Smartphone TCL 305I Android 11</v>
      </c>
      <c r="E595" s="11" t="str">
        <f>IFERROR(__xludf.DUMMYFUNCTION("""COMPUTED_VALUE"""),"Impressora Multifuncional colorida")</f>
        <v>Impressora Multifuncional colorida</v>
      </c>
      <c r="F595" s="11" t="str">
        <f>IFERROR(__xludf.DUMMYFUNCTION("""COMPUTED_VALUE"""),"Impressora Multifuncional monocromática")</f>
        <v>Impressora Multifuncional monocromática</v>
      </c>
    </row>
    <row r="596">
      <c r="A596" s="11" t="str">
        <f>IFERROR(__xludf.DUMMYFUNCTION("TRANSPOSE(FILTER(ITENS!$D:$D, ITENS!$A:$A = SERVICOS!$A597))"),"Micro Desktop I3 mínimo 3° geração.")</f>
        <v>Micro Desktop I3 mínimo 3° geração.</v>
      </c>
      <c r="B596" s="11" t="str">
        <f>IFERROR(__xludf.DUMMYFUNCTION("""COMPUTED_VALUE"""),"Micro Desktop I3 mínimo 6° geração,")</f>
        <v>Micro Desktop I3 mínimo 6° geração,</v>
      </c>
      <c r="C596" s="11" t="str">
        <f>IFERROR(__xludf.DUMMYFUNCTION("""COMPUTED_VALUE"""),"Smartphone Samsung Galaxy A03Android 11")</f>
        <v>Smartphone Samsung Galaxy A03Android 11</v>
      </c>
      <c r="D596" s="11" t="str">
        <f>IFERROR(__xludf.DUMMYFUNCTION("""COMPUTED_VALUE"""),"Smartphone TCL 305I Android 11")</f>
        <v>Smartphone TCL 305I Android 11</v>
      </c>
      <c r="E596" s="11" t="str">
        <f>IFERROR(__xludf.DUMMYFUNCTION("""COMPUTED_VALUE"""),"Impressora Multifuncional colorida")</f>
        <v>Impressora Multifuncional colorida</v>
      </c>
      <c r="F596" s="11" t="str">
        <f>IFERROR(__xludf.DUMMYFUNCTION("""COMPUTED_VALUE"""),"Impressora Multifuncional monocromática")</f>
        <v>Impressora Multifuncional monocromática</v>
      </c>
    </row>
    <row r="597">
      <c r="A597" s="11" t="str">
        <f>IFERROR(__xludf.DUMMYFUNCTION("TRANSPOSE(FILTER(ITENS!$D:$D, ITENS!$A:$A = SERVICOS!$A598))"),"Micro Desktop I3 mínimo 3° geração.")</f>
        <v>Micro Desktop I3 mínimo 3° geração.</v>
      </c>
      <c r="B597" s="11" t="str">
        <f>IFERROR(__xludf.DUMMYFUNCTION("""COMPUTED_VALUE"""),"Micro Desktop I3 mínimo 6° geração,")</f>
        <v>Micro Desktop I3 mínimo 6° geração,</v>
      </c>
      <c r="C597" s="11" t="str">
        <f>IFERROR(__xludf.DUMMYFUNCTION("""COMPUTED_VALUE"""),"Smartphone Samsung Galaxy A03Android 11")</f>
        <v>Smartphone Samsung Galaxy A03Android 11</v>
      </c>
      <c r="D597" s="11" t="str">
        <f>IFERROR(__xludf.DUMMYFUNCTION("""COMPUTED_VALUE"""),"Smartphone TCL 305I Android 11")</f>
        <v>Smartphone TCL 305I Android 11</v>
      </c>
      <c r="E597" s="11" t="str">
        <f>IFERROR(__xludf.DUMMYFUNCTION("""COMPUTED_VALUE"""),"Impressora Multifuncional colorida")</f>
        <v>Impressora Multifuncional colorida</v>
      </c>
      <c r="F597" s="11" t="str">
        <f>IFERROR(__xludf.DUMMYFUNCTION("""COMPUTED_VALUE"""),"Impressora Multifuncional monocromática")</f>
        <v>Impressora Multifuncional monocromática</v>
      </c>
    </row>
    <row r="598">
      <c r="A598" s="11" t="str">
        <f>IFERROR(__xludf.DUMMYFUNCTION("TRANSPOSE(FILTER(ITENS!$D:$D, ITENS!$A:$A = SERVICOS!$A599))"),"Micro Desktop I3 mínimo 2° geração")</f>
        <v>Micro Desktop I3 mínimo 2° geração</v>
      </c>
      <c r="B598" s="11" t="str">
        <f>IFERROR(__xludf.DUMMYFUNCTION("""COMPUTED_VALUE"""),"Smartphone TCL 305I Android 11")</f>
        <v>Smartphone TCL 305I Android 11</v>
      </c>
      <c r="C598" s="11" t="str">
        <f>IFERROR(__xludf.DUMMYFUNCTION("""COMPUTED_VALUE"""),"Impressora Multifuncional colorida")</f>
        <v>Impressora Multifuncional colorida</v>
      </c>
    </row>
    <row r="599">
      <c r="A599" s="11" t="str">
        <f>IFERROR(__xludf.DUMMYFUNCTION("TRANSPOSE(FILTER(ITENS!$D:$D, ITENS!$A:$A = SERVICOS!$A600))"),"Micro Desktop I3 mínimo 2° geração")</f>
        <v>Micro Desktop I3 mínimo 2° geração</v>
      </c>
      <c r="B599" s="11" t="str">
        <f>IFERROR(__xludf.DUMMYFUNCTION("""COMPUTED_VALUE"""),"Smartphone TCL 305I Android 11")</f>
        <v>Smartphone TCL 305I Android 11</v>
      </c>
      <c r="C599" s="11" t="str">
        <f>IFERROR(__xludf.DUMMYFUNCTION("""COMPUTED_VALUE"""),"Impressora Multifuncional colorida")</f>
        <v>Impressora Multifuncional colorida</v>
      </c>
    </row>
    <row r="600">
      <c r="A600" s="11" t="str">
        <f>IFERROR(__xludf.DUMMYFUNCTION("TRANSPOSE(FILTER(ITENS!$D:$D, ITENS!$A:$A = SERVICOS!$A601))"),"Micro Desktop I3 mínimo 2° geração")</f>
        <v>Micro Desktop I3 mínimo 2° geração</v>
      </c>
      <c r="B600" s="11" t="str">
        <f>IFERROR(__xludf.DUMMYFUNCTION("""COMPUTED_VALUE"""),"Smartphone TCL 305I Android 11")</f>
        <v>Smartphone TCL 305I Android 11</v>
      </c>
      <c r="C600" s="11" t="str">
        <f>IFERROR(__xludf.DUMMYFUNCTION("""COMPUTED_VALUE"""),"Impressora Multifuncional colorida")</f>
        <v>Impressora Multifuncional colorida</v>
      </c>
    </row>
    <row r="601">
      <c r="A601" s="11" t="str">
        <f>IFERROR(__xludf.DUMMYFUNCTION("TRANSPOSE(FILTER(ITENS!$D:$D, ITENS!$A:$A = SERVICOS!$A602))"),"Micro Desktop I3 mínimo 2º geração")</f>
        <v>Micro Desktop I3 mínimo 2º geração</v>
      </c>
      <c r="B601" s="11" t="str">
        <f>IFERROR(__xludf.DUMMYFUNCTION("""COMPUTED_VALUE"""),"Smartphone Samsung Galaxy AO3 Android 11")</f>
        <v>Smartphone Samsung Galaxy AO3 Android 11</v>
      </c>
      <c r="C601" s="11" t="str">
        <f>IFERROR(__xludf.DUMMYFUNCTION("""COMPUTED_VALUE"""),"Smartphone TCL 305I Android 11")</f>
        <v>Smartphone TCL 305I Android 11</v>
      </c>
      <c r="D601" s="11" t="str">
        <f>IFERROR(__xludf.DUMMYFUNCTION("""COMPUTED_VALUE"""),"Impressora Multifuncional colorida")</f>
        <v>Impressora Multifuncional colorida</v>
      </c>
    </row>
    <row r="602">
      <c r="A602" s="11" t="str">
        <f>IFERROR(__xludf.DUMMYFUNCTION("TRANSPOSE(FILTER(ITENS!$D:$D, ITENS!$A:$A = SERVICOS!$A603))"),"Micro Desktop I3 mínimo 2º geração")</f>
        <v>Micro Desktop I3 mínimo 2º geração</v>
      </c>
      <c r="B602" s="11" t="str">
        <f>IFERROR(__xludf.DUMMYFUNCTION("""COMPUTED_VALUE"""),"Smartphone Samsung Galaxy AO3 Android 11")</f>
        <v>Smartphone Samsung Galaxy AO3 Android 11</v>
      </c>
      <c r="C602" s="11" t="str">
        <f>IFERROR(__xludf.DUMMYFUNCTION("""COMPUTED_VALUE"""),"Smartphone TCL 305I Android 11")</f>
        <v>Smartphone TCL 305I Android 11</v>
      </c>
      <c r="D602" s="11" t="str">
        <f>IFERROR(__xludf.DUMMYFUNCTION("""COMPUTED_VALUE"""),"Impressora Multifuncional colorida")</f>
        <v>Impressora Multifuncional colorida</v>
      </c>
    </row>
    <row r="603">
      <c r="A603" s="11" t="str">
        <f>IFERROR(__xludf.DUMMYFUNCTION("TRANSPOSE(FILTER(ITENS!$D:$D, ITENS!$A:$A = SERVICOS!$A604))"),"Micro Desktop I3 mínimo 2º geração")</f>
        <v>Micro Desktop I3 mínimo 2º geração</v>
      </c>
      <c r="B603" s="11" t="str">
        <f>IFERROR(__xludf.DUMMYFUNCTION("""COMPUTED_VALUE"""),"Smartphone Samsung Galaxy AO3 Android 11")</f>
        <v>Smartphone Samsung Galaxy AO3 Android 11</v>
      </c>
      <c r="C603" s="11" t="str">
        <f>IFERROR(__xludf.DUMMYFUNCTION("""COMPUTED_VALUE"""),"Smartphone TCL 305I Android 11")</f>
        <v>Smartphone TCL 305I Android 11</v>
      </c>
      <c r="D603" s="11" t="str">
        <f>IFERROR(__xludf.DUMMYFUNCTION("""COMPUTED_VALUE"""),"Impressora Multifuncional colorida")</f>
        <v>Impressora Multifuncional colorida</v>
      </c>
    </row>
    <row r="604">
      <c r="A604" s="11" t="str">
        <f>IFERROR(__xludf.DUMMYFUNCTION("TRANSPOSE(FILTER(ITENS!$D:$D, ITENS!$A:$A = SERVICOS!$A605))"),"Micro Desktop I3 mínimo 2º geração")</f>
        <v>Micro Desktop I3 mínimo 2º geração</v>
      </c>
      <c r="B604" s="11" t="str">
        <f>IFERROR(__xludf.DUMMYFUNCTION("""COMPUTED_VALUE"""),"Smartphone Samsung Galaxy AO3 Android 11")</f>
        <v>Smartphone Samsung Galaxy AO3 Android 11</v>
      </c>
      <c r="C604" s="11" t="str">
        <f>IFERROR(__xludf.DUMMYFUNCTION("""COMPUTED_VALUE"""),"Smartphone TCL 305I Android 11")</f>
        <v>Smartphone TCL 305I Android 11</v>
      </c>
      <c r="D604" s="11" t="str">
        <f>IFERROR(__xludf.DUMMYFUNCTION("""COMPUTED_VALUE"""),"Impressora Multifuncional colorida")</f>
        <v>Impressora Multifuncional colorida</v>
      </c>
    </row>
    <row r="605">
      <c r="A605" s="11" t="str">
        <f>IFERROR(__xludf.DUMMYFUNCTION("TRANSPOSE(FILTER(ITENS!$D:$D, ITENS!$A:$A = SERVICOS!$A606))"),"Micro Desktop I3 mínimo 3° geração.")</f>
        <v>Micro Desktop I3 mínimo 3° geração.</v>
      </c>
      <c r="B605" s="11" t="str">
        <f>IFERROR(__xludf.DUMMYFUNCTION("""COMPUTED_VALUE"""),"Micro Desktop I3 mínimo 6° geração,")</f>
        <v>Micro Desktop I3 mínimo 6° geração,</v>
      </c>
      <c r="C605" s="11" t="str">
        <f>IFERROR(__xludf.DUMMYFUNCTION("""COMPUTED_VALUE"""),"Smartphone Samsung Galaxy AO3 Android 11")</f>
        <v>Smartphone Samsung Galaxy AO3 Android 11</v>
      </c>
      <c r="D605" s="11" t="str">
        <f>IFERROR(__xludf.DUMMYFUNCTION("""COMPUTED_VALUE"""),"Smartphone TCL 305I Android 11")</f>
        <v>Smartphone TCL 305I Android 11</v>
      </c>
      <c r="E605" s="11" t="str">
        <f>IFERROR(__xludf.DUMMYFUNCTION("""COMPUTED_VALUE"""),"Impressora Multifuncional colorida")</f>
        <v>Impressora Multifuncional colorida</v>
      </c>
      <c r="F605" s="11" t="str">
        <f>IFERROR(__xludf.DUMMYFUNCTION("""COMPUTED_VALUE"""),"impressora multifuncional monocromática")</f>
        <v>impressora multifuncional monocromática</v>
      </c>
    </row>
    <row r="606">
      <c r="A606" s="11" t="str">
        <f>IFERROR(__xludf.DUMMYFUNCTION("TRANSPOSE(FILTER(ITENS!$D:$D, ITENS!$A:$A = SERVICOS!$A607))"),"Micro Desktop I3 mínimo 3° geração.")</f>
        <v>Micro Desktop I3 mínimo 3° geração.</v>
      </c>
      <c r="B606" s="11" t="str">
        <f>IFERROR(__xludf.DUMMYFUNCTION("""COMPUTED_VALUE"""),"Micro Desktop I3 mínimo 6° geração,")</f>
        <v>Micro Desktop I3 mínimo 6° geração,</v>
      </c>
      <c r="C606" s="11" t="str">
        <f>IFERROR(__xludf.DUMMYFUNCTION("""COMPUTED_VALUE"""),"Smartphone Samsung Galaxy AO3 Android 11")</f>
        <v>Smartphone Samsung Galaxy AO3 Android 11</v>
      </c>
      <c r="D606" s="11" t="str">
        <f>IFERROR(__xludf.DUMMYFUNCTION("""COMPUTED_VALUE"""),"Smartphone TCL 305I Android 11")</f>
        <v>Smartphone TCL 305I Android 11</v>
      </c>
      <c r="E606" s="11" t="str">
        <f>IFERROR(__xludf.DUMMYFUNCTION("""COMPUTED_VALUE"""),"Impressora Multifuncional colorida")</f>
        <v>Impressora Multifuncional colorida</v>
      </c>
      <c r="F606" s="11" t="str">
        <f>IFERROR(__xludf.DUMMYFUNCTION("""COMPUTED_VALUE"""),"impressora multifuncional monocromática")</f>
        <v>impressora multifuncional monocromática</v>
      </c>
    </row>
    <row r="607">
      <c r="A607" s="11" t="str">
        <f>IFERROR(__xludf.DUMMYFUNCTION("TRANSPOSE(FILTER(ITENS!$D:$D, ITENS!$A:$A = SERVICOS!$A608))"),"Micro Desktop I3 mínimo 3° geração.")</f>
        <v>Micro Desktop I3 mínimo 3° geração.</v>
      </c>
      <c r="B607" s="11" t="str">
        <f>IFERROR(__xludf.DUMMYFUNCTION("""COMPUTED_VALUE"""),"Micro Desktop I3 mínimo 6° geração,")</f>
        <v>Micro Desktop I3 mínimo 6° geração,</v>
      </c>
      <c r="C607" s="11" t="str">
        <f>IFERROR(__xludf.DUMMYFUNCTION("""COMPUTED_VALUE"""),"Smartphone Samsung Galaxy AO3 Android 11")</f>
        <v>Smartphone Samsung Galaxy AO3 Android 11</v>
      </c>
      <c r="D607" s="11" t="str">
        <f>IFERROR(__xludf.DUMMYFUNCTION("""COMPUTED_VALUE"""),"Smartphone TCL 305I Android 11")</f>
        <v>Smartphone TCL 305I Android 11</v>
      </c>
      <c r="E607" s="11" t="str">
        <f>IFERROR(__xludf.DUMMYFUNCTION("""COMPUTED_VALUE"""),"Impressora Multifuncional colorida")</f>
        <v>Impressora Multifuncional colorida</v>
      </c>
      <c r="F607" s="11" t="str">
        <f>IFERROR(__xludf.DUMMYFUNCTION("""COMPUTED_VALUE"""),"impressora multifuncional monocromática")</f>
        <v>impressora multifuncional monocromática</v>
      </c>
    </row>
    <row r="608">
      <c r="A608" s="11" t="str">
        <f>IFERROR(__xludf.DUMMYFUNCTION("TRANSPOSE(FILTER(ITENS!$D:$D, ITENS!$A:$A = SERVICOS!$A609))"),"Micro Desktop I3 mínimo 3° geração.")</f>
        <v>Micro Desktop I3 mínimo 3° geração.</v>
      </c>
      <c r="B608" s="11" t="str">
        <f>IFERROR(__xludf.DUMMYFUNCTION("""COMPUTED_VALUE"""),"Micro Desktop I3 mínimo 6° geração,")</f>
        <v>Micro Desktop I3 mínimo 6° geração,</v>
      </c>
      <c r="C608" s="11" t="str">
        <f>IFERROR(__xludf.DUMMYFUNCTION("""COMPUTED_VALUE"""),"Smartphone Samsung Galaxy AO3 Android 11")</f>
        <v>Smartphone Samsung Galaxy AO3 Android 11</v>
      </c>
      <c r="D608" s="11" t="str">
        <f>IFERROR(__xludf.DUMMYFUNCTION("""COMPUTED_VALUE"""),"Smartphone TCL 305I Android 11")</f>
        <v>Smartphone TCL 305I Android 11</v>
      </c>
      <c r="E608" s="11" t="str">
        <f>IFERROR(__xludf.DUMMYFUNCTION("""COMPUTED_VALUE"""),"Impressora Multifuncional colorida")</f>
        <v>Impressora Multifuncional colorida</v>
      </c>
      <c r="F608" s="11" t="str">
        <f>IFERROR(__xludf.DUMMYFUNCTION("""COMPUTED_VALUE"""),"impressora multifuncional monocromática")</f>
        <v>impressora multifuncional monocromática</v>
      </c>
    </row>
    <row r="609">
      <c r="A609" s="11" t="str">
        <f>IFERROR(__xludf.DUMMYFUNCTION("TRANSPOSE(FILTER(ITENS!$D:$D, ITENS!$A:$A = SERVICOS!$A610))"),"Micro Desktop I3 mínimo 3° geração.")</f>
        <v>Micro Desktop I3 mínimo 3° geração.</v>
      </c>
      <c r="B609" s="11" t="str">
        <f>IFERROR(__xludf.DUMMYFUNCTION("""COMPUTED_VALUE"""),"Micro Desktop I3 mínimo 6° geração,")</f>
        <v>Micro Desktop I3 mínimo 6° geração,</v>
      </c>
      <c r="C609" s="11" t="str">
        <f>IFERROR(__xludf.DUMMYFUNCTION("""COMPUTED_VALUE"""),"Smartphone Samsung Galaxy AO3 Android 11")</f>
        <v>Smartphone Samsung Galaxy AO3 Android 11</v>
      </c>
      <c r="D609" s="11" t="str">
        <f>IFERROR(__xludf.DUMMYFUNCTION("""COMPUTED_VALUE"""),"Smartphone TCL 305I Android 11")</f>
        <v>Smartphone TCL 305I Android 11</v>
      </c>
      <c r="E609" s="11" t="str">
        <f>IFERROR(__xludf.DUMMYFUNCTION("""COMPUTED_VALUE"""),"Impressora Multifuncional colorida")</f>
        <v>Impressora Multifuncional colorida</v>
      </c>
      <c r="F609" s="11" t="str">
        <f>IFERROR(__xludf.DUMMYFUNCTION("""COMPUTED_VALUE"""),"impressora multifuncional monocromática")</f>
        <v>impressora multifuncional monocromática</v>
      </c>
    </row>
    <row r="610">
      <c r="A610" s="11" t="str">
        <f>IFERROR(__xludf.DUMMYFUNCTION("TRANSPOSE(FILTER(ITENS!$D:$D, ITENS!$A:$A = SERVICOS!$A611))"),"Micro Desktop I3 mínimo 3° geração.")</f>
        <v>Micro Desktop I3 mínimo 3° geração.</v>
      </c>
      <c r="B610" s="11" t="str">
        <f>IFERROR(__xludf.DUMMYFUNCTION("""COMPUTED_VALUE"""),"Micro Desktop I3 mínimo 6° geração,")</f>
        <v>Micro Desktop I3 mínimo 6° geração,</v>
      </c>
      <c r="C610" s="11" t="str">
        <f>IFERROR(__xludf.DUMMYFUNCTION("""COMPUTED_VALUE"""),"Smartphone Samsung Galaxy AO3 Android 11")</f>
        <v>Smartphone Samsung Galaxy AO3 Android 11</v>
      </c>
      <c r="D610" s="11" t="str">
        <f>IFERROR(__xludf.DUMMYFUNCTION("""COMPUTED_VALUE"""),"Smartphone TCL 305I Android 11")</f>
        <v>Smartphone TCL 305I Android 11</v>
      </c>
      <c r="E610" s="11" t="str">
        <f>IFERROR(__xludf.DUMMYFUNCTION("""COMPUTED_VALUE"""),"Impressora Multifuncional colorida")</f>
        <v>Impressora Multifuncional colorida</v>
      </c>
      <c r="F610" s="11" t="str">
        <f>IFERROR(__xludf.DUMMYFUNCTION("""COMPUTED_VALUE"""),"impressora multifuncional monocromática")</f>
        <v>impressora multifuncional monocromática</v>
      </c>
    </row>
    <row r="611">
      <c r="A611" s="11" t="str">
        <f>IFERROR(__xludf.DUMMYFUNCTION("TRANSPOSE(FILTER(ITENS!$D:$D, ITENS!$A:$A = SERVICOS!$A612))"),"Locação de Multifuncional  mono ")</f>
        <v>Locação de Multifuncional  mono </v>
      </c>
    </row>
    <row r="612">
      <c r="A612" s="11" t="str">
        <f>IFERROR(__xludf.DUMMYFUNCTION("TRANSPOSE(FILTER(ITENS!$D:$D, ITENS!$A:$A = SERVICOS!$A613))"),"")</f>
        <v/>
      </c>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c r="A613" s="11" t="str">
        <f>IFERROR(__xludf.DUMMYFUNCTION("TRANSPOSE(FILTER(ITENS!$D:$D, ITENS!$A:$A = SERVICOS!$A614))"),"")</f>
        <v/>
      </c>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c r="A614" s="11" t="str">
        <f>IFERROR(__xludf.DUMMYFUNCTION("TRANSPOSE(FILTER(ITENS!$D:$D, ITENS!$A:$A = SERVICOS!$A615))"),"")</f>
        <v/>
      </c>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c r="A615" s="11" t="str">
        <f>IFERROR(__xludf.DUMMYFUNCTION("TRANSPOSE(FILTER(ITENS!$D:$D, ITENS!$A:$A = SERVICOS!$A616))"),"")</f>
        <v/>
      </c>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c r="A616" s="11" t="str">
        <f>IFERROR(__xludf.DUMMYFUNCTION("TRANSPOSE(FILTER(ITENS!$D:$D, ITENS!$A:$A = SERVICOS!$A617))"),"")</f>
        <v/>
      </c>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c r="A617" s="11" t="str">
        <f>IFERROR(__xludf.DUMMYFUNCTION("TRANSPOSE(FILTER(ITENS!$D:$D, ITENS!$A:$A = SERVICOS!$A618))"),"")</f>
        <v/>
      </c>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c r="A618" s="11" t="str">
        <f>IFERROR(__xludf.DUMMYFUNCTION("TRANSPOSE(FILTER(ITENS!$D:$D, ITENS!$A:$A = SERVICOS!$A619))"),"")</f>
        <v/>
      </c>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c r="A619" s="11" t="str">
        <f>IFERROR(__xludf.DUMMYFUNCTION("TRANSPOSE(FILTER(ITENS!$D:$D, ITENS!$A:$A = SERVICOS!$A620))"),"")</f>
        <v/>
      </c>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c r="A620" s="11" t="str">
        <f>IFERROR(__xludf.DUMMYFUNCTION("TRANSPOSE(FILTER(ITENS!$D:$D, ITENS!$A:$A = SERVICOS!$A621))"),"")</f>
        <v/>
      </c>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c r="A621" s="11" t="str">
        <f>IFERROR(__xludf.DUMMYFUNCTION("TRANSPOSE(FILTER(ITENS!$D:$D, ITENS!$A:$A = SERVICOS!$A622))"),"")</f>
        <v/>
      </c>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c r="A622" s="11" t="str">
        <f>IFERROR(__xludf.DUMMYFUNCTION("TRANSPOSE(FILTER(ITENS!$D:$D, ITENS!$A:$A = SERVICOS!$A623))"),"")</f>
        <v/>
      </c>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c r="A623" s="11" t="str">
        <f>IFERROR(__xludf.DUMMYFUNCTION("TRANSPOSE(FILTER(ITENS!$D:$D, ITENS!$A:$A = SERVICOS!$A624))"),"")</f>
        <v/>
      </c>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c r="A624" s="11" t="str">
        <f>IFERROR(__xludf.DUMMYFUNCTION("TRANSPOSE(FILTER(ITENS!$D:$D, ITENS!$A:$A = SERVICOS!$A625))"),"")</f>
        <v/>
      </c>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c r="A625" s="11" t="str">
        <f>IFERROR(__xludf.DUMMYFUNCTION("TRANSPOSE(FILTER(ITENS!$D:$D, ITENS!$A:$A = SERVICOS!$A626))"),"")</f>
        <v/>
      </c>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c r="A626" s="11" t="str">
        <f>IFERROR(__xludf.DUMMYFUNCTION("TRANSPOSE(FILTER(ITENS!$D:$D, ITENS!$A:$A = SERVICOS!$A627))"),"")</f>
        <v/>
      </c>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c r="A627" s="11" t="str">
        <f>IFERROR(__xludf.DUMMYFUNCTION("TRANSPOSE(FILTER(ITENS!$D:$D, ITENS!$A:$A = SERVICOS!$A628))"),"")</f>
        <v/>
      </c>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c r="A628" s="11" t="str">
        <f>IFERROR(__xludf.DUMMYFUNCTION("TRANSPOSE(FILTER(ITENS!$D:$D, ITENS!$A:$A = SERVICOS!$A629))"),"")</f>
        <v/>
      </c>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c r="A629" s="11" t="str">
        <f>IFERROR(__xludf.DUMMYFUNCTION("TRANSPOSE(FILTER(ITENS!$D:$D, ITENS!$A:$A = SERVICOS!$A630))"),"")</f>
        <v/>
      </c>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c r="A630" s="11" t="str">
        <f>IFERROR(__xludf.DUMMYFUNCTION("TRANSPOSE(FILTER(ITENS!$D:$D, ITENS!$A:$A = SERVICOS!$A631))"),"")</f>
        <v/>
      </c>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c r="A631" s="11" t="str">
        <f>IFERROR(__xludf.DUMMYFUNCTION("TRANSPOSE(FILTER(ITENS!$D:$D, ITENS!$A:$A = SERVICOS!$A632))"),"")</f>
        <v/>
      </c>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c r="A632" s="11" t="str">
        <f>IFERROR(__xludf.DUMMYFUNCTION("TRANSPOSE(FILTER(ITENS!$D:$D, ITENS!$A:$A = SERVICOS!$A633))"),"")</f>
        <v/>
      </c>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c r="A633" s="11" t="str">
        <f>IFERROR(__xludf.DUMMYFUNCTION("TRANSPOSE(FILTER(ITENS!$D:$D, ITENS!$A:$A = SERVICOS!$A634))"),"")</f>
        <v/>
      </c>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c r="A634" s="11" t="str">
        <f>IFERROR(__xludf.DUMMYFUNCTION("TRANSPOSE(FILTER(ITENS!$D:$D, ITENS!$A:$A = SERVICOS!$A635))"),"")</f>
        <v/>
      </c>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c r="A635" s="11" t="str">
        <f>IFERROR(__xludf.DUMMYFUNCTION("TRANSPOSE(FILTER(ITENS!$D:$D, ITENS!$A:$A = SERVICOS!$A636))"),"")</f>
        <v/>
      </c>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c r="A636" s="11" t="str">
        <f>IFERROR(__xludf.DUMMYFUNCTION("TRANSPOSE(FILTER(ITENS!$D:$D, ITENS!$A:$A = SERVICOS!$A637))"),"")</f>
        <v/>
      </c>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c r="A637" s="11" t="str">
        <f>IFERROR(__xludf.DUMMYFUNCTION("TRANSPOSE(FILTER(ITENS!$D:$D, ITENS!$A:$A = SERVICOS!$A638))"),"")</f>
        <v/>
      </c>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c r="A638" s="11" t="str">
        <f>IFERROR(__xludf.DUMMYFUNCTION("TRANSPOSE(FILTER(ITENS!$D:$D, ITENS!$A:$A = SERVICOS!$A639))"),"")</f>
        <v/>
      </c>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c r="A639" s="11" t="str">
        <f>IFERROR(__xludf.DUMMYFUNCTION("TRANSPOSE(FILTER(ITENS!$D:$D, ITENS!$A:$A = SERVICOS!$A640))"),"")</f>
        <v/>
      </c>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c r="A640" s="11" t="str">
        <f>IFERROR(__xludf.DUMMYFUNCTION("TRANSPOSE(FILTER(ITENS!$D:$D, ITENS!$A:$A = SERVICOS!$A641))"),"")</f>
        <v/>
      </c>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c r="A641" s="11" t="str">
        <f>IFERROR(__xludf.DUMMYFUNCTION("TRANSPOSE(FILTER(ITENS!$D:$D, ITENS!$A:$A = SERVICOS!$A642))"),"")</f>
        <v/>
      </c>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c r="A642" s="11" t="str">
        <f>IFERROR(__xludf.DUMMYFUNCTION("TRANSPOSE(FILTER(ITENS!$D:$D, ITENS!$A:$A = SERVICOS!$A643))"),"")</f>
        <v/>
      </c>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c r="A643" s="11" t="str">
        <f>IFERROR(__xludf.DUMMYFUNCTION("TRANSPOSE(FILTER(ITENS!$D:$D, ITENS!$A:$A = SERVICOS!$A644))"),"")</f>
        <v/>
      </c>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c r="A644" s="11" t="str">
        <f>IFERROR(__xludf.DUMMYFUNCTION("TRANSPOSE(FILTER(ITENS!$D:$D, ITENS!$A:$A = SERVICOS!$A645))"),"")</f>
        <v/>
      </c>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c r="A645" s="11" t="str">
        <f>IFERROR(__xludf.DUMMYFUNCTION("TRANSPOSE(FILTER(ITENS!$D:$D, ITENS!$A:$A = SERVICOS!$A646))"),"")</f>
        <v/>
      </c>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c r="A646" s="11" t="str">
        <f>IFERROR(__xludf.DUMMYFUNCTION("TRANSPOSE(FILTER(ITENS!$D:$D, ITENS!$A:$A = SERVICOS!$A647))"),"")</f>
        <v/>
      </c>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c r="A647" s="11" t="str">
        <f>IFERROR(__xludf.DUMMYFUNCTION("TRANSPOSE(FILTER(ITENS!$D:$D, ITENS!$A:$A = SERVICOS!$A648))"),"")</f>
        <v/>
      </c>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c r="A648" s="11" t="str">
        <f>IFERROR(__xludf.DUMMYFUNCTION("TRANSPOSE(FILTER(ITENS!$D:$D, ITENS!$A:$A = SERVICOS!$A649))"),"")</f>
        <v/>
      </c>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c r="A649" s="11" t="str">
        <f>IFERROR(__xludf.DUMMYFUNCTION("TRANSPOSE(FILTER(ITENS!$D:$D, ITENS!$A:$A = SERVICOS!$A650))"),"")</f>
        <v/>
      </c>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c r="A650" s="11" t="str">
        <f>IFERROR(__xludf.DUMMYFUNCTION("TRANSPOSE(FILTER(ITENS!$D:$D, ITENS!$A:$A = SERVICOS!$A651))"),"")</f>
        <v/>
      </c>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c r="A651" s="11" t="str">
        <f>IFERROR(__xludf.DUMMYFUNCTION("TRANSPOSE(FILTER(ITENS!$D:$D, ITENS!$A:$A = SERVICOS!$A652))"),"")</f>
        <v/>
      </c>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c r="A652" s="11" t="str">
        <f>IFERROR(__xludf.DUMMYFUNCTION("TRANSPOSE(FILTER(ITENS!$D:$D, ITENS!$A:$A = SERVICOS!$A653))"),"")</f>
        <v/>
      </c>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c r="A653" s="11" t="str">
        <f>IFERROR(__xludf.DUMMYFUNCTION("TRANSPOSE(FILTER(ITENS!$D:$D, ITENS!$A:$A = SERVICOS!$A654))"),"")</f>
        <v/>
      </c>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c r="A654" s="11" t="str">
        <f>IFERROR(__xludf.DUMMYFUNCTION("TRANSPOSE(FILTER(ITENS!$D:$D, ITENS!$A:$A = SERVICOS!$A655))"),"")</f>
        <v/>
      </c>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c r="A655" s="11" t="str">
        <f>IFERROR(__xludf.DUMMYFUNCTION("TRANSPOSE(FILTER(ITENS!$D:$D, ITENS!$A:$A = SERVICOS!$A656))"),"")</f>
        <v/>
      </c>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c r="A656" s="11" t="str">
        <f>IFERROR(__xludf.DUMMYFUNCTION("TRANSPOSE(FILTER(ITENS!$D:$D, ITENS!$A:$A = SERVICOS!$A657))"),"")</f>
        <v/>
      </c>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c r="A657" s="11" t="str">
        <f>IFERROR(__xludf.DUMMYFUNCTION("TRANSPOSE(FILTER(ITENS!$D:$D, ITENS!$A:$A = SERVICOS!$A658))"),"")</f>
        <v/>
      </c>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c r="A658" s="11" t="str">
        <f>IFERROR(__xludf.DUMMYFUNCTION("TRANSPOSE(FILTER(ITENS!$D:$D, ITENS!$A:$A = SERVICOS!$A659))"),"")</f>
        <v/>
      </c>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c r="A659" s="11" t="str">
        <f>IFERROR(__xludf.DUMMYFUNCTION("TRANSPOSE(FILTER(ITENS!$D:$D, ITENS!$A:$A = SERVICOS!$A660))"),"")</f>
        <v/>
      </c>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c r="A660" s="11" t="str">
        <f>IFERROR(__xludf.DUMMYFUNCTION("TRANSPOSE(FILTER(ITENS!$D:$D, ITENS!$A:$A = SERVICOS!$A661))"),"")</f>
        <v/>
      </c>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c r="A661" s="11" t="str">
        <f>IFERROR(__xludf.DUMMYFUNCTION("TRANSPOSE(FILTER(ITENS!$D:$D, ITENS!$A:$A = SERVICOS!$A662))"),"")</f>
        <v/>
      </c>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c r="A662" s="11" t="str">
        <f>IFERROR(__xludf.DUMMYFUNCTION("TRANSPOSE(FILTER(ITENS!$D:$D, ITENS!$A:$A = SERVICOS!$A663))"),"")</f>
        <v/>
      </c>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c r="A663" s="11" t="str">
        <f>IFERROR(__xludf.DUMMYFUNCTION("TRANSPOSE(FILTER(ITENS!$D:$D, ITENS!$A:$A = SERVICOS!$A664))"),"")</f>
        <v/>
      </c>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c r="A664" s="11" t="str">
        <f>IFERROR(__xludf.DUMMYFUNCTION("TRANSPOSE(FILTER(ITENS!$D:$D, ITENS!$A:$A = SERVICOS!$A665))"),"")</f>
        <v/>
      </c>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c r="A665" s="11" t="str">
        <f>IFERROR(__xludf.DUMMYFUNCTION("TRANSPOSE(FILTER(ITENS!$D:$D, ITENS!$A:$A = SERVICOS!$A666))"),"")</f>
        <v/>
      </c>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c r="A666" s="11" t="str">
        <f>IFERROR(__xludf.DUMMYFUNCTION("TRANSPOSE(FILTER(ITENS!$D:$D, ITENS!$A:$A = SERVICOS!$A667))"),"")</f>
        <v/>
      </c>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c r="A667" s="11" t="str">
        <f>IFERROR(__xludf.DUMMYFUNCTION("TRANSPOSE(FILTER(ITENS!$D:$D, ITENS!$A:$A = SERVICOS!$A668))"),"")</f>
        <v/>
      </c>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c r="A668" s="11" t="str">
        <f>IFERROR(__xludf.DUMMYFUNCTION("TRANSPOSE(FILTER(ITENS!$D:$D, ITENS!$A:$A = SERVICOS!$A669))"),"")</f>
        <v/>
      </c>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c r="A669" s="11" t="str">
        <f>IFERROR(__xludf.DUMMYFUNCTION("TRANSPOSE(FILTER(ITENS!$D:$D, ITENS!$A:$A = SERVICOS!$A670))"),"")</f>
        <v/>
      </c>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c r="A670" s="11" t="str">
        <f>IFERROR(__xludf.DUMMYFUNCTION("TRANSPOSE(FILTER(ITENS!$D:$D, ITENS!$A:$A = SERVICOS!$A671))"),"")</f>
        <v/>
      </c>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c r="A671" s="11" t="str">
        <f>IFERROR(__xludf.DUMMYFUNCTION("TRANSPOSE(FILTER(ITENS!$D:$D, ITENS!$A:$A = SERVICOS!$A672))"),"")</f>
        <v/>
      </c>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c r="A672" s="11" t="str">
        <f>IFERROR(__xludf.DUMMYFUNCTION("TRANSPOSE(FILTER(ITENS!$D:$D, ITENS!$A:$A = SERVICOS!$A673))"),"")</f>
        <v/>
      </c>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c r="A673" s="11" t="str">
        <f>IFERROR(__xludf.DUMMYFUNCTION("TRANSPOSE(FILTER(ITENS!$D:$D, ITENS!$A:$A = SERVICOS!$A674))"),"")</f>
        <v/>
      </c>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c r="A674" s="11" t="str">
        <f>IFERROR(__xludf.DUMMYFUNCTION("TRANSPOSE(FILTER(ITENS!$D:$D, ITENS!$A:$A = SERVICOS!$A675))"),"")</f>
        <v/>
      </c>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c r="A675" s="11" t="str">
        <f>IFERROR(__xludf.DUMMYFUNCTION("TRANSPOSE(FILTER(ITENS!$D:$D, ITENS!$A:$A = SERVICOS!$A676))"),"")</f>
        <v/>
      </c>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c r="A676" s="11" t="str">
        <f>IFERROR(__xludf.DUMMYFUNCTION("TRANSPOSE(FILTER(ITENS!$D:$D, ITENS!$A:$A = SERVICOS!$A677))"),"")</f>
        <v/>
      </c>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c r="A677" s="11" t="str">
        <f>IFERROR(__xludf.DUMMYFUNCTION("TRANSPOSE(FILTER(ITENS!$D:$D, ITENS!$A:$A = SERVICOS!$A678))"),"")</f>
        <v/>
      </c>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c r="A678" s="11" t="str">
        <f>IFERROR(__xludf.DUMMYFUNCTION("TRANSPOSE(FILTER(ITENS!$D:$D, ITENS!$A:$A = SERVICOS!$A679))"),"")</f>
        <v/>
      </c>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c r="A679" s="11" t="str">
        <f>IFERROR(__xludf.DUMMYFUNCTION("TRANSPOSE(FILTER(ITENS!$D:$D, ITENS!$A:$A = SERVICOS!$A680))"),"")</f>
        <v/>
      </c>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c r="A680" s="11" t="str">
        <f>IFERROR(__xludf.DUMMYFUNCTION("TRANSPOSE(FILTER(ITENS!$D:$D, ITENS!$A:$A = SERVICOS!$A681))"),"")</f>
        <v/>
      </c>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c r="A681" s="11" t="str">
        <f>IFERROR(__xludf.DUMMYFUNCTION("TRANSPOSE(FILTER(ITENS!$D:$D, ITENS!$A:$A = SERVICOS!$A682))"),"")</f>
        <v/>
      </c>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c r="A682" s="11" t="str">
        <f>IFERROR(__xludf.DUMMYFUNCTION("TRANSPOSE(FILTER(ITENS!$D:$D, ITENS!$A:$A = SERVICOS!$A683))"),"")</f>
        <v/>
      </c>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c r="A683" s="11" t="str">
        <f>IFERROR(__xludf.DUMMYFUNCTION("TRANSPOSE(FILTER(ITENS!$D:$D, ITENS!$A:$A = SERVICOS!$A684))"),"")</f>
        <v/>
      </c>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c r="A684" s="11" t="str">
        <f>IFERROR(__xludf.DUMMYFUNCTION("TRANSPOSE(FILTER(ITENS!$D:$D, ITENS!$A:$A = SERVICOS!$A685))"),"")</f>
        <v/>
      </c>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c r="A685" s="11" t="str">
        <f>IFERROR(__xludf.DUMMYFUNCTION("TRANSPOSE(FILTER(ITENS!$D:$D, ITENS!$A:$A = SERVICOS!$A686))"),"")</f>
        <v/>
      </c>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c r="A686" s="11" t="str">
        <f>IFERROR(__xludf.DUMMYFUNCTION("TRANSPOSE(FILTER(ITENS!$D:$D, ITENS!$A:$A = SERVICOS!$A687))"),"")</f>
        <v/>
      </c>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c r="A687" s="11" t="str">
        <f>IFERROR(__xludf.DUMMYFUNCTION("TRANSPOSE(FILTER(ITENS!$D:$D, ITENS!$A:$A = SERVICOS!$A688))"),"")</f>
        <v/>
      </c>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c r="A688" s="11" t="str">
        <f>IFERROR(__xludf.DUMMYFUNCTION("TRANSPOSE(FILTER(ITENS!$D:$D, ITENS!$A:$A = SERVICOS!$A689))"),"")</f>
        <v/>
      </c>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c r="A689" s="11" t="str">
        <f>IFERROR(__xludf.DUMMYFUNCTION("TRANSPOSE(FILTER(ITENS!$D:$D, ITENS!$A:$A = SERVICOS!$A690))"),"")</f>
        <v/>
      </c>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c r="A690" s="11" t="str">
        <f>IFERROR(__xludf.DUMMYFUNCTION("TRANSPOSE(FILTER(ITENS!$D:$D, ITENS!$A:$A = SERVICOS!$A691))"),"")</f>
        <v/>
      </c>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c r="A691" s="11" t="str">
        <f>IFERROR(__xludf.DUMMYFUNCTION("TRANSPOSE(FILTER(ITENS!$D:$D, ITENS!$A:$A = SERVICOS!$A692))"),"")</f>
        <v/>
      </c>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c r="A692" s="11" t="str">
        <f>IFERROR(__xludf.DUMMYFUNCTION("TRANSPOSE(FILTER(ITENS!$D:$D, ITENS!$A:$A = SERVICOS!$A693))"),"")</f>
        <v/>
      </c>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c r="A693" s="11" t="str">
        <f>IFERROR(__xludf.DUMMYFUNCTION("TRANSPOSE(FILTER(ITENS!$D:$D, ITENS!$A:$A = SERVICOS!$A694))"),"")</f>
        <v/>
      </c>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c r="A694" s="11" t="str">
        <f>IFERROR(__xludf.DUMMYFUNCTION("TRANSPOSE(FILTER(ITENS!$D:$D, ITENS!$A:$A = SERVICOS!$A695))"),"")</f>
        <v/>
      </c>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c r="A695" s="11" t="str">
        <f>IFERROR(__xludf.DUMMYFUNCTION("TRANSPOSE(FILTER(ITENS!$D:$D, ITENS!$A:$A = SERVICOS!$A696))"),"")</f>
        <v/>
      </c>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c r="A696" s="11" t="str">
        <f>IFERROR(__xludf.DUMMYFUNCTION("TRANSPOSE(FILTER(ITENS!$D:$D, ITENS!$A:$A = SERVICOS!$A697))"),"")</f>
        <v/>
      </c>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c r="A697" s="11" t="str">
        <f>IFERROR(__xludf.DUMMYFUNCTION("TRANSPOSE(FILTER(ITENS!$D:$D, ITENS!$A:$A = SERVICOS!$A698))"),"")</f>
        <v/>
      </c>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c r="A698" s="11" t="str">
        <f>IFERROR(__xludf.DUMMYFUNCTION("TRANSPOSE(FILTER(ITENS!$D:$D, ITENS!$A:$A = SERVICOS!$A699))"),"")</f>
        <v/>
      </c>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c r="A699" s="11" t="str">
        <f>IFERROR(__xludf.DUMMYFUNCTION("TRANSPOSE(FILTER(ITENS!$D:$D, ITENS!$A:$A = SERVICOS!$A700))"),"")</f>
        <v/>
      </c>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c r="A700" s="11" t="str">
        <f>IFERROR(__xludf.DUMMYFUNCTION("TRANSPOSE(FILTER(ITENS!$D:$D, ITENS!$A:$A = SERVICOS!$A701))"),"")</f>
        <v/>
      </c>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c r="A701" s="11" t="str">
        <f>IFERROR(__xludf.DUMMYFUNCTION("TRANSPOSE(FILTER(ITENS!$D:$D, ITENS!$A:$A = SERVICOS!$A702))"),"")</f>
        <v/>
      </c>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c r="A702" s="11" t="str">
        <f>IFERROR(__xludf.DUMMYFUNCTION("TRANSPOSE(FILTER(ITENS!$D:$D, ITENS!$A:$A = SERVICOS!$A703))"),"")</f>
        <v/>
      </c>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c r="A703" s="11" t="str">
        <f>IFERROR(__xludf.DUMMYFUNCTION("TRANSPOSE(FILTER(ITENS!$D:$D, ITENS!$A:$A = SERVICOS!$A704))"),"")</f>
        <v/>
      </c>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c r="A704" s="11" t="str">
        <f>IFERROR(__xludf.DUMMYFUNCTION("TRANSPOSE(FILTER(ITENS!$D:$D, ITENS!$A:$A = SERVICOS!$A705))"),"")</f>
        <v/>
      </c>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c r="A705" s="11" t="str">
        <f>IFERROR(__xludf.DUMMYFUNCTION("TRANSPOSE(FILTER(ITENS!$D:$D, ITENS!$A:$A = SERVICOS!$A706))"),"")</f>
        <v/>
      </c>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c r="A706" s="11" t="str">
        <f>IFERROR(__xludf.DUMMYFUNCTION("TRANSPOSE(FILTER(ITENS!$D:$D, ITENS!$A:$A = SERVICOS!$A707))"),"")</f>
        <v/>
      </c>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c r="A707" s="11" t="str">
        <f>IFERROR(__xludf.DUMMYFUNCTION("TRANSPOSE(FILTER(ITENS!$D:$D, ITENS!$A:$A = SERVICOS!$A708))"),"")</f>
        <v/>
      </c>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c r="A708" s="11" t="str">
        <f>IFERROR(__xludf.DUMMYFUNCTION("TRANSPOSE(FILTER(ITENS!$D:$D, ITENS!$A:$A = SERVICOS!$A709))"),"")</f>
        <v/>
      </c>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c r="A709" s="11" t="str">
        <f>IFERROR(__xludf.DUMMYFUNCTION("TRANSPOSE(FILTER(ITENS!$D:$D, ITENS!$A:$A = SERVICOS!$A710))"),"")</f>
        <v/>
      </c>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c r="A710" s="11" t="str">
        <f>IFERROR(__xludf.DUMMYFUNCTION("TRANSPOSE(FILTER(ITENS!$D:$D, ITENS!$A:$A = SERVICOS!$A711))"),"")</f>
        <v/>
      </c>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c r="A711" s="11" t="str">
        <f>IFERROR(__xludf.DUMMYFUNCTION("TRANSPOSE(FILTER(ITENS!$D:$D, ITENS!$A:$A = SERVICOS!$A712))"),"")</f>
        <v/>
      </c>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c r="A712" s="11" t="str">
        <f>IFERROR(__xludf.DUMMYFUNCTION("TRANSPOSE(FILTER(ITENS!$D:$D, ITENS!$A:$A = SERVICOS!$A713))"),"")</f>
        <v/>
      </c>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c r="A713" s="11" t="str">
        <f>IFERROR(__xludf.DUMMYFUNCTION("TRANSPOSE(FILTER(ITENS!$D:$D, ITENS!$A:$A = SERVICOS!$A714))"),"")</f>
        <v/>
      </c>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c r="A714" s="11" t="str">
        <f>IFERROR(__xludf.DUMMYFUNCTION("TRANSPOSE(FILTER(ITENS!$D:$D, ITENS!$A:$A = SERVICOS!$A715))"),"")</f>
        <v/>
      </c>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c r="A715" s="11" t="str">
        <f>IFERROR(__xludf.DUMMYFUNCTION("TRANSPOSE(FILTER(ITENS!$D:$D, ITENS!$A:$A = SERVICOS!$A716))"),"")</f>
        <v/>
      </c>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c r="A716" s="11" t="str">
        <f>IFERROR(__xludf.DUMMYFUNCTION("TRANSPOSE(FILTER(ITENS!$D:$D, ITENS!$A:$A = SERVICOS!$A717))"),"")</f>
        <v/>
      </c>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c r="A717" s="11" t="str">
        <f>IFERROR(__xludf.DUMMYFUNCTION("TRANSPOSE(FILTER(ITENS!$D:$D, ITENS!$A:$A = SERVICOS!$A718))"),"")</f>
        <v/>
      </c>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c r="A718" s="11" t="str">
        <f>IFERROR(__xludf.DUMMYFUNCTION("TRANSPOSE(FILTER(ITENS!$D:$D, ITENS!$A:$A = SERVICOS!$A719))"),"")</f>
        <v/>
      </c>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c r="A719" s="11" t="str">
        <f>IFERROR(__xludf.DUMMYFUNCTION("TRANSPOSE(FILTER(ITENS!$D:$D, ITENS!$A:$A = SERVICOS!$A720))"),"")</f>
        <v/>
      </c>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c r="A720" s="11" t="str">
        <f>IFERROR(__xludf.DUMMYFUNCTION("TRANSPOSE(FILTER(ITENS!$D:$D, ITENS!$A:$A = SERVICOS!$A721))"),"")</f>
        <v/>
      </c>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c r="A721" s="11" t="str">
        <f>IFERROR(__xludf.DUMMYFUNCTION("TRANSPOSE(FILTER(ITENS!$D:$D, ITENS!$A:$A = SERVICOS!$A722))"),"")</f>
        <v/>
      </c>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c r="A722" s="11" t="str">
        <f>IFERROR(__xludf.DUMMYFUNCTION("TRANSPOSE(FILTER(ITENS!$D:$D, ITENS!$A:$A = SERVICOS!$A723))"),"")</f>
        <v/>
      </c>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c r="A723" s="11" t="str">
        <f>IFERROR(__xludf.DUMMYFUNCTION("TRANSPOSE(FILTER(ITENS!$D:$D, ITENS!$A:$A = SERVICOS!$A724))"),"")</f>
        <v/>
      </c>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c r="A724" s="11" t="str">
        <f>IFERROR(__xludf.DUMMYFUNCTION("TRANSPOSE(FILTER(ITENS!$D:$D, ITENS!$A:$A = SERVICOS!$A725))"),"")</f>
        <v/>
      </c>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c r="A725" s="11" t="str">
        <f>IFERROR(__xludf.DUMMYFUNCTION("TRANSPOSE(FILTER(ITENS!$D:$D, ITENS!$A:$A = SERVICOS!$A726))"),"")</f>
        <v/>
      </c>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c r="A726" s="11" t="str">
        <f>IFERROR(__xludf.DUMMYFUNCTION("TRANSPOSE(FILTER(ITENS!$D:$D, ITENS!$A:$A = SERVICOS!$A727))"),"")</f>
        <v/>
      </c>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c r="A727" s="11" t="str">
        <f>IFERROR(__xludf.DUMMYFUNCTION("TRANSPOSE(FILTER(ITENS!$D:$D, ITENS!$A:$A = SERVICOS!$A728))"),"")</f>
        <v/>
      </c>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c r="A728" s="11" t="str">
        <f>IFERROR(__xludf.DUMMYFUNCTION("TRANSPOSE(FILTER(ITENS!$D:$D, ITENS!$A:$A = SERVICOS!$A729))"),"")</f>
        <v/>
      </c>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c r="A729" s="11" t="str">
        <f>IFERROR(__xludf.DUMMYFUNCTION("TRANSPOSE(FILTER(ITENS!$D:$D, ITENS!$A:$A = SERVICOS!$A730))"),"")</f>
        <v/>
      </c>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c r="A730" s="11" t="str">
        <f>IFERROR(__xludf.DUMMYFUNCTION("TRANSPOSE(FILTER(ITENS!$D:$D, ITENS!$A:$A = SERVICOS!$A731))"),"")</f>
        <v/>
      </c>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c r="A731" s="11" t="str">
        <f>IFERROR(__xludf.DUMMYFUNCTION("TRANSPOSE(FILTER(ITENS!$D:$D, ITENS!$A:$A = SERVICOS!$A732))"),"")</f>
        <v/>
      </c>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c r="A732" s="11" t="str">
        <f>IFERROR(__xludf.DUMMYFUNCTION("TRANSPOSE(FILTER(ITENS!$D:$D, ITENS!$A:$A = SERVICOS!$A733))"),"")</f>
        <v/>
      </c>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c r="A733" s="11" t="str">
        <f>IFERROR(__xludf.DUMMYFUNCTION("TRANSPOSE(FILTER(ITENS!$D:$D, ITENS!$A:$A = SERVICOS!$A734))"),"")</f>
        <v/>
      </c>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c r="A734" s="11" t="str">
        <f>IFERROR(__xludf.DUMMYFUNCTION("TRANSPOSE(FILTER(ITENS!$D:$D, ITENS!$A:$A = SERVICOS!$A735))"),"")</f>
        <v/>
      </c>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c r="A735" s="11" t="str">
        <f>IFERROR(__xludf.DUMMYFUNCTION("TRANSPOSE(FILTER(ITENS!$D:$D, ITENS!$A:$A = SERVICOS!$A736))"),"")</f>
        <v/>
      </c>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c r="A736" s="11" t="str">
        <f>IFERROR(__xludf.DUMMYFUNCTION("TRANSPOSE(FILTER(ITENS!$D:$D, ITENS!$A:$A = SERVICOS!$A737))"),"")</f>
        <v/>
      </c>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c r="A737" s="11" t="str">
        <f>IFERROR(__xludf.DUMMYFUNCTION("TRANSPOSE(FILTER(ITENS!$D:$D, ITENS!$A:$A = SERVICOS!$A738))"),"")</f>
        <v/>
      </c>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c r="A738" s="11" t="str">
        <f>IFERROR(__xludf.DUMMYFUNCTION("TRANSPOSE(FILTER(ITENS!$D:$D, ITENS!$A:$A = SERVICOS!$A739))"),"")</f>
        <v/>
      </c>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c r="A739" s="11" t="str">
        <f>IFERROR(__xludf.DUMMYFUNCTION("TRANSPOSE(FILTER(ITENS!$D:$D, ITENS!$A:$A = SERVICOS!$A740))"),"")</f>
        <v/>
      </c>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c r="A740" s="11" t="str">
        <f>IFERROR(__xludf.DUMMYFUNCTION("TRANSPOSE(FILTER(ITENS!$D:$D, ITENS!$A:$A = SERVICOS!$A741))"),"")</f>
        <v/>
      </c>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c r="A741" s="11" t="str">
        <f>IFERROR(__xludf.DUMMYFUNCTION("TRANSPOSE(FILTER(ITENS!$D:$D, ITENS!$A:$A = SERVICOS!$A742))"),"")</f>
        <v/>
      </c>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c r="A742" s="11" t="str">
        <f>IFERROR(__xludf.DUMMYFUNCTION("TRANSPOSE(FILTER(ITENS!$D:$D, ITENS!$A:$A = SERVICOS!$A743))"),"")</f>
        <v/>
      </c>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c r="A743" s="11" t="str">
        <f>IFERROR(__xludf.DUMMYFUNCTION("TRANSPOSE(FILTER(ITENS!$D:$D, ITENS!$A:$A = SERVICOS!$A744))"),"")</f>
        <v/>
      </c>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c r="A744" s="11" t="str">
        <f>IFERROR(__xludf.DUMMYFUNCTION("TRANSPOSE(FILTER(ITENS!$D:$D, ITENS!$A:$A = SERVICOS!$A745))"),"")</f>
        <v/>
      </c>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c r="A745" s="11" t="str">
        <f>IFERROR(__xludf.DUMMYFUNCTION("TRANSPOSE(FILTER(ITENS!$D:$D, ITENS!$A:$A = SERVICOS!$A746))"),"")</f>
        <v/>
      </c>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c r="A746" s="11" t="str">
        <f>IFERROR(__xludf.DUMMYFUNCTION("TRANSPOSE(FILTER(ITENS!$D:$D, ITENS!$A:$A = SERVICOS!$A747))"),"")</f>
        <v/>
      </c>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c r="A747" s="11" t="str">
        <f>IFERROR(__xludf.DUMMYFUNCTION("TRANSPOSE(FILTER(ITENS!$D:$D, ITENS!$A:$A = SERVICOS!$A748))"),"")</f>
        <v/>
      </c>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c r="A748" s="11" t="str">
        <f>IFERROR(__xludf.DUMMYFUNCTION("TRANSPOSE(FILTER(ITENS!$D:$D, ITENS!$A:$A = SERVICOS!$A749))"),"")</f>
        <v/>
      </c>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c r="A749" s="11" t="str">
        <f>IFERROR(__xludf.DUMMYFUNCTION("TRANSPOSE(FILTER(ITENS!$D:$D, ITENS!$A:$A = SERVICOS!$A750))"),"")</f>
        <v/>
      </c>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c r="A750" s="11" t="str">
        <f>IFERROR(__xludf.DUMMYFUNCTION("TRANSPOSE(FILTER(ITENS!$D:$D, ITENS!$A:$A = SERVICOS!$A751))"),"")</f>
        <v/>
      </c>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c r="A751" s="11" t="str">
        <f>IFERROR(__xludf.DUMMYFUNCTION("TRANSPOSE(FILTER(ITENS!$D:$D, ITENS!$A:$A = SERVICOS!$A752))"),"")</f>
        <v/>
      </c>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c r="A752" s="11" t="str">
        <f>IFERROR(__xludf.DUMMYFUNCTION("TRANSPOSE(FILTER(ITENS!$D:$D, ITENS!$A:$A = SERVICOS!$A753))"),"")</f>
        <v/>
      </c>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c r="A753" s="11" t="str">
        <f>IFERROR(__xludf.DUMMYFUNCTION("TRANSPOSE(FILTER(ITENS!$D:$D, ITENS!$A:$A = SERVICOS!$A754))"),"")</f>
        <v/>
      </c>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c r="A754" s="11" t="str">
        <f>IFERROR(__xludf.DUMMYFUNCTION("TRANSPOSE(FILTER(ITENS!$D:$D, ITENS!$A:$A = SERVICOS!$A755))"),"")</f>
        <v/>
      </c>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c r="A755" s="11" t="str">
        <f>IFERROR(__xludf.DUMMYFUNCTION("TRANSPOSE(FILTER(ITENS!$D:$D, ITENS!$A:$A = SERVICOS!$A756))"),"")</f>
        <v/>
      </c>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c r="A756" s="11" t="str">
        <f>IFERROR(__xludf.DUMMYFUNCTION("TRANSPOSE(FILTER(ITENS!$D:$D, ITENS!$A:$A = SERVICOS!$A757))"),"")</f>
        <v/>
      </c>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c r="A757" s="11" t="str">
        <f>IFERROR(__xludf.DUMMYFUNCTION("TRANSPOSE(FILTER(ITENS!$D:$D, ITENS!$A:$A = SERVICOS!$A758))"),"")</f>
        <v/>
      </c>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c r="A758" s="11" t="str">
        <f>IFERROR(__xludf.DUMMYFUNCTION("TRANSPOSE(FILTER(ITENS!$D:$D, ITENS!$A:$A = SERVICOS!$A759))"),"")</f>
        <v/>
      </c>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c r="A759" s="11" t="str">
        <f>IFERROR(__xludf.DUMMYFUNCTION("TRANSPOSE(FILTER(ITENS!$D:$D, ITENS!$A:$A = SERVICOS!$A760))"),"")</f>
        <v/>
      </c>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c r="A760" s="11" t="str">
        <f>IFERROR(__xludf.DUMMYFUNCTION("TRANSPOSE(FILTER(ITENS!$D:$D, ITENS!$A:$A = SERVICOS!$A761))"),"")</f>
        <v/>
      </c>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c r="A761" s="11" t="str">
        <f>IFERROR(__xludf.DUMMYFUNCTION("TRANSPOSE(FILTER(ITENS!$D:$D, ITENS!$A:$A = SERVICOS!$A762))"),"")</f>
        <v/>
      </c>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c r="A762" s="11" t="str">
        <f>IFERROR(__xludf.DUMMYFUNCTION("TRANSPOSE(FILTER(ITENS!$D:$D, ITENS!$A:$A = SERVICOS!$A763))"),"")</f>
        <v/>
      </c>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c r="A763" s="11" t="str">
        <f>IFERROR(__xludf.DUMMYFUNCTION("TRANSPOSE(FILTER(ITENS!$D:$D, ITENS!$A:$A = SERVICOS!$A764))"),"")</f>
        <v/>
      </c>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c r="A764" s="11" t="str">
        <f>IFERROR(__xludf.DUMMYFUNCTION("TRANSPOSE(FILTER(ITENS!$D:$D, ITENS!$A:$A = SERVICOS!$A765))"),"")</f>
        <v/>
      </c>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c r="A765" s="11" t="str">
        <f>IFERROR(__xludf.DUMMYFUNCTION("TRANSPOSE(FILTER(ITENS!$D:$D, ITENS!$A:$A = SERVICOS!$A766))"),"")</f>
        <v/>
      </c>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c r="A766" s="11" t="str">
        <f>IFERROR(__xludf.DUMMYFUNCTION("TRANSPOSE(FILTER(ITENS!$D:$D, ITENS!$A:$A = SERVICOS!$A767))"),"")</f>
        <v/>
      </c>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c r="A767" s="11" t="str">
        <f>IFERROR(__xludf.DUMMYFUNCTION("TRANSPOSE(FILTER(ITENS!$D:$D, ITENS!$A:$A = SERVICOS!$A768))"),"")</f>
        <v/>
      </c>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c r="A768" s="11" t="str">
        <f>IFERROR(__xludf.DUMMYFUNCTION("TRANSPOSE(FILTER(ITENS!$D:$D, ITENS!$A:$A = SERVICOS!$A769))"),"")</f>
        <v/>
      </c>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c r="A769" s="11" t="str">
        <f>IFERROR(__xludf.DUMMYFUNCTION("TRANSPOSE(FILTER(ITENS!$D:$D, ITENS!$A:$A = SERVICOS!$A770))"),"")</f>
        <v/>
      </c>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c r="A770" s="11" t="str">
        <f>IFERROR(__xludf.DUMMYFUNCTION("TRANSPOSE(FILTER(ITENS!$D:$D, ITENS!$A:$A = SERVICOS!$A771))"),"")</f>
        <v/>
      </c>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c r="A771" s="11" t="str">
        <f>IFERROR(__xludf.DUMMYFUNCTION("TRANSPOSE(FILTER(ITENS!$D:$D, ITENS!$A:$A = SERVICOS!$A772))"),"")</f>
        <v/>
      </c>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c r="A772" s="11" t="str">
        <f>IFERROR(__xludf.DUMMYFUNCTION("TRANSPOSE(FILTER(ITENS!$D:$D, ITENS!$A:$A = SERVICOS!$A773))"),"")</f>
        <v/>
      </c>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c r="A773" s="11" t="str">
        <f>IFERROR(__xludf.DUMMYFUNCTION("TRANSPOSE(FILTER(ITENS!$D:$D, ITENS!$A:$A = SERVICOS!$A774))"),"")</f>
        <v/>
      </c>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c r="A774" s="11" t="str">
        <f>IFERROR(__xludf.DUMMYFUNCTION("TRANSPOSE(FILTER(ITENS!$D:$D, ITENS!$A:$A = SERVICOS!$A775))"),"")</f>
        <v/>
      </c>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c r="A775" s="11" t="str">
        <f>IFERROR(__xludf.DUMMYFUNCTION("TRANSPOSE(FILTER(ITENS!$D:$D, ITENS!$A:$A = SERVICOS!$A776))"),"")</f>
        <v/>
      </c>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c r="A776" s="11" t="str">
        <f>IFERROR(__xludf.DUMMYFUNCTION("TRANSPOSE(FILTER(ITENS!$D:$D, ITENS!$A:$A = SERVICOS!$A777))"),"")</f>
        <v/>
      </c>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c r="A777" s="11" t="str">
        <f>IFERROR(__xludf.DUMMYFUNCTION("TRANSPOSE(FILTER(ITENS!$D:$D, ITENS!$A:$A = SERVICOS!$A778))"),"")</f>
        <v/>
      </c>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c r="A778" s="11" t="str">
        <f>IFERROR(__xludf.DUMMYFUNCTION("TRANSPOSE(FILTER(ITENS!$D:$D, ITENS!$A:$A = SERVICOS!$A779))"),"")</f>
        <v/>
      </c>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c r="A779" s="11" t="str">
        <f>IFERROR(__xludf.DUMMYFUNCTION("TRANSPOSE(FILTER(ITENS!$D:$D, ITENS!$A:$A = SERVICOS!$A780))"),"")</f>
        <v/>
      </c>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c r="A780" s="11" t="str">
        <f>IFERROR(__xludf.DUMMYFUNCTION("TRANSPOSE(FILTER(ITENS!$D:$D, ITENS!$A:$A = SERVICOS!$A781))"),"")</f>
        <v/>
      </c>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c r="A781" s="11" t="str">
        <f>IFERROR(__xludf.DUMMYFUNCTION("TRANSPOSE(FILTER(ITENS!$D:$D, ITENS!$A:$A = SERVICOS!$A782))"),"")</f>
        <v/>
      </c>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c r="A782" s="11" t="str">
        <f>IFERROR(__xludf.DUMMYFUNCTION("TRANSPOSE(FILTER(ITENS!$D:$D, ITENS!$A:$A = SERVICOS!$A783))"),"")</f>
        <v/>
      </c>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c r="A783" s="11" t="str">
        <f>IFERROR(__xludf.DUMMYFUNCTION("TRANSPOSE(FILTER(ITENS!$D:$D, ITENS!$A:$A = SERVICOS!$A784))"),"")</f>
        <v/>
      </c>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c r="A784" s="11" t="str">
        <f>IFERROR(__xludf.DUMMYFUNCTION("TRANSPOSE(FILTER(ITENS!$D:$D, ITENS!$A:$A = SERVICOS!$A785))"),"")</f>
        <v/>
      </c>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c r="A785" s="11" t="str">
        <f>IFERROR(__xludf.DUMMYFUNCTION("TRANSPOSE(FILTER(ITENS!$D:$D, ITENS!$A:$A = SERVICOS!$A786))"),"")</f>
        <v/>
      </c>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c r="A786" s="11" t="str">
        <f>IFERROR(__xludf.DUMMYFUNCTION("TRANSPOSE(FILTER(ITENS!$D:$D, ITENS!$A:$A = SERVICOS!$A787))"),"")</f>
        <v/>
      </c>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c r="A787" s="11" t="str">
        <f>IFERROR(__xludf.DUMMYFUNCTION("TRANSPOSE(FILTER(ITENS!$D:$D, ITENS!$A:$A = SERVICOS!$A788))"),"")</f>
        <v/>
      </c>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c r="A788" s="11" t="str">
        <f>IFERROR(__xludf.DUMMYFUNCTION("TRANSPOSE(FILTER(ITENS!$D:$D, ITENS!$A:$A = SERVICOS!$A789))"),"")</f>
        <v/>
      </c>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c r="A789" s="11" t="str">
        <f>IFERROR(__xludf.DUMMYFUNCTION("TRANSPOSE(FILTER(ITENS!$D:$D, ITENS!$A:$A = SERVICOS!$A790))"),"")</f>
        <v/>
      </c>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c r="A790" s="11" t="str">
        <f>IFERROR(__xludf.DUMMYFUNCTION("TRANSPOSE(FILTER(ITENS!$D:$D, ITENS!$A:$A = SERVICOS!$A791))"),"")</f>
        <v/>
      </c>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c r="A791" s="11" t="str">
        <f>IFERROR(__xludf.DUMMYFUNCTION("TRANSPOSE(FILTER(ITENS!$D:$D, ITENS!$A:$A = SERVICOS!$A792))"),"")</f>
        <v/>
      </c>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c r="A792" s="11" t="str">
        <f>IFERROR(__xludf.DUMMYFUNCTION("TRANSPOSE(FILTER(ITENS!$D:$D, ITENS!$A:$A = SERVICOS!$A793))"),"")</f>
        <v/>
      </c>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c r="A793" s="11" t="str">
        <f>IFERROR(__xludf.DUMMYFUNCTION("TRANSPOSE(FILTER(ITENS!$D:$D, ITENS!$A:$A = SERVICOS!$A794))"),"")</f>
        <v/>
      </c>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c r="A794" s="11" t="str">
        <f>IFERROR(__xludf.DUMMYFUNCTION("TRANSPOSE(FILTER(ITENS!$D:$D, ITENS!$A:$A = SERVICOS!$A795))"),"")</f>
        <v/>
      </c>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c r="A795" s="11" t="str">
        <f>IFERROR(__xludf.DUMMYFUNCTION("TRANSPOSE(FILTER(ITENS!$D:$D, ITENS!$A:$A = SERVICOS!$A796))"),"")</f>
        <v/>
      </c>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c r="A796" s="11" t="str">
        <f>IFERROR(__xludf.DUMMYFUNCTION("TRANSPOSE(FILTER(ITENS!$D:$D, ITENS!$A:$A = SERVICOS!$A797))"),"")</f>
        <v/>
      </c>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c r="A797" s="11" t="str">
        <f>IFERROR(__xludf.DUMMYFUNCTION("TRANSPOSE(FILTER(ITENS!$D:$D, ITENS!$A:$A = SERVICOS!$A798))"),"")</f>
        <v/>
      </c>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c r="A798" s="11" t="str">
        <f>IFERROR(__xludf.DUMMYFUNCTION("TRANSPOSE(FILTER(ITENS!$D:$D, ITENS!$A:$A = SERVICOS!$A799))"),"")</f>
        <v/>
      </c>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c r="A799" s="11" t="str">
        <f>IFERROR(__xludf.DUMMYFUNCTION("TRANSPOSE(FILTER(ITENS!$D:$D, ITENS!$A:$A = SERVICOS!$A800))"),"")</f>
        <v/>
      </c>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c r="A800" s="11" t="str">
        <f>IFERROR(__xludf.DUMMYFUNCTION("TRANSPOSE(FILTER(ITENS!$D:$D, ITENS!$A:$A = SERVICOS!$A801))"),"")</f>
        <v/>
      </c>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c r="A801" s="11" t="str">
        <f>IFERROR(__xludf.DUMMYFUNCTION("TRANSPOSE(FILTER(ITENS!$D:$D, ITENS!$A:$A = SERVICOS!$A802))"),"")</f>
        <v/>
      </c>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c r="A802" s="11" t="str">
        <f>IFERROR(__xludf.DUMMYFUNCTION("TRANSPOSE(FILTER(ITENS!$D:$D, ITENS!$A:$A = SERVICOS!$A803))"),"")</f>
        <v/>
      </c>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c r="A803" s="11" t="str">
        <f>IFERROR(__xludf.DUMMYFUNCTION("TRANSPOSE(FILTER(ITENS!$D:$D, ITENS!$A:$A = SERVICOS!$A804))"),"")</f>
        <v/>
      </c>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c r="A804" s="11" t="str">
        <f>IFERROR(__xludf.DUMMYFUNCTION("TRANSPOSE(FILTER(ITENS!$D:$D, ITENS!$A:$A = SERVICOS!$A805))"),"")</f>
        <v/>
      </c>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c r="A805" s="11" t="str">
        <f>IFERROR(__xludf.DUMMYFUNCTION("TRANSPOSE(FILTER(ITENS!$D:$D, ITENS!$A:$A = SERVICOS!$A806))"),"")</f>
        <v/>
      </c>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c r="A806" s="11" t="str">
        <f>IFERROR(__xludf.DUMMYFUNCTION("TRANSPOSE(FILTER(ITENS!$D:$D, ITENS!$A:$A = SERVICOS!$A807))"),"")</f>
        <v/>
      </c>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c r="A807" s="11" t="str">
        <f>IFERROR(__xludf.DUMMYFUNCTION("TRANSPOSE(FILTER(ITENS!$D:$D, ITENS!$A:$A = SERVICOS!$A808))"),"")</f>
        <v/>
      </c>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c r="A808" s="11" t="str">
        <f>IFERROR(__xludf.DUMMYFUNCTION("TRANSPOSE(FILTER(ITENS!$D:$D, ITENS!$A:$A = SERVICOS!$A809))"),"")</f>
        <v/>
      </c>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c r="A809" s="11" t="str">
        <f>IFERROR(__xludf.DUMMYFUNCTION("TRANSPOSE(FILTER(ITENS!$D:$D, ITENS!$A:$A = SERVICOS!$A810))"),"")</f>
        <v/>
      </c>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c r="A810" s="11" t="str">
        <f>IFERROR(__xludf.DUMMYFUNCTION("TRANSPOSE(FILTER(ITENS!$D:$D, ITENS!$A:$A = SERVICOS!$A811))"),"")</f>
        <v/>
      </c>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c r="A811" s="11" t="str">
        <f>IFERROR(__xludf.DUMMYFUNCTION("TRANSPOSE(FILTER(ITENS!$D:$D, ITENS!$A:$A = SERVICOS!$A812))"),"")</f>
        <v/>
      </c>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c r="A812" s="11" t="str">
        <f>IFERROR(__xludf.DUMMYFUNCTION("TRANSPOSE(FILTER(ITENS!$D:$D, ITENS!$A:$A = SERVICOS!$A813))"),"")</f>
        <v/>
      </c>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c r="A813" s="11" t="str">
        <f>IFERROR(__xludf.DUMMYFUNCTION("TRANSPOSE(FILTER(ITENS!$D:$D, ITENS!$A:$A = SERVICOS!$A814))"),"")</f>
        <v/>
      </c>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c r="A814" s="11" t="str">
        <f>IFERROR(__xludf.DUMMYFUNCTION("TRANSPOSE(FILTER(ITENS!$D:$D, ITENS!$A:$A = SERVICOS!$A815))"),"")</f>
        <v/>
      </c>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c r="A815" s="11" t="str">
        <f>IFERROR(__xludf.DUMMYFUNCTION("TRANSPOSE(FILTER(ITENS!$D:$D, ITENS!$A:$A = SERVICOS!$A816))"),"")</f>
        <v/>
      </c>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c r="A816" s="11" t="str">
        <f>IFERROR(__xludf.DUMMYFUNCTION("TRANSPOSE(FILTER(ITENS!$D:$D, ITENS!$A:$A = SERVICOS!$A817))"),"")</f>
        <v/>
      </c>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c r="A817" s="11" t="str">
        <f>IFERROR(__xludf.DUMMYFUNCTION("TRANSPOSE(FILTER(ITENS!$D:$D, ITENS!$A:$A = SERVICOS!$A818))"),"")</f>
        <v/>
      </c>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c r="A818" s="11" t="str">
        <f>IFERROR(__xludf.DUMMYFUNCTION("TRANSPOSE(FILTER(ITENS!$D:$D, ITENS!$A:$A = SERVICOS!$A819))"),"")</f>
        <v/>
      </c>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c r="A819" s="11" t="str">
        <f>IFERROR(__xludf.DUMMYFUNCTION("TRANSPOSE(FILTER(ITENS!$D:$D, ITENS!$A:$A = SERVICOS!$A820))"),"")</f>
        <v/>
      </c>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c r="A820" s="11" t="str">
        <f>IFERROR(__xludf.DUMMYFUNCTION("TRANSPOSE(FILTER(ITENS!$D:$D, ITENS!$A:$A = SERVICOS!$A821))"),"")</f>
        <v/>
      </c>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c r="A821" s="11" t="str">
        <f>IFERROR(__xludf.DUMMYFUNCTION("TRANSPOSE(FILTER(ITENS!$D:$D, ITENS!$A:$A = SERVICOS!$A822))"),"")</f>
        <v/>
      </c>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c r="A822" s="11" t="str">
        <f>IFERROR(__xludf.DUMMYFUNCTION("TRANSPOSE(FILTER(ITENS!$D:$D, ITENS!$A:$A = SERVICOS!$A823))"),"")</f>
        <v/>
      </c>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c r="A823" s="11" t="str">
        <f>IFERROR(__xludf.DUMMYFUNCTION("TRANSPOSE(FILTER(ITENS!$D:$D, ITENS!$A:$A = SERVICOS!$A824))"),"")</f>
        <v/>
      </c>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c r="A824" s="11" t="str">
        <f>IFERROR(__xludf.DUMMYFUNCTION("TRANSPOSE(FILTER(ITENS!$D:$D, ITENS!$A:$A = SERVICOS!$A825))"),"")</f>
        <v/>
      </c>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c r="A825" s="11" t="str">
        <f>IFERROR(__xludf.DUMMYFUNCTION("TRANSPOSE(FILTER(ITENS!$D:$D, ITENS!$A:$A = SERVICOS!$A826))"),"")</f>
        <v/>
      </c>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c r="A826" s="11" t="str">
        <f>IFERROR(__xludf.DUMMYFUNCTION("TRANSPOSE(FILTER(ITENS!$D:$D, ITENS!$A:$A = SERVICOS!$A827))"),"")</f>
        <v/>
      </c>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c r="A827" s="11" t="str">
        <f>IFERROR(__xludf.DUMMYFUNCTION("TRANSPOSE(FILTER(ITENS!$D:$D, ITENS!$A:$A = SERVICOS!$A828))"),"")</f>
        <v/>
      </c>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c r="A828" s="11" t="str">
        <f>IFERROR(__xludf.DUMMYFUNCTION("TRANSPOSE(FILTER(ITENS!$D:$D, ITENS!$A:$A = SERVICOS!$A829))"),"")</f>
        <v/>
      </c>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c r="A829" s="11" t="str">
        <f>IFERROR(__xludf.DUMMYFUNCTION("TRANSPOSE(FILTER(ITENS!$D:$D, ITENS!$A:$A = SERVICOS!$A830))"),"")</f>
        <v/>
      </c>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c r="A830" s="11" t="str">
        <f>IFERROR(__xludf.DUMMYFUNCTION("TRANSPOSE(FILTER(ITENS!$D:$D, ITENS!$A:$A = SERVICOS!$A831))"),"")</f>
        <v/>
      </c>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c r="A831" s="11" t="str">
        <f>IFERROR(__xludf.DUMMYFUNCTION("TRANSPOSE(FILTER(ITENS!$D:$D, ITENS!$A:$A = SERVICOS!$A832))"),"")</f>
        <v/>
      </c>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c r="A832" s="11" t="str">
        <f>IFERROR(__xludf.DUMMYFUNCTION("TRANSPOSE(FILTER(ITENS!$D:$D, ITENS!$A:$A = SERVICOS!$A833))"),"")</f>
        <v/>
      </c>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c r="A833" s="11" t="str">
        <f>IFERROR(__xludf.DUMMYFUNCTION("TRANSPOSE(FILTER(ITENS!$D:$D, ITENS!$A:$A = SERVICOS!$A834))"),"")</f>
        <v/>
      </c>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c r="A834" s="11" t="str">
        <f>IFERROR(__xludf.DUMMYFUNCTION("TRANSPOSE(FILTER(ITENS!$D:$D, ITENS!$A:$A = SERVICOS!$A835))"),"")</f>
        <v/>
      </c>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c r="A835" s="11" t="str">
        <f>IFERROR(__xludf.DUMMYFUNCTION("TRANSPOSE(FILTER(ITENS!$D:$D, ITENS!$A:$A = SERVICOS!$A836))"),"")</f>
        <v/>
      </c>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c r="A836" s="11" t="str">
        <f>IFERROR(__xludf.DUMMYFUNCTION("TRANSPOSE(FILTER(ITENS!$D:$D, ITENS!$A:$A = SERVICOS!$A837))"),"")</f>
        <v/>
      </c>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c r="A837" s="11" t="str">
        <f>IFERROR(__xludf.DUMMYFUNCTION("TRANSPOSE(FILTER(ITENS!$D:$D, ITENS!$A:$A = SERVICOS!$A838))"),"")</f>
        <v/>
      </c>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c r="A838" s="11" t="str">
        <f>IFERROR(__xludf.DUMMYFUNCTION("TRANSPOSE(FILTER(ITENS!$D:$D, ITENS!$A:$A = SERVICOS!$A839))"),"")</f>
        <v/>
      </c>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c r="A839" s="11" t="str">
        <f>IFERROR(__xludf.DUMMYFUNCTION("TRANSPOSE(FILTER(ITENS!$D:$D, ITENS!$A:$A = SERVICOS!$A840))"),"")</f>
        <v/>
      </c>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c r="A840" s="11" t="str">
        <f>IFERROR(__xludf.DUMMYFUNCTION("TRANSPOSE(FILTER(ITENS!$D:$D, ITENS!$A:$A = SERVICOS!$A841))"),"")</f>
        <v/>
      </c>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c r="A841" s="11" t="str">
        <f>IFERROR(__xludf.DUMMYFUNCTION("TRANSPOSE(FILTER(ITENS!$D:$D, ITENS!$A:$A = SERVICOS!$A842))"),"")</f>
        <v/>
      </c>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c r="A842" s="11" t="str">
        <f>IFERROR(__xludf.DUMMYFUNCTION("TRANSPOSE(FILTER(ITENS!$D:$D, ITENS!$A:$A = SERVICOS!$A843))"),"")</f>
        <v/>
      </c>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c r="A843" s="11" t="str">
        <f>IFERROR(__xludf.DUMMYFUNCTION("TRANSPOSE(FILTER(ITENS!$D:$D, ITENS!$A:$A = SERVICOS!$A844))"),"")</f>
        <v/>
      </c>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c r="A844" s="11" t="str">
        <f>IFERROR(__xludf.DUMMYFUNCTION("TRANSPOSE(FILTER(ITENS!$D:$D, ITENS!$A:$A = SERVICOS!$A845))"),"")</f>
        <v/>
      </c>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c r="A845" s="11" t="str">
        <f>IFERROR(__xludf.DUMMYFUNCTION("TRANSPOSE(FILTER(ITENS!$D:$D, ITENS!$A:$A = SERVICOS!$A846))"),"")</f>
        <v/>
      </c>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c r="A846" s="11" t="str">
        <f>IFERROR(__xludf.DUMMYFUNCTION("TRANSPOSE(FILTER(ITENS!$D:$D, ITENS!$A:$A = SERVICOS!$A847))"),"")</f>
        <v/>
      </c>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c r="A847" s="11" t="str">
        <f>IFERROR(__xludf.DUMMYFUNCTION("TRANSPOSE(FILTER(ITENS!$D:$D, ITENS!$A:$A = SERVICOS!$A848))"),"")</f>
        <v/>
      </c>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c r="A848" s="11" t="str">
        <f>IFERROR(__xludf.DUMMYFUNCTION("TRANSPOSE(FILTER(ITENS!$D:$D, ITENS!$A:$A = SERVICOS!$A849))"),"")</f>
        <v/>
      </c>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c r="A849" s="11" t="str">
        <f>IFERROR(__xludf.DUMMYFUNCTION("TRANSPOSE(FILTER(ITENS!$D:$D, ITENS!$A:$A = SERVICOS!$A850))"),"")</f>
        <v/>
      </c>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c r="A850" s="11" t="str">
        <f>IFERROR(__xludf.DUMMYFUNCTION("TRANSPOSE(FILTER(ITENS!$D:$D, ITENS!$A:$A = SERVICOS!$A851))"),"")</f>
        <v/>
      </c>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c r="A851" s="11" t="str">
        <f>IFERROR(__xludf.DUMMYFUNCTION("TRANSPOSE(FILTER(ITENS!$D:$D, ITENS!$A:$A = SERVICOS!$A852))"),"")</f>
        <v/>
      </c>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c r="A852" s="11" t="str">
        <f>IFERROR(__xludf.DUMMYFUNCTION("TRANSPOSE(FILTER(ITENS!$D:$D, ITENS!$A:$A = SERVICOS!$A853))"),"")</f>
        <v/>
      </c>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c r="A853" s="11" t="str">
        <f>IFERROR(__xludf.DUMMYFUNCTION("TRANSPOSE(FILTER(ITENS!$D:$D, ITENS!$A:$A = SERVICOS!$A854))"),"")</f>
        <v/>
      </c>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c r="A854" s="11" t="str">
        <f>IFERROR(__xludf.DUMMYFUNCTION("TRANSPOSE(FILTER(ITENS!$D:$D, ITENS!$A:$A = SERVICOS!$A855))"),"")</f>
        <v/>
      </c>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c r="A855" s="11" t="str">
        <f>IFERROR(__xludf.DUMMYFUNCTION("TRANSPOSE(FILTER(ITENS!$D:$D, ITENS!$A:$A = SERVICOS!$A856))"),"")</f>
        <v/>
      </c>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c r="A856" s="11" t="str">
        <f>IFERROR(__xludf.DUMMYFUNCTION("TRANSPOSE(FILTER(ITENS!$D:$D, ITENS!$A:$A = SERVICOS!$A857))"),"")</f>
        <v/>
      </c>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c r="A857" s="11" t="str">
        <f>IFERROR(__xludf.DUMMYFUNCTION("TRANSPOSE(FILTER(ITENS!$D:$D, ITENS!$A:$A = SERVICOS!$A858))"),"")</f>
        <v/>
      </c>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c r="A858" s="11" t="str">
        <f>IFERROR(__xludf.DUMMYFUNCTION("TRANSPOSE(FILTER(ITENS!$D:$D, ITENS!$A:$A = SERVICOS!$A859))"),"")</f>
        <v/>
      </c>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c r="A859" s="11" t="str">
        <f>IFERROR(__xludf.DUMMYFUNCTION("TRANSPOSE(FILTER(ITENS!$D:$D, ITENS!$A:$A = SERVICOS!$A860))"),"")</f>
        <v/>
      </c>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c r="A860" s="11" t="str">
        <f>IFERROR(__xludf.DUMMYFUNCTION("TRANSPOSE(FILTER(ITENS!$D:$D, ITENS!$A:$A = SERVICOS!$A861))"),"")</f>
        <v/>
      </c>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c r="A861" s="11" t="str">
        <f>IFERROR(__xludf.DUMMYFUNCTION("TRANSPOSE(FILTER(ITENS!$D:$D, ITENS!$A:$A = SERVICOS!$A862))"),"")</f>
        <v/>
      </c>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c r="A862" s="11" t="str">
        <f>IFERROR(__xludf.DUMMYFUNCTION("TRANSPOSE(FILTER(ITENS!$D:$D, ITENS!$A:$A = SERVICOS!$A863))"),"")</f>
        <v/>
      </c>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c r="A863" s="11" t="str">
        <f>IFERROR(__xludf.DUMMYFUNCTION("TRANSPOSE(FILTER(ITENS!$D:$D, ITENS!$A:$A = SERVICOS!$A864))"),"")</f>
        <v/>
      </c>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c r="A864" s="11" t="str">
        <f>IFERROR(__xludf.DUMMYFUNCTION("TRANSPOSE(FILTER(ITENS!$D:$D, ITENS!$A:$A = SERVICOS!$A865))"),"")</f>
        <v/>
      </c>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c r="A865" s="11" t="str">
        <f>IFERROR(__xludf.DUMMYFUNCTION("TRANSPOSE(FILTER(ITENS!$D:$D, ITENS!$A:$A = SERVICOS!$A866))"),"")</f>
        <v/>
      </c>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c r="A866" s="11" t="str">
        <f>IFERROR(__xludf.DUMMYFUNCTION("TRANSPOSE(FILTER(ITENS!$D:$D, ITENS!$A:$A = SERVICOS!$A867))"),"")</f>
        <v/>
      </c>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c r="A867" s="11" t="str">
        <f>IFERROR(__xludf.DUMMYFUNCTION("TRANSPOSE(FILTER(ITENS!$D:$D, ITENS!$A:$A = SERVICOS!$A868))"),"")</f>
        <v/>
      </c>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c r="A868" s="11" t="str">
        <f>IFERROR(__xludf.DUMMYFUNCTION("TRANSPOSE(FILTER(ITENS!$D:$D, ITENS!$A:$A = SERVICOS!$A869))"),"")</f>
        <v/>
      </c>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c r="A869" s="11" t="str">
        <f>IFERROR(__xludf.DUMMYFUNCTION("TRANSPOSE(FILTER(ITENS!$D:$D, ITENS!$A:$A = SERVICOS!$A870))"),"")</f>
        <v/>
      </c>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c r="A870" s="11" t="str">
        <f>IFERROR(__xludf.DUMMYFUNCTION("TRANSPOSE(FILTER(ITENS!$D:$D, ITENS!$A:$A = SERVICOS!$A871))"),"")</f>
        <v/>
      </c>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c r="A871" s="11" t="str">
        <f>IFERROR(__xludf.DUMMYFUNCTION("TRANSPOSE(FILTER(ITENS!$D:$D, ITENS!$A:$A = SERVICOS!$A872))"),"")</f>
        <v/>
      </c>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c r="A872" s="11" t="str">
        <f>IFERROR(__xludf.DUMMYFUNCTION("TRANSPOSE(FILTER(ITENS!$D:$D, ITENS!$A:$A = SERVICOS!$A873))"),"")</f>
        <v/>
      </c>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c r="A873" s="11" t="str">
        <f>IFERROR(__xludf.DUMMYFUNCTION("TRANSPOSE(FILTER(ITENS!$D:$D, ITENS!$A:$A = SERVICOS!$A874))"),"")</f>
        <v/>
      </c>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c r="A874" s="11" t="str">
        <f>IFERROR(__xludf.DUMMYFUNCTION("TRANSPOSE(FILTER(ITENS!$D:$D, ITENS!$A:$A = SERVICOS!$A875))"),"")</f>
        <v/>
      </c>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c r="A875" s="11" t="str">
        <f>IFERROR(__xludf.DUMMYFUNCTION("TRANSPOSE(FILTER(ITENS!$D:$D, ITENS!$A:$A = SERVICOS!$A876))"),"")</f>
        <v/>
      </c>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c r="A876" s="11" t="str">
        <f>IFERROR(__xludf.DUMMYFUNCTION("TRANSPOSE(FILTER(ITENS!$D:$D, ITENS!$A:$A = SERVICOS!$A877))"),"")</f>
        <v/>
      </c>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c r="A877" s="11" t="str">
        <f>IFERROR(__xludf.DUMMYFUNCTION("TRANSPOSE(FILTER(ITENS!$D:$D, ITENS!$A:$A = SERVICOS!$A878))"),"")</f>
        <v/>
      </c>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c r="A878" s="11" t="str">
        <f>IFERROR(__xludf.DUMMYFUNCTION("TRANSPOSE(FILTER(ITENS!$D:$D, ITENS!$A:$A = SERVICOS!$A879))"),"")</f>
        <v/>
      </c>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c r="A879" s="11" t="str">
        <f>IFERROR(__xludf.DUMMYFUNCTION("TRANSPOSE(FILTER(ITENS!$D:$D, ITENS!$A:$A = SERVICOS!$A880))"),"")</f>
        <v/>
      </c>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c r="A880" s="11" t="str">
        <f>IFERROR(__xludf.DUMMYFUNCTION("TRANSPOSE(FILTER(ITENS!$D:$D, ITENS!$A:$A = SERVICOS!$A881))"),"")</f>
        <v/>
      </c>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c r="A881" s="11" t="str">
        <f>IFERROR(__xludf.DUMMYFUNCTION("TRANSPOSE(FILTER(ITENS!$D:$D, ITENS!$A:$A = SERVICOS!$A882))"),"")</f>
        <v/>
      </c>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c r="A882" s="11" t="str">
        <f>IFERROR(__xludf.DUMMYFUNCTION("TRANSPOSE(FILTER(ITENS!$D:$D, ITENS!$A:$A = SERVICOS!$A883))"),"")</f>
        <v/>
      </c>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c r="A883" s="11" t="str">
        <f>IFERROR(__xludf.DUMMYFUNCTION("TRANSPOSE(FILTER(ITENS!$D:$D, ITENS!$A:$A = SERVICOS!$A884))"),"")</f>
        <v/>
      </c>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c r="A884" s="11" t="str">
        <f>IFERROR(__xludf.DUMMYFUNCTION("TRANSPOSE(FILTER(ITENS!$D:$D, ITENS!$A:$A = SERVICOS!$A885))"),"")</f>
        <v/>
      </c>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c r="A885" s="11" t="str">
        <f>IFERROR(__xludf.DUMMYFUNCTION("TRANSPOSE(FILTER(ITENS!$D:$D, ITENS!$A:$A = SERVICOS!$A886))"),"")</f>
        <v/>
      </c>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c r="A886" s="11" t="str">
        <f>IFERROR(__xludf.DUMMYFUNCTION("TRANSPOSE(FILTER(ITENS!$D:$D, ITENS!$A:$A = SERVICOS!$A887))"),"")</f>
        <v/>
      </c>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c r="A887" s="11" t="str">
        <f>IFERROR(__xludf.DUMMYFUNCTION("TRANSPOSE(FILTER(ITENS!$D:$D, ITENS!$A:$A = SERVICOS!$A888))"),"")</f>
        <v/>
      </c>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c r="A888" s="11" t="str">
        <f>IFERROR(__xludf.DUMMYFUNCTION("TRANSPOSE(FILTER(ITENS!$D:$D, ITENS!$A:$A = SERVICOS!$A889))"),"")</f>
        <v/>
      </c>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c r="A889" s="11" t="str">
        <f>IFERROR(__xludf.DUMMYFUNCTION("TRANSPOSE(FILTER(ITENS!$D:$D, ITENS!$A:$A = SERVICOS!$A890))"),"")</f>
        <v/>
      </c>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c r="A890" s="11" t="str">
        <f>IFERROR(__xludf.DUMMYFUNCTION("TRANSPOSE(FILTER(ITENS!$D:$D, ITENS!$A:$A = SERVICOS!$A891))"),"")</f>
        <v/>
      </c>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c r="A891" s="11" t="str">
        <f>IFERROR(__xludf.DUMMYFUNCTION("TRANSPOSE(FILTER(ITENS!$D:$D, ITENS!$A:$A = SERVICOS!$A892))"),"")</f>
        <v/>
      </c>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c r="A892" s="11" t="str">
        <f>IFERROR(__xludf.DUMMYFUNCTION("TRANSPOSE(FILTER(ITENS!$D:$D, ITENS!$A:$A = SERVICOS!$A893))"),"")</f>
        <v/>
      </c>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c r="A893" s="11" t="str">
        <f>IFERROR(__xludf.DUMMYFUNCTION("TRANSPOSE(FILTER(ITENS!$D:$D, ITENS!$A:$A = SERVICOS!$A894))"),"")</f>
        <v/>
      </c>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c r="A894" s="11" t="str">
        <f>IFERROR(__xludf.DUMMYFUNCTION("TRANSPOSE(FILTER(ITENS!$D:$D, ITENS!$A:$A = SERVICOS!$A895))"),"")</f>
        <v/>
      </c>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c r="A895" s="11" t="str">
        <f>IFERROR(__xludf.DUMMYFUNCTION("TRANSPOSE(FILTER(ITENS!$D:$D, ITENS!$A:$A = SERVICOS!$A896))"),"")</f>
        <v/>
      </c>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c r="A896" s="11" t="str">
        <f>IFERROR(__xludf.DUMMYFUNCTION("TRANSPOSE(FILTER(ITENS!$D:$D, ITENS!$A:$A = SERVICOS!$A897))"),"")</f>
        <v/>
      </c>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c r="A897" s="11" t="str">
        <f>IFERROR(__xludf.DUMMYFUNCTION("TRANSPOSE(FILTER(ITENS!$D:$D, ITENS!$A:$A = SERVICOS!$A898))"),"")</f>
        <v/>
      </c>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c r="A898" s="11" t="str">
        <f>IFERROR(__xludf.DUMMYFUNCTION("TRANSPOSE(FILTER(ITENS!$D:$D, ITENS!$A:$A = SERVICOS!$A899))"),"")</f>
        <v/>
      </c>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c r="A899" s="11" t="str">
        <f>IFERROR(__xludf.DUMMYFUNCTION("TRANSPOSE(FILTER(ITENS!$D:$D, ITENS!$A:$A = SERVICOS!$A900))"),"")</f>
        <v/>
      </c>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c r="A900" s="11" t="str">
        <f>IFERROR(__xludf.DUMMYFUNCTION("TRANSPOSE(FILTER(ITENS!$D:$D, ITENS!$A:$A = SERVICOS!$A901))"),"")</f>
        <v/>
      </c>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c r="A901" s="11" t="str">
        <f>IFERROR(__xludf.DUMMYFUNCTION("TRANSPOSE(FILTER(ITENS!$D:$D, ITENS!$A:$A = SERVICOS!$A902))"),"")</f>
        <v/>
      </c>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c r="A902" s="11" t="str">
        <f>IFERROR(__xludf.DUMMYFUNCTION("TRANSPOSE(FILTER(ITENS!$D:$D, ITENS!$A:$A = SERVICOS!$A903))"),"")</f>
        <v/>
      </c>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c r="A903" s="11" t="str">
        <f>IFERROR(__xludf.DUMMYFUNCTION("TRANSPOSE(FILTER(ITENS!$D:$D, ITENS!$A:$A = SERVICOS!$A904))"),"")</f>
        <v/>
      </c>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c r="A904" s="11" t="str">
        <f>IFERROR(__xludf.DUMMYFUNCTION("TRANSPOSE(FILTER(ITENS!$D:$D, ITENS!$A:$A = SERVICOS!$A905))"),"")</f>
        <v/>
      </c>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c r="A905" s="11" t="str">
        <f>IFERROR(__xludf.DUMMYFUNCTION("TRANSPOSE(FILTER(ITENS!$D:$D, ITENS!$A:$A = SERVICOS!$A906))"),"")</f>
        <v/>
      </c>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c r="A906" s="11" t="str">
        <f>IFERROR(__xludf.DUMMYFUNCTION("TRANSPOSE(FILTER(ITENS!$D:$D, ITENS!$A:$A = SERVICOS!$A907))"),"")</f>
        <v/>
      </c>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c r="A907" s="11" t="str">
        <f>IFERROR(__xludf.DUMMYFUNCTION("TRANSPOSE(FILTER(ITENS!$D:$D, ITENS!$A:$A = SERVICOS!$A908))"),"")</f>
        <v/>
      </c>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c r="A908" s="11" t="str">
        <f>IFERROR(__xludf.DUMMYFUNCTION("TRANSPOSE(FILTER(ITENS!$D:$D, ITENS!$A:$A = SERVICOS!$A909))"),"")</f>
        <v/>
      </c>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c r="A909" s="11" t="str">
        <f>IFERROR(__xludf.DUMMYFUNCTION("TRANSPOSE(FILTER(ITENS!$D:$D, ITENS!$A:$A = SERVICOS!$A910))"),"")</f>
        <v/>
      </c>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c r="A910" s="11" t="str">
        <f>IFERROR(__xludf.DUMMYFUNCTION("TRANSPOSE(FILTER(ITENS!$D:$D, ITENS!$A:$A = SERVICOS!$A911))"),"")</f>
        <v/>
      </c>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c r="A911" s="11" t="str">
        <f>IFERROR(__xludf.DUMMYFUNCTION("TRANSPOSE(FILTER(ITENS!$D:$D, ITENS!$A:$A = SERVICOS!$A912))"),"")</f>
        <v/>
      </c>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c r="A912" s="11" t="str">
        <f>IFERROR(__xludf.DUMMYFUNCTION("TRANSPOSE(FILTER(ITENS!$D:$D, ITENS!$A:$A = SERVICOS!$A913))"),"")</f>
        <v/>
      </c>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c r="A913" s="11" t="str">
        <f>IFERROR(__xludf.DUMMYFUNCTION("TRANSPOSE(FILTER(ITENS!$D:$D, ITENS!$A:$A = SERVICOS!$A914))"),"")</f>
        <v/>
      </c>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c r="A914" s="11" t="str">
        <f>IFERROR(__xludf.DUMMYFUNCTION("TRANSPOSE(FILTER(ITENS!$D:$D, ITENS!$A:$A = SERVICOS!$A915))"),"")</f>
        <v/>
      </c>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c r="A915" s="11" t="str">
        <f>IFERROR(__xludf.DUMMYFUNCTION("TRANSPOSE(FILTER(ITENS!$D:$D, ITENS!$A:$A = SERVICOS!$A916))"),"")</f>
        <v/>
      </c>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c r="A916" s="11" t="str">
        <f>IFERROR(__xludf.DUMMYFUNCTION("TRANSPOSE(FILTER(ITENS!$D:$D, ITENS!$A:$A = SERVICOS!$A917))"),"")</f>
        <v/>
      </c>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c r="A917" s="11" t="str">
        <f>IFERROR(__xludf.DUMMYFUNCTION("TRANSPOSE(FILTER(ITENS!$D:$D, ITENS!$A:$A = SERVICOS!$A918))"),"")</f>
        <v/>
      </c>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c r="A918" s="11" t="str">
        <f>IFERROR(__xludf.DUMMYFUNCTION("TRANSPOSE(FILTER(ITENS!$D:$D, ITENS!$A:$A = SERVICOS!$A919))"),"")</f>
        <v/>
      </c>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c r="A919" s="11" t="str">
        <f>IFERROR(__xludf.DUMMYFUNCTION("TRANSPOSE(FILTER(ITENS!$D:$D, ITENS!$A:$A = SERVICOS!$A920))"),"")</f>
        <v/>
      </c>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c r="A920" s="11" t="str">
        <f>IFERROR(__xludf.DUMMYFUNCTION("TRANSPOSE(FILTER(ITENS!$D:$D, ITENS!$A:$A = SERVICOS!$A921))"),"")</f>
        <v/>
      </c>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c r="A921" s="11" t="str">
        <f>IFERROR(__xludf.DUMMYFUNCTION("TRANSPOSE(FILTER(ITENS!$D:$D, ITENS!$A:$A = SERVICOS!$A922))"),"")</f>
        <v/>
      </c>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c r="A922" s="11" t="str">
        <f>IFERROR(__xludf.DUMMYFUNCTION("TRANSPOSE(FILTER(ITENS!$D:$D, ITENS!$A:$A = SERVICOS!$A923))"),"")</f>
        <v/>
      </c>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c r="A923" s="11" t="str">
        <f>IFERROR(__xludf.DUMMYFUNCTION("TRANSPOSE(FILTER(ITENS!$D:$D, ITENS!$A:$A = SERVICOS!$A924))"),"")</f>
        <v/>
      </c>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c r="A924" s="11" t="str">
        <f>IFERROR(__xludf.DUMMYFUNCTION("TRANSPOSE(FILTER(ITENS!$D:$D, ITENS!$A:$A = SERVICOS!$A925))"),"")</f>
        <v/>
      </c>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c r="A925" s="11" t="str">
        <f>IFERROR(__xludf.DUMMYFUNCTION("TRANSPOSE(FILTER(ITENS!$D:$D, ITENS!$A:$A = SERVICOS!$A926))"),"")</f>
        <v/>
      </c>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c r="A926" s="11" t="str">
        <f>IFERROR(__xludf.DUMMYFUNCTION("TRANSPOSE(FILTER(ITENS!$D:$D, ITENS!$A:$A = SERVICOS!$A927))"),"")</f>
        <v/>
      </c>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c r="A927" s="11" t="str">
        <f>IFERROR(__xludf.DUMMYFUNCTION("TRANSPOSE(FILTER(ITENS!$D:$D, ITENS!$A:$A = SERVICOS!$A928))"),"")</f>
        <v/>
      </c>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c r="A928" s="11" t="str">
        <f>IFERROR(__xludf.DUMMYFUNCTION("TRANSPOSE(FILTER(ITENS!$D:$D, ITENS!$A:$A = SERVICOS!$A929))"),"")</f>
        <v/>
      </c>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c r="A929" s="11" t="str">
        <f>IFERROR(__xludf.DUMMYFUNCTION("TRANSPOSE(FILTER(ITENS!$D:$D, ITENS!$A:$A = SERVICOS!$A930))"),"")</f>
        <v/>
      </c>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c r="A930" s="11" t="str">
        <f>IFERROR(__xludf.DUMMYFUNCTION("TRANSPOSE(FILTER(ITENS!$D:$D, ITENS!$A:$A = SERVICOS!$A931))"),"")</f>
        <v/>
      </c>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c r="A931" s="11" t="str">
        <f>IFERROR(__xludf.DUMMYFUNCTION("TRANSPOSE(FILTER(ITENS!$D:$D, ITENS!$A:$A = SERVICOS!$A932))"),"")</f>
        <v/>
      </c>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c r="A932" s="11" t="str">
        <f>IFERROR(__xludf.DUMMYFUNCTION("TRANSPOSE(FILTER(ITENS!$D:$D, ITENS!$A:$A = SERVICOS!$A933))"),"")</f>
        <v/>
      </c>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c r="A933" s="11" t="str">
        <f>IFERROR(__xludf.DUMMYFUNCTION("TRANSPOSE(FILTER(ITENS!$D:$D, ITENS!$A:$A = SERVICOS!$A934))"),"")</f>
        <v/>
      </c>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c r="A934" s="11" t="str">
        <f>IFERROR(__xludf.DUMMYFUNCTION("TRANSPOSE(FILTER(ITENS!$D:$D, ITENS!$A:$A = SERVICOS!$A935))"),"")</f>
        <v/>
      </c>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c r="A935" s="11" t="str">
        <f>IFERROR(__xludf.DUMMYFUNCTION("TRANSPOSE(FILTER(ITENS!$D:$D, ITENS!$A:$A = SERVICOS!$A936))"),"")</f>
        <v/>
      </c>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c r="A936" s="11" t="str">
        <f>IFERROR(__xludf.DUMMYFUNCTION("TRANSPOSE(FILTER(ITENS!$D:$D, ITENS!$A:$A = SERVICOS!$A937))"),"")</f>
        <v/>
      </c>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c r="A937" s="11" t="str">
        <f>IFERROR(__xludf.DUMMYFUNCTION("TRANSPOSE(FILTER(ITENS!$D:$D, ITENS!$A:$A = SERVICOS!$A938))"),"")</f>
        <v/>
      </c>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c r="A938" s="11" t="str">
        <f>IFERROR(__xludf.DUMMYFUNCTION("TRANSPOSE(FILTER(ITENS!$D:$D, ITENS!$A:$A = SERVICOS!$A939))"),"")</f>
        <v/>
      </c>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c r="A939" s="11" t="str">
        <f>IFERROR(__xludf.DUMMYFUNCTION("TRANSPOSE(FILTER(ITENS!$D:$D, ITENS!$A:$A = SERVICOS!$A940))"),"")</f>
        <v/>
      </c>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c r="A940" s="11" t="str">
        <f>IFERROR(__xludf.DUMMYFUNCTION("TRANSPOSE(FILTER(ITENS!$D:$D, ITENS!$A:$A = SERVICOS!$A941))"),"")</f>
        <v/>
      </c>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c r="A941" s="11" t="str">
        <f>IFERROR(__xludf.DUMMYFUNCTION("TRANSPOSE(FILTER(ITENS!$D:$D, ITENS!$A:$A = SERVICOS!$A942))"),"")</f>
        <v/>
      </c>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c r="A942" s="11" t="str">
        <f>IFERROR(__xludf.DUMMYFUNCTION("TRANSPOSE(FILTER(ITENS!$D:$D, ITENS!$A:$A = SERVICOS!$A943))"),"")</f>
        <v/>
      </c>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c r="A943" s="11" t="str">
        <f>IFERROR(__xludf.DUMMYFUNCTION("TRANSPOSE(FILTER(ITENS!$D:$D, ITENS!$A:$A = SERVICOS!$A944))"),"")</f>
        <v/>
      </c>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c r="A944" s="11" t="str">
        <f>IFERROR(__xludf.DUMMYFUNCTION("TRANSPOSE(FILTER(ITENS!$D:$D, ITENS!$A:$A = SERVICOS!$A945))"),"")</f>
        <v/>
      </c>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c r="A945" s="11" t="str">
        <f>IFERROR(__xludf.DUMMYFUNCTION("TRANSPOSE(FILTER(ITENS!$D:$D, ITENS!$A:$A = SERVICOS!$A946))"),"")</f>
        <v/>
      </c>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c r="A946" s="11" t="str">
        <f>IFERROR(__xludf.DUMMYFUNCTION("TRANSPOSE(FILTER(ITENS!$D:$D, ITENS!$A:$A = SERVICOS!$A947))"),"")</f>
        <v/>
      </c>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c r="A947" s="11" t="str">
        <f>IFERROR(__xludf.DUMMYFUNCTION("TRANSPOSE(FILTER(ITENS!$D:$D, ITENS!$A:$A = SERVICOS!$A948))"),"")</f>
        <v/>
      </c>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c r="A948" s="11" t="str">
        <f>IFERROR(__xludf.DUMMYFUNCTION("TRANSPOSE(FILTER(ITENS!$D:$D, ITENS!$A:$A = SERVICOS!$A949))"),"")</f>
        <v/>
      </c>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c r="A949" s="11" t="str">
        <f>IFERROR(__xludf.DUMMYFUNCTION("TRANSPOSE(FILTER(ITENS!$D:$D, ITENS!$A:$A = SERVICOS!$A950))"),"")</f>
        <v/>
      </c>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c r="A950" s="11" t="str">
        <f>IFERROR(__xludf.DUMMYFUNCTION("TRANSPOSE(FILTER(ITENS!$D:$D, ITENS!$A:$A = SERVICOS!$A951))"),"")</f>
        <v/>
      </c>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c r="A951" s="11" t="str">
        <f>IFERROR(__xludf.DUMMYFUNCTION("TRANSPOSE(FILTER(ITENS!$D:$D, ITENS!$A:$A = SERVICOS!$A952))"),"")</f>
        <v/>
      </c>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c r="A952" s="11" t="str">
        <f>IFERROR(__xludf.DUMMYFUNCTION("TRANSPOSE(FILTER(ITENS!$D:$D, ITENS!$A:$A = SERVICOS!$A953))"),"")</f>
        <v/>
      </c>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c r="A953" s="11" t="str">
        <f>IFERROR(__xludf.DUMMYFUNCTION("TRANSPOSE(FILTER(ITENS!$D:$D, ITENS!$A:$A = SERVICOS!$A954))"),"")</f>
        <v/>
      </c>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c r="A954" s="11" t="str">
        <f>IFERROR(__xludf.DUMMYFUNCTION("TRANSPOSE(FILTER(ITENS!$D:$D, ITENS!$A:$A = SERVICOS!$A955))"),"")</f>
        <v/>
      </c>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c r="A955" s="11" t="str">
        <f>IFERROR(__xludf.DUMMYFUNCTION("TRANSPOSE(FILTER(ITENS!$D:$D, ITENS!$A:$A = SERVICOS!$A956))"),"")</f>
        <v/>
      </c>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c r="A956" s="11" t="str">
        <f>IFERROR(__xludf.DUMMYFUNCTION("TRANSPOSE(FILTER(ITENS!$D:$D, ITENS!$A:$A = SERVICOS!$A957))"),"")</f>
        <v/>
      </c>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c r="A957" s="11" t="str">
        <f>IFERROR(__xludf.DUMMYFUNCTION("TRANSPOSE(FILTER(ITENS!$D:$D, ITENS!$A:$A = SERVICOS!$A958))"),"")</f>
        <v/>
      </c>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c r="A958" s="11" t="str">
        <f>IFERROR(__xludf.DUMMYFUNCTION("TRANSPOSE(FILTER(ITENS!$D:$D, ITENS!$A:$A = SERVICOS!$A959))"),"")</f>
        <v/>
      </c>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c r="A959" s="11" t="str">
        <f>IFERROR(__xludf.DUMMYFUNCTION("TRANSPOSE(FILTER(ITENS!$D:$D, ITENS!$A:$A = SERVICOS!$A960))"),"")</f>
        <v/>
      </c>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c r="A960" s="11" t="str">
        <f>IFERROR(__xludf.DUMMYFUNCTION("TRANSPOSE(FILTER(ITENS!$D:$D, ITENS!$A:$A = SERVICOS!$A961))"),"")</f>
        <v/>
      </c>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c r="A961" s="11" t="str">
        <f>IFERROR(__xludf.DUMMYFUNCTION("TRANSPOSE(FILTER(ITENS!$D:$D, ITENS!$A:$A = SERVICOS!$A962))"),"")</f>
        <v/>
      </c>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c r="A962" s="11" t="str">
        <f>IFERROR(__xludf.DUMMYFUNCTION("TRANSPOSE(FILTER(ITENS!$D:$D, ITENS!$A:$A = SERVICOS!$A963))"),"")</f>
        <v/>
      </c>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c r="A963" s="11" t="str">
        <f>IFERROR(__xludf.DUMMYFUNCTION("TRANSPOSE(FILTER(ITENS!$D:$D, ITENS!$A:$A = SERVICOS!$A964))"),"")</f>
        <v/>
      </c>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c r="A964" s="11" t="str">
        <f>IFERROR(__xludf.DUMMYFUNCTION("TRANSPOSE(FILTER(ITENS!$D:$D, ITENS!$A:$A = SERVICOS!$A965))"),"")</f>
        <v/>
      </c>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c r="A965" s="11" t="str">
        <f>IFERROR(__xludf.DUMMYFUNCTION("TRANSPOSE(FILTER(ITENS!$D:$D, ITENS!$A:$A = SERVICOS!$A966))"),"")</f>
        <v/>
      </c>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c r="A966" s="11" t="str">
        <f>IFERROR(__xludf.DUMMYFUNCTION("TRANSPOSE(FILTER(ITENS!$D:$D, ITENS!$A:$A = SERVICOS!$A967))"),"")</f>
        <v/>
      </c>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c r="A967" s="11" t="str">
        <f>IFERROR(__xludf.DUMMYFUNCTION("TRANSPOSE(FILTER(ITENS!$D:$D, ITENS!$A:$A = SERVICOS!$A968))"),"")</f>
        <v/>
      </c>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c r="A968" s="11" t="str">
        <f>IFERROR(__xludf.DUMMYFUNCTION("TRANSPOSE(FILTER(ITENS!$D:$D, ITENS!$A:$A = SERVICOS!$A969))"),"")</f>
        <v/>
      </c>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c r="A969" s="11" t="str">
        <f>IFERROR(__xludf.DUMMYFUNCTION("TRANSPOSE(FILTER(ITENS!$D:$D, ITENS!$A:$A = SERVICOS!$A970))"),"")</f>
        <v/>
      </c>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c r="A970" s="11" t="str">
        <f>IFERROR(__xludf.DUMMYFUNCTION("TRANSPOSE(FILTER(ITENS!$D:$D, ITENS!$A:$A = SERVICOS!$A971))"),"")</f>
        <v/>
      </c>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c r="A971" s="11" t="str">
        <f>IFERROR(__xludf.DUMMYFUNCTION("TRANSPOSE(FILTER(ITENS!$D:$D, ITENS!$A:$A = SERVICOS!$A972))"),"")</f>
        <v/>
      </c>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c r="A972" s="11" t="str">
        <f>IFERROR(__xludf.DUMMYFUNCTION("TRANSPOSE(FILTER(ITENS!$D:$D, ITENS!$A:$A = SERVICOS!$A973))"),"")</f>
        <v/>
      </c>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c r="A973" s="11" t="str">
        <f>IFERROR(__xludf.DUMMYFUNCTION("TRANSPOSE(FILTER(ITENS!$D:$D, ITENS!$A:$A = SERVICOS!$A974))"),"")</f>
        <v/>
      </c>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c r="A974" s="11" t="str">
        <f>IFERROR(__xludf.DUMMYFUNCTION("TRANSPOSE(FILTER(ITENS!$D:$D, ITENS!$A:$A = SERVICOS!$A975))"),"")</f>
        <v/>
      </c>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c r="A975" s="11" t="str">
        <f>IFERROR(__xludf.DUMMYFUNCTION("TRANSPOSE(FILTER(ITENS!$D:$D, ITENS!$A:$A = SERVICOS!$A976))"),"")</f>
        <v/>
      </c>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c r="A976" s="11" t="str">
        <f>IFERROR(__xludf.DUMMYFUNCTION("TRANSPOSE(FILTER(ITENS!$D:$D, ITENS!$A:$A = SERVICOS!$A977))"),"")</f>
        <v/>
      </c>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c r="A977" s="11" t="str">
        <f>IFERROR(__xludf.DUMMYFUNCTION("TRANSPOSE(FILTER(ITENS!$D:$D, ITENS!$A:$A = SERVICOS!$A978))"),"")</f>
        <v/>
      </c>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c r="A978" s="11" t="str">
        <f>IFERROR(__xludf.DUMMYFUNCTION("TRANSPOSE(FILTER(ITENS!$D:$D, ITENS!$A:$A = SERVICOS!$A979))"),"")</f>
        <v/>
      </c>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c r="A979" s="11" t="str">
        <f>IFERROR(__xludf.DUMMYFUNCTION("TRANSPOSE(FILTER(ITENS!$D:$D, ITENS!$A:$A = SERVICOS!$A980))"),"")</f>
        <v/>
      </c>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c r="A980" s="11" t="str">
        <f>IFERROR(__xludf.DUMMYFUNCTION("TRANSPOSE(FILTER(ITENS!$D:$D, ITENS!$A:$A = SERVICOS!$A981))"),"")</f>
        <v/>
      </c>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c r="A981" s="11" t="str">
        <f>IFERROR(__xludf.DUMMYFUNCTION("TRANSPOSE(FILTER(ITENS!$D:$D, ITENS!$A:$A = SERVICOS!$A982))"),"")</f>
        <v/>
      </c>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c r="A982" s="11" t="str">
        <f>IFERROR(__xludf.DUMMYFUNCTION("TRANSPOSE(FILTER(ITENS!$D:$D, ITENS!$A:$A = SERVICOS!$A983))"),"")</f>
        <v/>
      </c>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c r="A983" s="11" t="str">
        <f>IFERROR(__xludf.DUMMYFUNCTION("TRANSPOSE(FILTER(ITENS!$D:$D, ITENS!$A:$A = SERVICOS!$A984))"),"")</f>
        <v/>
      </c>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c r="A984" s="11" t="str">
        <f>IFERROR(__xludf.DUMMYFUNCTION("TRANSPOSE(FILTER(ITENS!$D:$D, ITENS!$A:$A = SERVICOS!$A985))"),"")</f>
        <v/>
      </c>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c r="A985" s="11" t="str">
        <f>IFERROR(__xludf.DUMMYFUNCTION("TRANSPOSE(FILTER(ITENS!$D:$D, ITENS!$A:$A = SERVICOS!$A986))"),"")</f>
        <v/>
      </c>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c r="A986" s="11" t="str">
        <f>IFERROR(__xludf.DUMMYFUNCTION("TRANSPOSE(FILTER(ITENS!$D:$D, ITENS!$A:$A = SERVICOS!$A987))"),"")</f>
        <v/>
      </c>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c r="A987" s="11" t="str">
        <f>IFERROR(__xludf.DUMMYFUNCTION("TRANSPOSE(FILTER(ITENS!$D:$D, ITENS!$A:$A = SERVICOS!$A988))"),"")</f>
        <v/>
      </c>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c r="A988" s="11" t="str">
        <f>IFERROR(__xludf.DUMMYFUNCTION("TRANSPOSE(FILTER(ITENS!$D:$D, ITENS!$A:$A = SERVICOS!$A989))"),"")</f>
        <v/>
      </c>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c r="A989" s="11" t="str">
        <f>IFERROR(__xludf.DUMMYFUNCTION("TRANSPOSE(FILTER(ITENS!$D:$D, ITENS!$A:$A = SERVICOS!$A990))"),"")</f>
        <v/>
      </c>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c r="A990" s="11" t="str">
        <f>IFERROR(__xludf.DUMMYFUNCTION("TRANSPOSE(FILTER(ITENS!$D:$D, ITENS!$A:$A = SERVICOS!$A991))"),"")</f>
        <v/>
      </c>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c r="A991" s="11" t="str">
        <f>IFERROR(__xludf.DUMMYFUNCTION("TRANSPOSE(FILTER(ITENS!$D:$D, ITENS!$A:$A = SERVICOS!$A992))"),"")</f>
        <v/>
      </c>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c r="A992" s="11" t="str">
        <f>IFERROR(__xludf.DUMMYFUNCTION("TRANSPOSE(FILTER(ITENS!$D:$D, ITENS!$A:$A = SERVICOS!$A993))"),"")</f>
        <v/>
      </c>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c r="A993" s="11" t="str">
        <f>IFERROR(__xludf.DUMMYFUNCTION("TRANSPOSE(FILTER(ITENS!$D:$D, ITENS!$A:$A = SERVICOS!$A994))"),"")</f>
        <v/>
      </c>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c r="A994" s="11" t="str">
        <f>IFERROR(__xludf.DUMMYFUNCTION("TRANSPOSE(FILTER(ITENS!$D:$D, ITENS!$A:$A = SERVICOS!$A995))"),"")</f>
        <v/>
      </c>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c r="A995" s="11" t="str">
        <f>IFERROR(__xludf.DUMMYFUNCTION("TRANSPOSE(FILTER(ITENS!$D:$D, ITENS!$A:$A = SERVICOS!$A996))"),"")</f>
        <v/>
      </c>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c r="A996" s="11" t="str">
        <f>IFERROR(__xludf.DUMMYFUNCTION("TRANSPOSE(FILTER(ITENS!$D:$D, ITENS!$A:$A = SERVICOS!$A997))"),"")</f>
        <v/>
      </c>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c r="A997" s="11" t="str">
        <f>IFERROR(__xludf.DUMMYFUNCTION("TRANSPOSE(FILTER(ITENS!$D:$D, ITENS!$A:$A = SERVICOS!$A998))"),"")</f>
        <v/>
      </c>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c r="A998" s="11" t="str">
        <f>IFERROR(__xludf.DUMMYFUNCTION("TRANSPOSE(FILTER(ITENS!$D:$D, ITENS!$A:$A = SERVICOS!$A999))"),"")</f>
        <v/>
      </c>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c r="A999" s="11" t="str">
        <f>IFERROR(__xludf.DUMMYFUNCTION("TRANSPOSE(FILTER(ITENS!$D:$D, ITENS!$A:$A = SERVICOS!$A1000))"),"")</f>
        <v/>
      </c>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c r="A1000" s="11" t="str">
        <f>IFERROR(__xludf.DUMMYFUNCTION("TRANSPOSE(FILTER(ITENS!$D:$D, ITENS!$A:$A = SERVICOS!$A1001))"),"")</f>
        <v/>
      </c>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drawing r:id="rId1"/>
</worksheet>
</file>